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695" windowHeight="12135"/>
  </bookViews>
  <sheets>
    <sheet name="Sheet1" sheetId="1" r:id="rId1"/>
    <sheet name="Sheet2" sheetId="2" r:id="rId2"/>
  </sheets>
  <definedNames>
    <definedName name="_xlnm._FilterDatabase" localSheetId="0" hidden="1">Sheet1!$A$1:$P$1234</definedName>
  </definedNames>
  <calcPr calcId="162913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2" i="1"/>
  <c r="AW497" i="2"/>
  <c r="AV497" i="2"/>
  <c r="AS497" i="2"/>
  <c r="AT497" i="2" s="1"/>
  <c r="AU497" i="2" s="1"/>
  <c r="AW496" i="2"/>
  <c r="AV496" i="2"/>
  <c r="AS496" i="2"/>
  <c r="AT496" i="2" s="1"/>
  <c r="AU496" i="2" s="1"/>
  <c r="AW495" i="2"/>
  <c r="AV495" i="2"/>
  <c r="AS495" i="2"/>
  <c r="AT495" i="2" s="1"/>
  <c r="AU495" i="2" s="1"/>
  <c r="AW494" i="2"/>
  <c r="AV494" i="2"/>
  <c r="AW493" i="2"/>
  <c r="AV493" i="2"/>
  <c r="AS493" i="2"/>
  <c r="AT493" i="2" s="1"/>
  <c r="AU493" i="2" s="1"/>
  <c r="AW492" i="2"/>
  <c r="AV492" i="2"/>
  <c r="AW491" i="2"/>
  <c r="AS491" i="2" s="1"/>
  <c r="AT491" i="2" s="1"/>
  <c r="AU491" i="2" s="1"/>
  <c r="AV491" i="2"/>
  <c r="AW490" i="2"/>
  <c r="AV490" i="2"/>
  <c r="AS490" i="2" s="1"/>
  <c r="AT490" i="2" s="1"/>
  <c r="AU490" i="2" s="1"/>
  <c r="AW489" i="2"/>
  <c r="AV489" i="2"/>
  <c r="AS489" i="2"/>
  <c r="AT489" i="2" s="1"/>
  <c r="AU489" i="2" s="1"/>
  <c r="AW488" i="2"/>
  <c r="AV488" i="2"/>
  <c r="AS488" i="2" s="1"/>
  <c r="AT488" i="2" s="1"/>
  <c r="AU488" i="2" s="1"/>
  <c r="AW487" i="2"/>
  <c r="AS487" i="2" s="1"/>
  <c r="AT487" i="2" s="1"/>
  <c r="AU487" i="2" s="1"/>
  <c r="AV487" i="2"/>
  <c r="AW486" i="2"/>
  <c r="AV486" i="2"/>
  <c r="AW485" i="2"/>
  <c r="AV485" i="2"/>
  <c r="AS485" i="2"/>
  <c r="AT485" i="2" s="1"/>
  <c r="AU485" i="2" s="1"/>
  <c r="AW484" i="2"/>
  <c r="AV484" i="2"/>
  <c r="AW483" i="2"/>
  <c r="AV483" i="2"/>
  <c r="AS483" i="2"/>
  <c r="AT483" i="2" s="1"/>
  <c r="AU483" i="2" s="1"/>
  <c r="AW482" i="2"/>
  <c r="AV482" i="2"/>
  <c r="AS482" i="2"/>
  <c r="AT482" i="2" s="1"/>
  <c r="AU482" i="2" s="1"/>
  <c r="AW481" i="2"/>
  <c r="AV481" i="2"/>
  <c r="AW480" i="2"/>
  <c r="AS480" i="2" s="1"/>
  <c r="AT480" i="2" s="1"/>
  <c r="AU480" i="2" s="1"/>
  <c r="AV480" i="2"/>
  <c r="AW479" i="2"/>
  <c r="AV479" i="2"/>
  <c r="AS479" i="2"/>
  <c r="AT479" i="2" s="1"/>
  <c r="AU479" i="2" s="1"/>
  <c r="AW478" i="2"/>
  <c r="AV478" i="2"/>
  <c r="AW477" i="2"/>
  <c r="AV477" i="2"/>
  <c r="AS477" i="2"/>
  <c r="AT477" i="2" s="1"/>
  <c r="AU477" i="2" s="1"/>
  <c r="AW476" i="2"/>
  <c r="AS476" i="2" s="1"/>
  <c r="AT476" i="2" s="1"/>
  <c r="AU476" i="2" s="1"/>
  <c r="AV476" i="2"/>
  <c r="AW475" i="2"/>
  <c r="AV475" i="2"/>
  <c r="AW474" i="2"/>
  <c r="AV474" i="2"/>
  <c r="AS474" i="2"/>
  <c r="AT474" i="2" s="1"/>
  <c r="AU474" i="2" s="1"/>
  <c r="AW473" i="2"/>
  <c r="AV473" i="2"/>
  <c r="AS473" i="2"/>
  <c r="AT473" i="2" s="1"/>
  <c r="AU473" i="2" s="1"/>
  <c r="AW472" i="2"/>
  <c r="AV472" i="2"/>
  <c r="AW471" i="2"/>
  <c r="AV471" i="2"/>
  <c r="AS471" i="2"/>
  <c r="AT471" i="2" s="1"/>
  <c r="AU471" i="2" s="1"/>
  <c r="AW470" i="2"/>
  <c r="AS470" i="2" s="1"/>
  <c r="AT470" i="2" s="1"/>
  <c r="AU470" i="2" s="1"/>
  <c r="AV470" i="2"/>
  <c r="AW469" i="2"/>
  <c r="AV469" i="2"/>
  <c r="AS469" i="2"/>
  <c r="AT469" i="2" s="1"/>
  <c r="AU469" i="2" s="1"/>
  <c r="AW468" i="2"/>
  <c r="AV468" i="2"/>
  <c r="AS468" i="2"/>
  <c r="AT468" i="2" s="1"/>
  <c r="AU468" i="2" s="1"/>
  <c r="AW467" i="2"/>
  <c r="AS467" i="2" s="1"/>
  <c r="AT467" i="2" s="1"/>
  <c r="AU467" i="2" s="1"/>
  <c r="AV467" i="2"/>
  <c r="AW466" i="2"/>
  <c r="AV466" i="2"/>
  <c r="AW465" i="2"/>
  <c r="AV465" i="2"/>
  <c r="AS465" i="2"/>
  <c r="AT465" i="2" s="1"/>
  <c r="AU465" i="2" s="1"/>
  <c r="AW464" i="2"/>
  <c r="AV464" i="2"/>
  <c r="AW463" i="2"/>
  <c r="AV463" i="2"/>
  <c r="AS463" i="2"/>
  <c r="AT463" i="2" s="1"/>
  <c r="AU463" i="2" s="1"/>
  <c r="AW462" i="2"/>
  <c r="AV462" i="2"/>
  <c r="AS462" i="2"/>
  <c r="AT462" i="2" s="1"/>
  <c r="AU462" i="2" s="1"/>
  <c r="AW461" i="2"/>
  <c r="AS461" i="2" s="1"/>
  <c r="AT461" i="2" s="1"/>
  <c r="AU461" i="2" s="1"/>
  <c r="AV461" i="2"/>
  <c r="AW460" i="2"/>
  <c r="AV460" i="2"/>
  <c r="AS460" i="2" s="1"/>
  <c r="AT460" i="2" s="1"/>
  <c r="AU460" i="2" s="1"/>
  <c r="AW459" i="2"/>
  <c r="AV459" i="2"/>
  <c r="AW458" i="2"/>
  <c r="AV458" i="2"/>
  <c r="AW457" i="2"/>
  <c r="AV457" i="2"/>
  <c r="AS457" i="2"/>
  <c r="AT457" i="2" s="1"/>
  <c r="AU457" i="2" s="1"/>
  <c r="AW456" i="2"/>
  <c r="AV456" i="2"/>
  <c r="AS456" i="2"/>
  <c r="AT456" i="2" s="1"/>
  <c r="AU456" i="2" s="1"/>
  <c r="AW455" i="2"/>
  <c r="AV455" i="2"/>
  <c r="AW454" i="2"/>
  <c r="AV454" i="2"/>
  <c r="AS454" i="2"/>
  <c r="AT454" i="2" s="1"/>
  <c r="AU454" i="2" s="1"/>
  <c r="AW453" i="2"/>
  <c r="AV453" i="2"/>
  <c r="AW452" i="2"/>
  <c r="AV452" i="2"/>
  <c r="AS452" i="2"/>
  <c r="AT452" i="2" s="1"/>
  <c r="AU452" i="2" s="1"/>
  <c r="AW451" i="2"/>
  <c r="AV451" i="2"/>
  <c r="AS451" i="2"/>
  <c r="AT451" i="2" s="1"/>
  <c r="AU451" i="2" s="1"/>
  <c r="AW450" i="2"/>
  <c r="AS450" i="2" s="1"/>
  <c r="AT450" i="2" s="1"/>
  <c r="AU450" i="2" s="1"/>
  <c r="AV450" i="2"/>
  <c r="AW449" i="2"/>
  <c r="AV449" i="2"/>
  <c r="AW448" i="2"/>
  <c r="AV448" i="2"/>
  <c r="AS448" i="2" s="1"/>
  <c r="AT448" i="2" s="1"/>
  <c r="AU448" i="2" s="1"/>
  <c r="AW447" i="2"/>
  <c r="AV447" i="2"/>
  <c r="AW446" i="2"/>
  <c r="AS446" i="2" s="1"/>
  <c r="AT446" i="2" s="1"/>
  <c r="AU446" i="2" s="1"/>
  <c r="AV446" i="2"/>
  <c r="AW445" i="2"/>
  <c r="AV445" i="2"/>
  <c r="AS445" i="2"/>
  <c r="AT445" i="2" s="1"/>
  <c r="AU445" i="2" s="1"/>
  <c r="AW444" i="2"/>
  <c r="AV444" i="2"/>
  <c r="AS444" i="2"/>
  <c r="AT444" i="2" s="1"/>
  <c r="AU444" i="2" s="1"/>
  <c r="AW443" i="2"/>
  <c r="AV443" i="2"/>
  <c r="AS443" i="2" s="1"/>
  <c r="AT443" i="2"/>
  <c r="AU443" i="2" s="1"/>
  <c r="AW442" i="2"/>
  <c r="AV442" i="2"/>
  <c r="AS442" i="2" s="1"/>
  <c r="AT442" i="2" s="1"/>
  <c r="AU442" i="2" s="1"/>
  <c r="AW441" i="2"/>
  <c r="AS441" i="2" s="1"/>
  <c r="AT441" i="2" s="1"/>
  <c r="AU441" i="2" s="1"/>
  <c r="AV441" i="2"/>
  <c r="AW440" i="2"/>
  <c r="AS440" i="2" s="1"/>
  <c r="AT440" i="2" s="1"/>
  <c r="AU440" i="2" s="1"/>
  <c r="AV440" i="2"/>
  <c r="AW439" i="2"/>
  <c r="AV439" i="2"/>
  <c r="AS439" i="2"/>
  <c r="AT439" i="2" s="1"/>
  <c r="AU439" i="2" s="1"/>
  <c r="AW438" i="2"/>
  <c r="AS438" i="2" s="1"/>
  <c r="AT438" i="2" s="1"/>
  <c r="AU438" i="2" s="1"/>
  <c r="AV438" i="2"/>
  <c r="AW437" i="2"/>
  <c r="AV437" i="2"/>
  <c r="AS437" i="2" s="1"/>
  <c r="AT437" i="2" s="1"/>
  <c r="AU437" i="2" s="1"/>
  <c r="AW436" i="2"/>
  <c r="AV436" i="2"/>
  <c r="AW435" i="2"/>
  <c r="AV435" i="2"/>
  <c r="AS435" i="2"/>
  <c r="AT435" i="2" s="1"/>
  <c r="AU435" i="2" s="1"/>
  <c r="AW434" i="2"/>
  <c r="AV434" i="2"/>
  <c r="AS434" i="2"/>
  <c r="AT434" i="2" s="1"/>
  <c r="AU434" i="2" s="1"/>
  <c r="AW433" i="2"/>
  <c r="AV433" i="2"/>
  <c r="AW432" i="2"/>
  <c r="AV432" i="2"/>
  <c r="AS432" i="2"/>
  <c r="AT432" i="2" s="1"/>
  <c r="AU432" i="2" s="1"/>
  <c r="AW431" i="2"/>
  <c r="AS431" i="2" s="1"/>
  <c r="AT431" i="2" s="1"/>
  <c r="AU431" i="2" s="1"/>
  <c r="AV431" i="2"/>
  <c r="AW430" i="2"/>
  <c r="AV430" i="2"/>
  <c r="AW429" i="2"/>
  <c r="AV429" i="2"/>
  <c r="AS429" i="2"/>
  <c r="AT429" i="2" s="1"/>
  <c r="AU429" i="2" s="1"/>
  <c r="AW428" i="2"/>
  <c r="AV428" i="2"/>
  <c r="AW427" i="2"/>
  <c r="AV427" i="2"/>
  <c r="AW426" i="2"/>
  <c r="AV426" i="2"/>
  <c r="AS426" i="2" s="1"/>
  <c r="AT426" i="2" s="1"/>
  <c r="AU426" i="2" s="1"/>
  <c r="AW425" i="2"/>
  <c r="AV425" i="2"/>
  <c r="AW424" i="2"/>
  <c r="AV424" i="2"/>
  <c r="AS424" i="2"/>
  <c r="AT424" i="2" s="1"/>
  <c r="AU424" i="2" s="1"/>
  <c r="AW423" i="2"/>
  <c r="AV423" i="2"/>
  <c r="AS423" i="2" s="1"/>
  <c r="AT423" i="2"/>
  <c r="AU423" i="2" s="1"/>
  <c r="AW422" i="2"/>
  <c r="AV422" i="2"/>
  <c r="AS422" i="2"/>
  <c r="AT422" i="2" s="1"/>
  <c r="AU422" i="2" s="1"/>
  <c r="AW421" i="2"/>
  <c r="AV421" i="2"/>
  <c r="AW420" i="2"/>
  <c r="AV420" i="2"/>
  <c r="AS420" i="2"/>
  <c r="AT420" i="2" s="1"/>
  <c r="AU420" i="2" s="1"/>
  <c r="AW419" i="2"/>
  <c r="AV419" i="2"/>
  <c r="AW418" i="2"/>
  <c r="AV418" i="2"/>
  <c r="AS418" i="2"/>
  <c r="AT418" i="2" s="1"/>
  <c r="AU418" i="2" s="1"/>
  <c r="AW417" i="2"/>
  <c r="AS417" i="2" s="1"/>
  <c r="AT417" i="2" s="1"/>
  <c r="AU417" i="2" s="1"/>
  <c r="AV417" i="2"/>
  <c r="AW416" i="2"/>
  <c r="AV416" i="2"/>
  <c r="AS416" i="2"/>
  <c r="AT416" i="2" s="1"/>
  <c r="AU416" i="2" s="1"/>
  <c r="AW415" i="2"/>
  <c r="AV415" i="2"/>
  <c r="AS415" i="2" s="1"/>
  <c r="AT415" i="2" s="1"/>
  <c r="AU415" i="2" s="1"/>
  <c r="AW414" i="2"/>
  <c r="AV414" i="2"/>
  <c r="AW413" i="2"/>
  <c r="AV413" i="2"/>
  <c r="AS413" i="2"/>
  <c r="AT413" i="2" s="1"/>
  <c r="AU413" i="2" s="1"/>
  <c r="AW412" i="2"/>
  <c r="AV412" i="2"/>
  <c r="AS412" i="2"/>
  <c r="AT412" i="2" s="1"/>
  <c r="AU412" i="2" s="1"/>
  <c r="AW411" i="2"/>
  <c r="AS411" i="2" s="1"/>
  <c r="AT411" i="2" s="1"/>
  <c r="AU411" i="2" s="1"/>
  <c r="AV411" i="2"/>
  <c r="AW410" i="2"/>
  <c r="AV410" i="2"/>
  <c r="AS410" i="2"/>
  <c r="AT410" i="2" s="1"/>
  <c r="AU410" i="2" s="1"/>
  <c r="AW409" i="2"/>
  <c r="AV409" i="2"/>
  <c r="AS409" i="2"/>
  <c r="AT409" i="2" s="1"/>
  <c r="AU409" i="2" s="1"/>
  <c r="AW408" i="2"/>
  <c r="AV408" i="2"/>
  <c r="AW407" i="2"/>
  <c r="AV407" i="2"/>
  <c r="AS407" i="2"/>
  <c r="AT407" i="2" s="1"/>
  <c r="AU407" i="2" s="1"/>
  <c r="AW406" i="2"/>
  <c r="AV406" i="2"/>
  <c r="AS406" i="2"/>
  <c r="AT406" i="2" s="1"/>
  <c r="AU406" i="2" s="1"/>
  <c r="AW405" i="2"/>
  <c r="AV405" i="2"/>
  <c r="AS405" i="2"/>
  <c r="AT405" i="2" s="1"/>
  <c r="AU405" i="2" s="1"/>
  <c r="AW404" i="2"/>
  <c r="AV404" i="2"/>
  <c r="AS404" i="2"/>
  <c r="AT404" i="2" s="1"/>
  <c r="AU404" i="2" s="1"/>
  <c r="AW403" i="2"/>
  <c r="AV403" i="2"/>
  <c r="AS403" i="2"/>
  <c r="AT403" i="2" s="1"/>
  <c r="AU403" i="2" s="1"/>
  <c r="AW402" i="2"/>
  <c r="AS402" i="2" s="1"/>
  <c r="AT402" i="2" s="1"/>
  <c r="AU402" i="2" s="1"/>
  <c r="AV402" i="2"/>
  <c r="AW401" i="2"/>
  <c r="AV401" i="2"/>
  <c r="AS401" i="2"/>
  <c r="AT401" i="2" s="1"/>
  <c r="AU401" i="2" s="1"/>
  <c r="AW400" i="2"/>
  <c r="AV400" i="2"/>
  <c r="AS400" i="2"/>
  <c r="AT400" i="2" s="1"/>
  <c r="AU400" i="2" s="1"/>
  <c r="AW399" i="2"/>
  <c r="AV399" i="2"/>
  <c r="AS399" i="2"/>
  <c r="AT399" i="2" s="1"/>
  <c r="AU399" i="2" s="1"/>
  <c r="AW398" i="2"/>
  <c r="AS398" i="2" s="1"/>
  <c r="AT398" i="2" s="1"/>
  <c r="AU398" i="2" s="1"/>
  <c r="AV398" i="2"/>
  <c r="AW397" i="2"/>
  <c r="AV397" i="2"/>
  <c r="AW396" i="2"/>
  <c r="AV396" i="2"/>
  <c r="AS396" i="2"/>
  <c r="AT396" i="2" s="1"/>
  <c r="AU396" i="2" s="1"/>
  <c r="AW395" i="2"/>
  <c r="AV395" i="2"/>
  <c r="AS395" i="2" s="1"/>
  <c r="AT395" i="2"/>
  <c r="AU395" i="2" s="1"/>
  <c r="AW394" i="2"/>
  <c r="AV394" i="2"/>
  <c r="AS394" i="2" s="1"/>
  <c r="AT394" i="2" s="1"/>
  <c r="AU394" i="2" s="1"/>
  <c r="AW393" i="2"/>
  <c r="AV393" i="2"/>
  <c r="AS393" i="2"/>
  <c r="AT393" i="2" s="1"/>
  <c r="AU393" i="2" s="1"/>
  <c r="AW392" i="2"/>
  <c r="AS392" i="2" s="1"/>
  <c r="AT392" i="2" s="1"/>
  <c r="AU392" i="2" s="1"/>
  <c r="AV392" i="2"/>
  <c r="AW391" i="2"/>
  <c r="AS391" i="2" s="1"/>
  <c r="AT391" i="2" s="1"/>
  <c r="AU391" i="2" s="1"/>
  <c r="AV391" i="2"/>
  <c r="AW390" i="2"/>
  <c r="AV390" i="2"/>
  <c r="AS390" i="2"/>
  <c r="AT390" i="2" s="1"/>
  <c r="AU390" i="2" s="1"/>
  <c r="AW389" i="2"/>
  <c r="AV389" i="2"/>
  <c r="AS389" i="2"/>
  <c r="AT389" i="2" s="1"/>
  <c r="AU389" i="2" s="1"/>
  <c r="AW388" i="2"/>
  <c r="AS388" i="2" s="1"/>
  <c r="AT388" i="2" s="1"/>
  <c r="AU388" i="2" s="1"/>
  <c r="AV388" i="2"/>
  <c r="AW387" i="2"/>
  <c r="AV387" i="2"/>
  <c r="AS387" i="2"/>
  <c r="AT387" i="2" s="1"/>
  <c r="AU387" i="2" s="1"/>
  <c r="AW386" i="2"/>
  <c r="AV386" i="2"/>
  <c r="AS386" i="2"/>
  <c r="AT386" i="2" s="1"/>
  <c r="AU386" i="2" s="1"/>
  <c r="AW385" i="2"/>
  <c r="AV385" i="2"/>
  <c r="AS385" i="2"/>
  <c r="AT385" i="2" s="1"/>
  <c r="AU385" i="2" s="1"/>
  <c r="AW384" i="2"/>
  <c r="AV384" i="2"/>
  <c r="AS384" i="2" s="1"/>
  <c r="AT384" i="2"/>
  <c r="AU384" i="2" s="1"/>
  <c r="AW383" i="2"/>
  <c r="AV383" i="2"/>
  <c r="AW382" i="2"/>
  <c r="AV382" i="2"/>
  <c r="AW381" i="2"/>
  <c r="AS381" i="2" s="1"/>
  <c r="AT381" i="2" s="1"/>
  <c r="AU381" i="2" s="1"/>
  <c r="AV381" i="2"/>
  <c r="AW380" i="2"/>
  <c r="AV380" i="2"/>
  <c r="AW379" i="2"/>
  <c r="AV379" i="2"/>
  <c r="AS379" i="2"/>
  <c r="AT379" i="2" s="1"/>
  <c r="AU379" i="2" s="1"/>
  <c r="AW378" i="2"/>
  <c r="AV378" i="2"/>
  <c r="AS378" i="2"/>
  <c r="AT378" i="2" s="1"/>
  <c r="AU378" i="2" s="1"/>
  <c r="AW377" i="2"/>
  <c r="AV377" i="2"/>
  <c r="AS377" i="2"/>
  <c r="AT377" i="2" s="1"/>
  <c r="AU377" i="2" s="1"/>
  <c r="AW376" i="2"/>
  <c r="AV376" i="2"/>
  <c r="AW375" i="2"/>
  <c r="AV375" i="2"/>
  <c r="AS375" i="2"/>
  <c r="AT375" i="2" s="1"/>
  <c r="AU375" i="2" s="1"/>
  <c r="AW374" i="2"/>
  <c r="AV374" i="2"/>
  <c r="AW373" i="2"/>
  <c r="AV373" i="2"/>
  <c r="AS373" i="2"/>
  <c r="AT373" i="2" s="1"/>
  <c r="AU373" i="2" s="1"/>
  <c r="AW372" i="2"/>
  <c r="AV372" i="2"/>
  <c r="AW371" i="2"/>
  <c r="AS371" i="2" s="1"/>
  <c r="AT371" i="2" s="1"/>
  <c r="AU371" i="2" s="1"/>
  <c r="AV371" i="2"/>
  <c r="AW370" i="2"/>
  <c r="AV370" i="2"/>
  <c r="AW369" i="2"/>
  <c r="AV369" i="2"/>
  <c r="AW368" i="2"/>
  <c r="AV368" i="2"/>
  <c r="AS368" i="2"/>
  <c r="AT368" i="2" s="1"/>
  <c r="AU368" i="2" s="1"/>
  <c r="AW367" i="2"/>
  <c r="AS367" i="2" s="1"/>
  <c r="AT367" i="2" s="1"/>
  <c r="AU367" i="2" s="1"/>
  <c r="AV367" i="2"/>
  <c r="AW366" i="2"/>
  <c r="AV366" i="2"/>
  <c r="AW365" i="2"/>
  <c r="AV365" i="2"/>
  <c r="AS365" i="2"/>
  <c r="AT365" i="2" s="1"/>
  <c r="AU365" i="2" s="1"/>
  <c r="AW364" i="2"/>
  <c r="AV364" i="2"/>
  <c r="AS364" i="2"/>
  <c r="AT364" i="2" s="1"/>
  <c r="AU364" i="2" s="1"/>
  <c r="AW363" i="2"/>
  <c r="AV363" i="2"/>
  <c r="AW362" i="2"/>
  <c r="AV362" i="2"/>
  <c r="AS362" i="2"/>
  <c r="AT362" i="2" s="1"/>
  <c r="AU362" i="2" s="1"/>
  <c r="AW361" i="2"/>
  <c r="AS361" i="2" s="1"/>
  <c r="AT361" i="2" s="1"/>
  <c r="AU361" i="2" s="1"/>
  <c r="AV361" i="2"/>
  <c r="AW360" i="2"/>
  <c r="AV360" i="2"/>
  <c r="AS360" i="2"/>
  <c r="AT360" i="2" s="1"/>
  <c r="AU360" i="2" s="1"/>
  <c r="AW359" i="2"/>
  <c r="AV359" i="2"/>
  <c r="AW358" i="2"/>
  <c r="AV358" i="2"/>
  <c r="AS358" i="2"/>
  <c r="AT358" i="2" s="1"/>
  <c r="AU358" i="2" s="1"/>
  <c r="AW357" i="2"/>
  <c r="AS357" i="2" s="1"/>
  <c r="AT357" i="2" s="1"/>
  <c r="AU357" i="2" s="1"/>
  <c r="AV357" i="2"/>
  <c r="AW356" i="2"/>
  <c r="AV356" i="2"/>
  <c r="AS356" i="2" s="1"/>
  <c r="AT356" i="2" s="1"/>
  <c r="AU356" i="2" s="1"/>
  <c r="AW355" i="2"/>
  <c r="AV355" i="2"/>
  <c r="AS355" i="2"/>
  <c r="AT355" i="2" s="1"/>
  <c r="AU355" i="2" s="1"/>
  <c r="AW354" i="2"/>
  <c r="AV354" i="2"/>
  <c r="AS354" i="2"/>
  <c r="AT354" i="2" s="1"/>
  <c r="AU354" i="2" s="1"/>
  <c r="AW353" i="2"/>
  <c r="AV353" i="2"/>
  <c r="AS353" i="2"/>
  <c r="AT353" i="2" s="1"/>
  <c r="AU353" i="2" s="1"/>
  <c r="AW352" i="2"/>
  <c r="AV352" i="2"/>
  <c r="AW351" i="2"/>
  <c r="AS351" i="2" s="1"/>
  <c r="AT351" i="2" s="1"/>
  <c r="AU351" i="2" s="1"/>
  <c r="AV351" i="2"/>
  <c r="AW350" i="2"/>
  <c r="AS350" i="2" s="1"/>
  <c r="AT350" i="2" s="1"/>
  <c r="AU350" i="2" s="1"/>
  <c r="AV350" i="2"/>
  <c r="AW349" i="2"/>
  <c r="AV349" i="2"/>
  <c r="AS349" i="2"/>
  <c r="AT349" i="2" s="1"/>
  <c r="AU349" i="2" s="1"/>
  <c r="AW348" i="2"/>
  <c r="AV348" i="2"/>
  <c r="AS348" i="2"/>
  <c r="AT348" i="2" s="1"/>
  <c r="AU348" i="2" s="1"/>
  <c r="AW347" i="2"/>
  <c r="AS347" i="2" s="1"/>
  <c r="AT347" i="2" s="1"/>
  <c r="AU347" i="2" s="1"/>
  <c r="AV347" i="2"/>
  <c r="AW346" i="2"/>
  <c r="AV346" i="2"/>
  <c r="AW345" i="2"/>
  <c r="AV345" i="2"/>
  <c r="AS345" i="2"/>
  <c r="AT345" i="2" s="1"/>
  <c r="AU345" i="2" s="1"/>
  <c r="AW344" i="2"/>
  <c r="AV344" i="2"/>
  <c r="AW343" i="2"/>
  <c r="AV343" i="2"/>
  <c r="AS343" i="2"/>
  <c r="AT343" i="2" s="1"/>
  <c r="AU343" i="2" s="1"/>
  <c r="AW342" i="2"/>
  <c r="AV342" i="2"/>
  <c r="AS342" i="2"/>
  <c r="AT342" i="2" s="1"/>
  <c r="AU342" i="2" s="1"/>
  <c r="AW341" i="2"/>
  <c r="AS341" i="2" s="1"/>
  <c r="AT341" i="2" s="1"/>
  <c r="AU341" i="2" s="1"/>
  <c r="AV341" i="2"/>
  <c r="AW340" i="2"/>
  <c r="AV340" i="2"/>
  <c r="AS340" i="2"/>
  <c r="AT340" i="2" s="1"/>
  <c r="AU340" i="2" s="1"/>
  <c r="AW339" i="2"/>
  <c r="AV339" i="2"/>
  <c r="AS339" i="2"/>
  <c r="AT339" i="2" s="1"/>
  <c r="AU339" i="2" s="1"/>
  <c r="AW338" i="2"/>
  <c r="AV338" i="2"/>
  <c r="AW337" i="2"/>
  <c r="AV337" i="2"/>
  <c r="AS337" i="2"/>
  <c r="AT337" i="2" s="1"/>
  <c r="AU337" i="2" s="1"/>
  <c r="AW336" i="2"/>
  <c r="AV336" i="2"/>
  <c r="AS336" i="2"/>
  <c r="AT336" i="2" s="1"/>
  <c r="AU336" i="2" s="1"/>
  <c r="AW335" i="2"/>
  <c r="AV335" i="2"/>
  <c r="AW334" i="2"/>
  <c r="AV334" i="2"/>
  <c r="AS334" i="2"/>
  <c r="AT334" i="2" s="1"/>
  <c r="AU334" i="2" s="1"/>
  <c r="AW333" i="2"/>
  <c r="AV333" i="2"/>
  <c r="AW332" i="2"/>
  <c r="AV332" i="2"/>
  <c r="AS332" i="2"/>
  <c r="AT332" i="2" s="1"/>
  <c r="AU332" i="2" s="1"/>
  <c r="AW331" i="2"/>
  <c r="AS331" i="2" s="1"/>
  <c r="AT331" i="2" s="1"/>
  <c r="AU331" i="2" s="1"/>
  <c r="AV331" i="2"/>
  <c r="AW330" i="2"/>
  <c r="AV330" i="2"/>
  <c r="AS330" i="2"/>
  <c r="AT330" i="2" s="1"/>
  <c r="AU330" i="2" s="1"/>
  <c r="AW329" i="2"/>
  <c r="AV329" i="2"/>
  <c r="AS329" i="2"/>
  <c r="AT329" i="2" s="1"/>
  <c r="AU329" i="2" s="1"/>
  <c r="AW328" i="2"/>
  <c r="AV328" i="2"/>
  <c r="AW327" i="2"/>
  <c r="AV327" i="2"/>
  <c r="AW326" i="2"/>
  <c r="AV326" i="2"/>
  <c r="AS326" i="2"/>
  <c r="AT326" i="2" s="1"/>
  <c r="AU326" i="2" s="1"/>
  <c r="AW325" i="2"/>
  <c r="AV325" i="2"/>
  <c r="AS325" i="2"/>
  <c r="AT325" i="2" s="1"/>
  <c r="AU325" i="2" s="1"/>
  <c r="AW324" i="2"/>
  <c r="AV324" i="2"/>
  <c r="AW323" i="2"/>
  <c r="AV323" i="2"/>
  <c r="AS323" i="2"/>
  <c r="AT323" i="2" s="1"/>
  <c r="AU323" i="2" s="1"/>
  <c r="AW322" i="2"/>
  <c r="AS322" i="2" s="1"/>
  <c r="AT322" i="2" s="1"/>
  <c r="AU322" i="2" s="1"/>
  <c r="AV322" i="2"/>
  <c r="AW321" i="2"/>
  <c r="AS321" i="2" s="1"/>
  <c r="AT321" i="2" s="1"/>
  <c r="AU321" i="2" s="1"/>
  <c r="AV321" i="2"/>
  <c r="AW320" i="2"/>
  <c r="AV320" i="2"/>
  <c r="AW319" i="2"/>
  <c r="AV319" i="2"/>
  <c r="AW318" i="2"/>
  <c r="AV318" i="2"/>
  <c r="AW317" i="2"/>
  <c r="AS317" i="2" s="1"/>
  <c r="AT317" i="2" s="1"/>
  <c r="AU317" i="2" s="1"/>
  <c r="AV317" i="2"/>
  <c r="AW316" i="2"/>
  <c r="AV316" i="2"/>
  <c r="AS316" i="2"/>
  <c r="AT316" i="2" s="1"/>
  <c r="AU316" i="2" s="1"/>
  <c r="AW315" i="2"/>
  <c r="AV315" i="2"/>
  <c r="AW314" i="2"/>
  <c r="AV314" i="2"/>
  <c r="AS314" i="2" s="1"/>
  <c r="AT314" i="2" s="1"/>
  <c r="AU314" i="2" s="1"/>
  <c r="AW313" i="2"/>
  <c r="AV313" i="2"/>
  <c r="AW312" i="2"/>
  <c r="AV312" i="2"/>
  <c r="AS312" i="2"/>
  <c r="AT312" i="2" s="1"/>
  <c r="AU312" i="2" s="1"/>
  <c r="AW311" i="2"/>
  <c r="AV311" i="2"/>
  <c r="AS311" i="2"/>
  <c r="AT311" i="2" s="1"/>
  <c r="AU311" i="2" s="1"/>
  <c r="AW310" i="2"/>
  <c r="AS310" i="2" s="1"/>
  <c r="AT310" i="2" s="1"/>
  <c r="AU310" i="2" s="1"/>
  <c r="AV310" i="2"/>
  <c r="AW309" i="2"/>
  <c r="AV309" i="2"/>
  <c r="AS309" i="2"/>
  <c r="AT309" i="2" s="1"/>
  <c r="AU309" i="2" s="1"/>
  <c r="AW308" i="2"/>
  <c r="AV308" i="2"/>
  <c r="AW307" i="2"/>
  <c r="AV307" i="2"/>
  <c r="AW306" i="2"/>
  <c r="AS306" i="2" s="1"/>
  <c r="AT306" i="2" s="1"/>
  <c r="AU306" i="2" s="1"/>
  <c r="AV306" i="2"/>
  <c r="AW305" i="2"/>
  <c r="AV305" i="2"/>
  <c r="AS305" i="2"/>
  <c r="AT305" i="2" s="1"/>
  <c r="AU305" i="2" s="1"/>
  <c r="AW304" i="2"/>
  <c r="AV304" i="2"/>
  <c r="AS304" i="2"/>
  <c r="AT304" i="2" s="1"/>
  <c r="AU304" i="2" s="1"/>
  <c r="AW303" i="2"/>
  <c r="AV303" i="2"/>
  <c r="AS303" i="2"/>
  <c r="AT303" i="2" s="1"/>
  <c r="AU303" i="2" s="1"/>
  <c r="AW302" i="2"/>
  <c r="AV302" i="2"/>
  <c r="AS302" i="2"/>
  <c r="AT302" i="2" s="1"/>
  <c r="AU302" i="2" s="1"/>
  <c r="AW301" i="2"/>
  <c r="AV301" i="2"/>
  <c r="AS301" i="2"/>
  <c r="AT301" i="2" s="1"/>
  <c r="AU301" i="2" s="1"/>
  <c r="AW300" i="2"/>
  <c r="AV300" i="2"/>
  <c r="AW299" i="2"/>
  <c r="AV299" i="2"/>
  <c r="AS299" i="2"/>
  <c r="AT299" i="2" s="1"/>
  <c r="AU299" i="2" s="1"/>
  <c r="AW298" i="2"/>
  <c r="AV298" i="2"/>
  <c r="AS298" i="2"/>
  <c r="AT298" i="2" s="1"/>
  <c r="AU298" i="2" s="1"/>
  <c r="AW297" i="2"/>
  <c r="AV297" i="2"/>
  <c r="AW296" i="2"/>
  <c r="AV296" i="2"/>
  <c r="AW295" i="2"/>
  <c r="AV295" i="2"/>
  <c r="AS295" i="2"/>
  <c r="AT295" i="2" s="1"/>
  <c r="AU295" i="2" s="1"/>
  <c r="AW294" i="2"/>
  <c r="AV294" i="2"/>
  <c r="AS294" i="2"/>
  <c r="AT294" i="2" s="1"/>
  <c r="AU294" i="2" s="1"/>
  <c r="AW293" i="2"/>
  <c r="AV293" i="2"/>
  <c r="AS293" i="2"/>
  <c r="AT293" i="2" s="1"/>
  <c r="AU293" i="2" s="1"/>
  <c r="AW292" i="2"/>
  <c r="AV292" i="2"/>
  <c r="AS292" i="2"/>
  <c r="AT292" i="2" s="1"/>
  <c r="AU292" i="2" s="1"/>
  <c r="AW291" i="2"/>
  <c r="AS291" i="2" s="1"/>
  <c r="AT291" i="2" s="1"/>
  <c r="AU291" i="2" s="1"/>
  <c r="AV291" i="2"/>
  <c r="AW290" i="2"/>
  <c r="AS290" i="2" s="1"/>
  <c r="AT290" i="2" s="1"/>
  <c r="AU290" i="2" s="1"/>
  <c r="AV290" i="2"/>
  <c r="AW289" i="2"/>
  <c r="AV289" i="2"/>
  <c r="AS289" i="2"/>
  <c r="AT289" i="2" s="1"/>
  <c r="AU289" i="2" s="1"/>
  <c r="AW288" i="2"/>
  <c r="AV288" i="2"/>
  <c r="AS288" i="2"/>
  <c r="AT288" i="2" s="1"/>
  <c r="AU288" i="2" s="1"/>
  <c r="AW287" i="2"/>
  <c r="AV287" i="2"/>
  <c r="AW286" i="2"/>
  <c r="AV286" i="2"/>
  <c r="AS286" i="2"/>
  <c r="AT286" i="2" s="1"/>
  <c r="AU286" i="2" s="1"/>
  <c r="AW285" i="2"/>
  <c r="AV285" i="2"/>
  <c r="AW284" i="2"/>
  <c r="AV284" i="2"/>
  <c r="AS284" i="2"/>
  <c r="AT284" i="2" s="1"/>
  <c r="AU284" i="2" s="1"/>
  <c r="AW283" i="2"/>
  <c r="AV283" i="2"/>
  <c r="AW282" i="2"/>
  <c r="AV282" i="2"/>
  <c r="AS282" i="2"/>
  <c r="AT282" i="2" s="1"/>
  <c r="AU282" i="2" s="1"/>
  <c r="AW281" i="2"/>
  <c r="AV281" i="2"/>
  <c r="AW280" i="2"/>
  <c r="AS280" i="2" s="1"/>
  <c r="AT280" i="2" s="1"/>
  <c r="AU280" i="2" s="1"/>
  <c r="AV280" i="2"/>
  <c r="AW279" i="2"/>
  <c r="AV279" i="2"/>
  <c r="AW278" i="2"/>
  <c r="AV278" i="2"/>
  <c r="AS278" i="2"/>
  <c r="AT278" i="2" s="1"/>
  <c r="AU278" i="2" s="1"/>
  <c r="AW277" i="2"/>
  <c r="AV277" i="2"/>
  <c r="AW276" i="2"/>
  <c r="AV276" i="2"/>
  <c r="AS276" i="2"/>
  <c r="AT276" i="2" s="1"/>
  <c r="AU276" i="2" s="1"/>
  <c r="AW275" i="2"/>
  <c r="AS275" i="2" s="1"/>
  <c r="AT275" i="2" s="1"/>
  <c r="AU275" i="2" s="1"/>
  <c r="AV275" i="2"/>
  <c r="AW274" i="2"/>
  <c r="AV274" i="2"/>
  <c r="AS274" i="2" s="1"/>
  <c r="AT274" i="2" s="1"/>
  <c r="AU274" i="2" s="1"/>
  <c r="AW273" i="2"/>
  <c r="AV273" i="2"/>
  <c r="AS273" i="2"/>
  <c r="AT273" i="2" s="1"/>
  <c r="AU273" i="2" s="1"/>
  <c r="AW272" i="2"/>
  <c r="AV272" i="2"/>
  <c r="AS272" i="2"/>
  <c r="AT272" i="2" s="1"/>
  <c r="AU272" i="2" s="1"/>
  <c r="AW271" i="2"/>
  <c r="AV271" i="2"/>
  <c r="AS271" i="2"/>
  <c r="AT271" i="2" s="1"/>
  <c r="AU271" i="2" s="1"/>
  <c r="AW270" i="2"/>
  <c r="AV270" i="2"/>
  <c r="AW269" i="2"/>
  <c r="AV269" i="2"/>
  <c r="AW268" i="2"/>
  <c r="AV268" i="2"/>
  <c r="AW267" i="2"/>
  <c r="AV267" i="2"/>
  <c r="AS267" i="2"/>
  <c r="AT267" i="2" s="1"/>
  <c r="AU267" i="2" s="1"/>
  <c r="AW266" i="2"/>
  <c r="AV266" i="2"/>
  <c r="AS266" i="2"/>
  <c r="AT266" i="2" s="1"/>
  <c r="AU266" i="2" s="1"/>
  <c r="AW265" i="2"/>
  <c r="AS265" i="2" s="1"/>
  <c r="AT265" i="2" s="1"/>
  <c r="AU265" i="2" s="1"/>
  <c r="AV265" i="2"/>
  <c r="AW264" i="2"/>
  <c r="AV264" i="2"/>
  <c r="AS264" i="2"/>
  <c r="AT264" i="2" s="1"/>
  <c r="AU264" i="2" s="1"/>
  <c r="AW263" i="2"/>
  <c r="AV263" i="2"/>
  <c r="AW262" i="2"/>
  <c r="AV262" i="2"/>
  <c r="AW261" i="2"/>
  <c r="AV261" i="2"/>
  <c r="AS261" i="2"/>
  <c r="AT261" i="2" s="1"/>
  <c r="AU261" i="2" s="1"/>
  <c r="AW260" i="2"/>
  <c r="AV260" i="2"/>
  <c r="AS260" i="2"/>
  <c r="AT260" i="2" s="1"/>
  <c r="AU260" i="2" s="1"/>
  <c r="AW259" i="2"/>
  <c r="AV259" i="2"/>
  <c r="AS259" i="2"/>
  <c r="AT259" i="2" s="1"/>
  <c r="AU259" i="2" s="1"/>
  <c r="AW258" i="2"/>
  <c r="AS258" i="2" s="1"/>
  <c r="AT258" i="2" s="1"/>
  <c r="AU258" i="2" s="1"/>
  <c r="AV258" i="2"/>
  <c r="AW257" i="2"/>
  <c r="AV257" i="2"/>
  <c r="AW256" i="2"/>
  <c r="AV256" i="2"/>
  <c r="AS256" i="2"/>
  <c r="AT256" i="2" s="1"/>
  <c r="AU256" i="2" s="1"/>
  <c r="AW255" i="2"/>
  <c r="AS255" i="2" s="1"/>
  <c r="AT255" i="2" s="1"/>
  <c r="AU255" i="2" s="1"/>
  <c r="AV255" i="2"/>
  <c r="AW254" i="2"/>
  <c r="AV254" i="2"/>
  <c r="AS254" i="2"/>
  <c r="AT254" i="2" s="1"/>
  <c r="AU254" i="2" s="1"/>
  <c r="AW253" i="2"/>
  <c r="AV253" i="2"/>
  <c r="AS253" i="2"/>
  <c r="AT253" i="2" s="1"/>
  <c r="AU253" i="2" s="1"/>
  <c r="AW252" i="2"/>
  <c r="AV252" i="2"/>
  <c r="AS252" i="2"/>
  <c r="AT252" i="2" s="1"/>
  <c r="AU252" i="2" s="1"/>
  <c r="AW251" i="2"/>
  <c r="AV251" i="2"/>
  <c r="AW250" i="2"/>
  <c r="AV250" i="2"/>
  <c r="AS250" i="2"/>
  <c r="AT250" i="2" s="1"/>
  <c r="AU250" i="2" s="1"/>
  <c r="AW249" i="2"/>
  <c r="AV249" i="2"/>
  <c r="AW248" i="2"/>
  <c r="AV248" i="2"/>
  <c r="AS248" i="2"/>
  <c r="AT248" i="2" s="1"/>
  <c r="AU248" i="2" s="1"/>
  <c r="AW247" i="2"/>
  <c r="AV247" i="2"/>
  <c r="AS247" i="2"/>
  <c r="AT247" i="2" s="1"/>
  <c r="AU247" i="2" s="1"/>
  <c r="AW246" i="2"/>
  <c r="AV246" i="2"/>
  <c r="AW245" i="2"/>
  <c r="AS245" i="2" s="1"/>
  <c r="AT245" i="2" s="1"/>
  <c r="AU245" i="2" s="1"/>
  <c r="AV245" i="2"/>
  <c r="AW244" i="2"/>
  <c r="AV244" i="2"/>
  <c r="AS244" i="2"/>
  <c r="AT244" i="2" s="1"/>
  <c r="AU244" i="2" s="1"/>
  <c r="AW243" i="2"/>
  <c r="AV243" i="2"/>
  <c r="AW242" i="2"/>
  <c r="AV242" i="2"/>
  <c r="AS242" i="2"/>
  <c r="AT242" i="2" s="1"/>
  <c r="AU242" i="2" s="1"/>
  <c r="AW241" i="2"/>
  <c r="AV241" i="2"/>
  <c r="AS241" i="2"/>
  <c r="AT241" i="2" s="1"/>
  <c r="AU241" i="2" s="1"/>
  <c r="AW240" i="2"/>
  <c r="AV240" i="2"/>
  <c r="AW239" i="2"/>
  <c r="AS239" i="2" s="1"/>
  <c r="AT239" i="2" s="1"/>
  <c r="AU239" i="2" s="1"/>
  <c r="AV239" i="2"/>
  <c r="AW238" i="2"/>
  <c r="AS238" i="2" s="1"/>
  <c r="AT238" i="2" s="1"/>
  <c r="AU238" i="2" s="1"/>
  <c r="AV238" i="2"/>
  <c r="AW237" i="2"/>
  <c r="AV237" i="2"/>
  <c r="AW236" i="2"/>
  <c r="AV236" i="2"/>
  <c r="AS236" i="2" s="1"/>
  <c r="AT236" i="2" s="1"/>
  <c r="AU236" i="2" s="1"/>
  <c r="AW235" i="2"/>
  <c r="AV235" i="2"/>
  <c r="AS235" i="2"/>
  <c r="AT235" i="2" s="1"/>
  <c r="AU235" i="2" s="1"/>
  <c r="AW234" i="2"/>
  <c r="AS234" i="2" s="1"/>
  <c r="AT234" i="2" s="1"/>
  <c r="AU234" i="2" s="1"/>
  <c r="AV234" i="2"/>
  <c r="AW233" i="2"/>
  <c r="AV233" i="2"/>
  <c r="AS233" i="2"/>
  <c r="AT233" i="2" s="1"/>
  <c r="AU233" i="2" s="1"/>
  <c r="AW232" i="2"/>
  <c r="AV232" i="2"/>
  <c r="AW231" i="2"/>
  <c r="AV231" i="2"/>
  <c r="AS231" i="2"/>
  <c r="AT231" i="2" s="1"/>
  <c r="AU231" i="2" s="1"/>
  <c r="AW230" i="2"/>
  <c r="AV230" i="2"/>
  <c r="AS230" i="2"/>
  <c r="AT230" i="2" s="1"/>
  <c r="AU230" i="2" s="1"/>
  <c r="AW229" i="2"/>
  <c r="AV229" i="2"/>
  <c r="AW228" i="2"/>
  <c r="AS228" i="2" s="1"/>
  <c r="AT228" i="2" s="1"/>
  <c r="AU228" i="2" s="1"/>
  <c r="AV228" i="2"/>
  <c r="AW227" i="2"/>
  <c r="AV227" i="2"/>
  <c r="AS227" i="2"/>
  <c r="AT227" i="2" s="1"/>
  <c r="AU227" i="2" s="1"/>
  <c r="AW226" i="2"/>
  <c r="AV226" i="2"/>
  <c r="AS226" i="2"/>
  <c r="AT226" i="2" s="1"/>
  <c r="AU226" i="2" s="1"/>
  <c r="AW225" i="2"/>
  <c r="AV225" i="2"/>
  <c r="AS225" i="2"/>
  <c r="AT225" i="2" s="1"/>
  <c r="AU225" i="2" s="1"/>
  <c r="AW224" i="2"/>
  <c r="AS224" i="2" s="1"/>
  <c r="AT224" i="2" s="1"/>
  <c r="AU224" i="2" s="1"/>
  <c r="AV224" i="2"/>
  <c r="AW223" i="2"/>
  <c r="AV223" i="2"/>
  <c r="AW222" i="2"/>
  <c r="AV222" i="2"/>
  <c r="AS222" i="2"/>
  <c r="AT222" i="2" s="1"/>
  <c r="AU222" i="2" s="1"/>
  <c r="AW221" i="2"/>
  <c r="AV221" i="2"/>
  <c r="AS221" i="2"/>
  <c r="AT221" i="2" s="1"/>
  <c r="AU221" i="2" s="1"/>
  <c r="AW220" i="2"/>
  <c r="AV220" i="2"/>
  <c r="AS220" i="2"/>
  <c r="AT220" i="2" s="1"/>
  <c r="AU220" i="2" s="1"/>
  <c r="AW219" i="2"/>
  <c r="AV219" i="2"/>
  <c r="AS219" i="2"/>
  <c r="AT219" i="2" s="1"/>
  <c r="AU219" i="2" s="1"/>
  <c r="AW218" i="2"/>
  <c r="AS218" i="2" s="1"/>
  <c r="AT218" i="2" s="1"/>
  <c r="AU218" i="2" s="1"/>
  <c r="AV218" i="2"/>
  <c r="AW217" i="2"/>
  <c r="AS217" i="2" s="1"/>
  <c r="AT217" i="2" s="1"/>
  <c r="AU217" i="2" s="1"/>
  <c r="AV217" i="2"/>
  <c r="AW216" i="2"/>
  <c r="AV216" i="2"/>
  <c r="AS216" i="2"/>
  <c r="AT216" i="2" s="1"/>
  <c r="AU216" i="2" s="1"/>
  <c r="AW215" i="2"/>
  <c r="AV215" i="2"/>
  <c r="AW214" i="2"/>
  <c r="AS214" i="2" s="1"/>
  <c r="AT214" i="2" s="1"/>
  <c r="AU214" i="2" s="1"/>
  <c r="AV214" i="2"/>
  <c r="AW213" i="2"/>
  <c r="AV213" i="2"/>
  <c r="AS213" i="2"/>
  <c r="AT213" i="2" s="1"/>
  <c r="AU213" i="2" s="1"/>
  <c r="AW212" i="2"/>
  <c r="AV212" i="2"/>
  <c r="AW211" i="2"/>
  <c r="AV211" i="2"/>
  <c r="AS211" i="2"/>
  <c r="AT211" i="2" s="1"/>
  <c r="AU211" i="2" s="1"/>
  <c r="AW210" i="2"/>
  <c r="AV210" i="2"/>
  <c r="AS210" i="2"/>
  <c r="AT210" i="2" s="1"/>
  <c r="AU210" i="2" s="1"/>
  <c r="AW209" i="2"/>
  <c r="AV209" i="2"/>
  <c r="AS209" i="2"/>
  <c r="AT209" i="2" s="1"/>
  <c r="AU209" i="2" s="1"/>
  <c r="AW208" i="2"/>
  <c r="AS208" i="2" s="1"/>
  <c r="AT208" i="2" s="1"/>
  <c r="AU208" i="2" s="1"/>
  <c r="AV208" i="2"/>
  <c r="AW207" i="2"/>
  <c r="AV207" i="2"/>
  <c r="AS207" i="2"/>
  <c r="AT207" i="2" s="1"/>
  <c r="AU207" i="2" s="1"/>
  <c r="AW206" i="2"/>
  <c r="AV206" i="2"/>
  <c r="AW205" i="2"/>
  <c r="AV205" i="2"/>
  <c r="AS205" i="2"/>
  <c r="AT205" i="2" s="1"/>
  <c r="AU205" i="2" s="1"/>
  <c r="AW204" i="2"/>
  <c r="AV204" i="2"/>
  <c r="AS204" i="2"/>
  <c r="AT204" i="2" s="1"/>
  <c r="AU204" i="2" s="1"/>
  <c r="AW203" i="2"/>
  <c r="AV203" i="2"/>
  <c r="AS203" i="2"/>
  <c r="AT203" i="2" s="1"/>
  <c r="AU203" i="2" s="1"/>
  <c r="AW202" i="2"/>
  <c r="AV202" i="2"/>
  <c r="AS202" i="2"/>
  <c r="AT202" i="2" s="1"/>
  <c r="AU202" i="2" s="1"/>
  <c r="AW201" i="2"/>
  <c r="AV201" i="2"/>
  <c r="AW200" i="2"/>
  <c r="AV200" i="2"/>
  <c r="AS200" i="2"/>
  <c r="AT200" i="2" s="1"/>
  <c r="AU200" i="2" s="1"/>
  <c r="AW199" i="2"/>
  <c r="AV199" i="2"/>
  <c r="AW198" i="2"/>
  <c r="AV198" i="2"/>
  <c r="AW197" i="2"/>
  <c r="AV197" i="2"/>
  <c r="AS197" i="2"/>
  <c r="AT197" i="2" s="1"/>
  <c r="AU197" i="2" s="1"/>
  <c r="AW196" i="2"/>
  <c r="AV196" i="2"/>
  <c r="AW195" i="2"/>
  <c r="AV195" i="2"/>
  <c r="AW194" i="2"/>
  <c r="AS194" i="2" s="1"/>
  <c r="AT194" i="2" s="1"/>
  <c r="AU194" i="2" s="1"/>
  <c r="AV194" i="2"/>
  <c r="AW193" i="2"/>
  <c r="AV193" i="2"/>
  <c r="AW192" i="2"/>
  <c r="AV192" i="2"/>
  <c r="AW191" i="2"/>
  <c r="AV191" i="2"/>
  <c r="AS191" i="2"/>
  <c r="AT191" i="2" s="1"/>
  <c r="AU191" i="2" s="1"/>
  <c r="AW190" i="2"/>
  <c r="AV190" i="2"/>
  <c r="AS190" i="2"/>
  <c r="AT190" i="2" s="1"/>
  <c r="AU190" i="2" s="1"/>
  <c r="AW189" i="2"/>
  <c r="AV189" i="2"/>
  <c r="AS189" i="2"/>
  <c r="AT189" i="2" s="1"/>
  <c r="AU189" i="2" s="1"/>
  <c r="AW188" i="2"/>
  <c r="AV188" i="2"/>
  <c r="AS188" i="2" s="1"/>
  <c r="AT188" i="2" s="1"/>
  <c r="AU188" i="2" s="1"/>
  <c r="AW187" i="2"/>
  <c r="AS187" i="2" s="1"/>
  <c r="AT187" i="2" s="1"/>
  <c r="AU187" i="2" s="1"/>
  <c r="AV187" i="2"/>
  <c r="AW186" i="2"/>
  <c r="AV186" i="2"/>
  <c r="AW185" i="2"/>
  <c r="AV185" i="2"/>
  <c r="AS185" i="2"/>
  <c r="AT185" i="2" s="1"/>
  <c r="AU185" i="2" s="1"/>
  <c r="AW184" i="2"/>
  <c r="AV184" i="2"/>
  <c r="AW183" i="2"/>
  <c r="AS183" i="2" s="1"/>
  <c r="AT183" i="2" s="1"/>
  <c r="AU183" i="2" s="1"/>
  <c r="AV183" i="2"/>
  <c r="AW182" i="2"/>
  <c r="AV182" i="2"/>
  <c r="AS182" i="2"/>
  <c r="AT182" i="2" s="1"/>
  <c r="AU182" i="2" s="1"/>
  <c r="AW181" i="2"/>
  <c r="AV181" i="2"/>
  <c r="AW180" i="2"/>
  <c r="AV180" i="2"/>
  <c r="AW179" i="2"/>
  <c r="AV179" i="2"/>
  <c r="AS179" i="2"/>
  <c r="AT179" i="2" s="1"/>
  <c r="AU179" i="2" s="1"/>
  <c r="AW178" i="2"/>
  <c r="AV178" i="2"/>
  <c r="AW177" i="2"/>
  <c r="AS177" i="2" s="1"/>
  <c r="AT177" i="2" s="1"/>
  <c r="AU177" i="2" s="1"/>
  <c r="AV177" i="2"/>
  <c r="AW176" i="2"/>
  <c r="AV176" i="2"/>
  <c r="AS176" i="2"/>
  <c r="AT176" i="2" s="1"/>
  <c r="AU176" i="2" s="1"/>
  <c r="AW175" i="2"/>
  <c r="AV175" i="2"/>
  <c r="AS175" i="2"/>
  <c r="AT175" i="2" s="1"/>
  <c r="AU175" i="2" s="1"/>
  <c r="AW174" i="2"/>
  <c r="AV174" i="2"/>
  <c r="AW173" i="2"/>
  <c r="AV173" i="2"/>
  <c r="AW172" i="2"/>
  <c r="AV172" i="2"/>
  <c r="AS172" i="2"/>
  <c r="AT172" i="2" s="1"/>
  <c r="AU172" i="2" s="1"/>
  <c r="AW171" i="2"/>
  <c r="AV171" i="2"/>
  <c r="AS171" i="2"/>
  <c r="AT171" i="2" s="1"/>
  <c r="AU171" i="2" s="1"/>
  <c r="AW170" i="2"/>
  <c r="AV170" i="2"/>
  <c r="AS170" i="2"/>
  <c r="AT170" i="2" s="1"/>
  <c r="AU170" i="2" s="1"/>
  <c r="AW169" i="2"/>
  <c r="AV169" i="2"/>
  <c r="AS169" i="2"/>
  <c r="AT169" i="2" s="1"/>
  <c r="AU169" i="2" s="1"/>
  <c r="AW168" i="2"/>
  <c r="AS168" i="2" s="1"/>
  <c r="AT168" i="2" s="1"/>
  <c r="AU168" i="2" s="1"/>
  <c r="AV168" i="2"/>
  <c r="AW167" i="2"/>
  <c r="AV167" i="2"/>
  <c r="AW166" i="2"/>
  <c r="AV166" i="2"/>
  <c r="AS166" i="2"/>
  <c r="AT166" i="2" s="1"/>
  <c r="AU166" i="2" s="1"/>
  <c r="AW165" i="2"/>
  <c r="AV165" i="2"/>
  <c r="AS165" i="2"/>
  <c r="AT165" i="2" s="1"/>
  <c r="AU165" i="2" s="1"/>
  <c r="AW164" i="2"/>
  <c r="AV164" i="2"/>
  <c r="AW163" i="2"/>
  <c r="AV163" i="2"/>
  <c r="AS163" i="2"/>
  <c r="AT163" i="2" s="1"/>
  <c r="AU163" i="2" s="1"/>
  <c r="AW162" i="2"/>
  <c r="AV162" i="2"/>
  <c r="AS162" i="2"/>
  <c r="AT162" i="2" s="1"/>
  <c r="AU162" i="2" s="1"/>
  <c r="AW161" i="2"/>
  <c r="AV161" i="2"/>
  <c r="AS161" i="2"/>
  <c r="AT161" i="2" s="1"/>
  <c r="AU161" i="2" s="1"/>
  <c r="AW160" i="2"/>
  <c r="AV160" i="2"/>
  <c r="AS160" i="2" s="1"/>
  <c r="AT160" i="2" s="1"/>
  <c r="AU160" i="2" s="1"/>
  <c r="AW159" i="2"/>
  <c r="AV159" i="2"/>
  <c r="AS159" i="2"/>
  <c r="AT159" i="2" s="1"/>
  <c r="AU159" i="2" s="1"/>
  <c r="AW158" i="2"/>
  <c r="AS158" i="2" s="1"/>
  <c r="AT158" i="2" s="1"/>
  <c r="AU158" i="2" s="1"/>
  <c r="AV158" i="2"/>
  <c r="AW157" i="2"/>
  <c r="AS157" i="2" s="1"/>
  <c r="AT157" i="2" s="1"/>
  <c r="AU157" i="2" s="1"/>
  <c r="AV157" i="2"/>
  <c r="AW156" i="2"/>
  <c r="AV156" i="2"/>
  <c r="AW155" i="2"/>
  <c r="AV155" i="2"/>
  <c r="AS155" i="2"/>
  <c r="AT155" i="2" s="1"/>
  <c r="AU155" i="2" s="1"/>
  <c r="AW154" i="2"/>
  <c r="AV154" i="2"/>
  <c r="AW153" i="2"/>
  <c r="AV153" i="2"/>
  <c r="AS153" i="2"/>
  <c r="AT153" i="2" s="1"/>
  <c r="AU153" i="2" s="1"/>
  <c r="AW152" i="2"/>
  <c r="AV152" i="2"/>
  <c r="AS152" i="2"/>
  <c r="AT152" i="2" s="1"/>
  <c r="AU152" i="2" s="1"/>
  <c r="AW151" i="2"/>
  <c r="AV151" i="2"/>
  <c r="AW150" i="2"/>
  <c r="AV150" i="2"/>
  <c r="AW149" i="2"/>
  <c r="AV149" i="2"/>
  <c r="AS149" i="2"/>
  <c r="AT149" i="2" s="1"/>
  <c r="AU149" i="2" s="1"/>
  <c r="AW148" i="2"/>
  <c r="AV148" i="2"/>
  <c r="AW147" i="2"/>
  <c r="AS147" i="2" s="1"/>
  <c r="AT147" i="2" s="1"/>
  <c r="AU147" i="2" s="1"/>
  <c r="AV147" i="2"/>
  <c r="AW146" i="2"/>
  <c r="AV146" i="2"/>
  <c r="AS146" i="2"/>
  <c r="AT146" i="2" s="1"/>
  <c r="AU146" i="2" s="1"/>
  <c r="AW145" i="2"/>
  <c r="AV145" i="2"/>
  <c r="AW144" i="2"/>
  <c r="AV144" i="2"/>
  <c r="AS144" i="2"/>
  <c r="AT144" i="2" s="1"/>
  <c r="AU144" i="2" s="1"/>
  <c r="AW143" i="2"/>
  <c r="AS143" i="2" s="1"/>
  <c r="AT143" i="2" s="1"/>
  <c r="AU143" i="2" s="1"/>
  <c r="AV143" i="2"/>
  <c r="AW142" i="2"/>
  <c r="AV142" i="2"/>
  <c r="AW141" i="2"/>
  <c r="AV141" i="2"/>
  <c r="AS141" i="2"/>
  <c r="AT141" i="2" s="1"/>
  <c r="AU141" i="2" s="1"/>
  <c r="AW140" i="2"/>
  <c r="AV140" i="2"/>
  <c r="AS140" i="2"/>
  <c r="AT140" i="2" s="1"/>
  <c r="AU140" i="2" s="1"/>
  <c r="AW139" i="2"/>
  <c r="AV139" i="2"/>
  <c r="AW138" i="2"/>
  <c r="AV138" i="2"/>
  <c r="AS138" i="2"/>
  <c r="AT138" i="2" s="1"/>
  <c r="AU138" i="2" s="1"/>
  <c r="AW137" i="2"/>
  <c r="AS137" i="2" s="1"/>
  <c r="AT137" i="2" s="1"/>
  <c r="AU137" i="2" s="1"/>
  <c r="AV137" i="2"/>
  <c r="AW136" i="2"/>
  <c r="AV136" i="2"/>
  <c r="AW135" i="2"/>
  <c r="AV135" i="2"/>
  <c r="AS135" i="2"/>
  <c r="AT135" i="2" s="1"/>
  <c r="AU135" i="2" s="1"/>
  <c r="AW134" i="2"/>
  <c r="AS134" i="2" s="1"/>
  <c r="AT134" i="2" s="1"/>
  <c r="AU134" i="2" s="1"/>
  <c r="AV134" i="2"/>
  <c r="AW133" i="2"/>
  <c r="AV133" i="2"/>
  <c r="AS133" i="2"/>
  <c r="AT133" i="2" s="1"/>
  <c r="AU133" i="2" s="1"/>
  <c r="AW132" i="2"/>
  <c r="AV132" i="2"/>
  <c r="AS132" i="2"/>
  <c r="AT132" i="2" s="1"/>
  <c r="AU132" i="2" s="1"/>
  <c r="AW131" i="2"/>
  <c r="AV131" i="2"/>
  <c r="AS131" i="2"/>
  <c r="AT131" i="2" s="1"/>
  <c r="AU131" i="2" s="1"/>
  <c r="AW130" i="2"/>
  <c r="AV130" i="2"/>
  <c r="AS130" i="2"/>
  <c r="AT130" i="2" s="1"/>
  <c r="AU130" i="2" s="1"/>
  <c r="AW129" i="2"/>
  <c r="AS129" i="2" s="1"/>
  <c r="AT129" i="2" s="1"/>
  <c r="AU129" i="2" s="1"/>
  <c r="AV129" i="2"/>
  <c r="AW128" i="2"/>
  <c r="AV128" i="2"/>
  <c r="AW127" i="2"/>
  <c r="AV127" i="2"/>
  <c r="AS127" i="2"/>
  <c r="AT127" i="2" s="1"/>
  <c r="AU127" i="2" s="1"/>
  <c r="AW126" i="2"/>
  <c r="AV126" i="2"/>
  <c r="AS126" i="2"/>
  <c r="AT126" i="2" s="1"/>
  <c r="AU126" i="2" s="1"/>
  <c r="AW125" i="2"/>
  <c r="AS125" i="2" s="1"/>
  <c r="AT125" i="2" s="1"/>
  <c r="AU125" i="2" s="1"/>
  <c r="AV125" i="2"/>
  <c r="AW124" i="2"/>
  <c r="AV124" i="2"/>
  <c r="AS124" i="2"/>
  <c r="AT124" i="2" s="1"/>
  <c r="AU124" i="2" s="1"/>
  <c r="AW123" i="2"/>
  <c r="AV123" i="2"/>
  <c r="AW122" i="2"/>
  <c r="AV122" i="2"/>
  <c r="AW121" i="2"/>
  <c r="AV121" i="2"/>
  <c r="AS121" i="2"/>
  <c r="AT121" i="2" s="1"/>
  <c r="AU121" i="2" s="1"/>
  <c r="AW120" i="2"/>
  <c r="AV120" i="2"/>
  <c r="AS120" i="2"/>
  <c r="AT120" i="2" s="1"/>
  <c r="AU120" i="2" s="1"/>
  <c r="AW119" i="2"/>
  <c r="AS119" i="2" s="1"/>
  <c r="AT119" i="2" s="1"/>
  <c r="AU119" i="2" s="1"/>
  <c r="AV119" i="2"/>
  <c r="AW118" i="2"/>
  <c r="AS118" i="2" s="1"/>
  <c r="AT118" i="2" s="1"/>
  <c r="AU118" i="2" s="1"/>
  <c r="AV118" i="2"/>
  <c r="AW117" i="2"/>
  <c r="AV117" i="2"/>
  <c r="AW116" i="2"/>
  <c r="AV116" i="2"/>
  <c r="AS116" i="2"/>
  <c r="AT116" i="2" s="1"/>
  <c r="AU116" i="2" s="1"/>
  <c r="AW115" i="2"/>
  <c r="AS115" i="2" s="1"/>
  <c r="AT115" i="2" s="1"/>
  <c r="AU115" i="2" s="1"/>
  <c r="AV115" i="2"/>
  <c r="AW114" i="2"/>
  <c r="AV114" i="2"/>
  <c r="AS114" i="2"/>
  <c r="AT114" i="2" s="1"/>
  <c r="AU114" i="2" s="1"/>
  <c r="AW113" i="2"/>
  <c r="AV113" i="2"/>
  <c r="AW112" i="2"/>
  <c r="AV112" i="2"/>
  <c r="AS112" i="2"/>
  <c r="AT112" i="2" s="1"/>
  <c r="AU112" i="2" s="1"/>
  <c r="AW111" i="2"/>
  <c r="AV111" i="2"/>
  <c r="AW110" i="2"/>
  <c r="AV110" i="2"/>
  <c r="AS110" i="2"/>
  <c r="AT110" i="2" s="1"/>
  <c r="AU110" i="2" s="1"/>
  <c r="AW109" i="2"/>
  <c r="AS109" i="2" s="1"/>
  <c r="AT109" i="2" s="1"/>
  <c r="AU109" i="2" s="1"/>
  <c r="AV109" i="2"/>
  <c r="AW108" i="2"/>
  <c r="AV108" i="2"/>
  <c r="AS108" i="2"/>
  <c r="AT108" i="2" s="1"/>
  <c r="AU108" i="2" s="1"/>
  <c r="AW107" i="2"/>
  <c r="AV107" i="2"/>
  <c r="AS107" i="2"/>
  <c r="AT107" i="2" s="1"/>
  <c r="AU107" i="2" s="1"/>
  <c r="AW106" i="2"/>
  <c r="AV106" i="2"/>
  <c r="AW105" i="2"/>
  <c r="AS105" i="2" s="1"/>
  <c r="AT105" i="2" s="1"/>
  <c r="AU105" i="2" s="1"/>
  <c r="AV105" i="2"/>
  <c r="AW104" i="2"/>
  <c r="AV104" i="2"/>
  <c r="AS104" i="2" s="1"/>
  <c r="AT104" i="2" s="1"/>
  <c r="AU104" i="2"/>
  <c r="AW103" i="2"/>
  <c r="AV103" i="2"/>
  <c r="AS103" i="2"/>
  <c r="AT103" i="2" s="1"/>
  <c r="AU103" i="2" s="1"/>
  <c r="AW102" i="2"/>
  <c r="AV102" i="2"/>
  <c r="AS102" i="2"/>
  <c r="AT102" i="2" s="1"/>
  <c r="AU102" i="2" s="1"/>
  <c r="AW101" i="2"/>
  <c r="AV101" i="2"/>
  <c r="AS101" i="2"/>
  <c r="AT101" i="2" s="1"/>
  <c r="AU101" i="2" s="1"/>
  <c r="AW100" i="2"/>
  <c r="AV100" i="2"/>
  <c r="AW99" i="2"/>
  <c r="AS99" i="2" s="1"/>
  <c r="AT99" i="2" s="1"/>
  <c r="AU99" i="2" s="1"/>
  <c r="AV99" i="2"/>
  <c r="AW98" i="2"/>
  <c r="AV98" i="2"/>
  <c r="AW97" i="2"/>
  <c r="AV97" i="2"/>
  <c r="AS97" i="2"/>
  <c r="AT97" i="2" s="1"/>
  <c r="AU97" i="2" s="1"/>
  <c r="AW96" i="2"/>
  <c r="AS96" i="2" s="1"/>
  <c r="AT96" i="2" s="1"/>
  <c r="AU96" i="2" s="1"/>
  <c r="AV96" i="2"/>
  <c r="AW95" i="2"/>
  <c r="AV95" i="2"/>
  <c r="AS95" i="2"/>
  <c r="AT95" i="2" s="1"/>
  <c r="AU95" i="2" s="1"/>
  <c r="AW94" i="2"/>
  <c r="AV94" i="2"/>
  <c r="AW93" i="2"/>
  <c r="AV93" i="2"/>
  <c r="AS93" i="2"/>
  <c r="AT93" i="2" s="1"/>
  <c r="AU93" i="2" s="1"/>
  <c r="AW92" i="2"/>
  <c r="AV92" i="2"/>
  <c r="AS92" i="2"/>
  <c r="AT92" i="2" s="1"/>
  <c r="AU92" i="2" s="1"/>
  <c r="AW91" i="2"/>
  <c r="AV91" i="2"/>
  <c r="AW90" i="2"/>
  <c r="AS90" i="2" s="1"/>
  <c r="AT90" i="2" s="1"/>
  <c r="AU90" i="2" s="1"/>
  <c r="AV90" i="2"/>
  <c r="AW89" i="2"/>
  <c r="AV89" i="2"/>
  <c r="AW88" i="2"/>
  <c r="AV88" i="2"/>
  <c r="AS88" i="2"/>
  <c r="AT88" i="2" s="1"/>
  <c r="AU88" i="2" s="1"/>
  <c r="AW87" i="2"/>
  <c r="AV87" i="2"/>
  <c r="AS87" i="2"/>
  <c r="AT87" i="2" s="1"/>
  <c r="AU87" i="2" s="1"/>
  <c r="AW86" i="2"/>
  <c r="AV86" i="2"/>
  <c r="AW85" i="2"/>
  <c r="AV85" i="2"/>
  <c r="AW84" i="2"/>
  <c r="AV84" i="2"/>
  <c r="AS84" i="2"/>
  <c r="AT84" i="2" s="1"/>
  <c r="AU84" i="2" s="1"/>
  <c r="AW83" i="2"/>
  <c r="AV83" i="2"/>
  <c r="AW82" i="2"/>
  <c r="AV82" i="2"/>
  <c r="AS82" i="2"/>
  <c r="AT82" i="2" s="1"/>
  <c r="AU82" i="2" s="1"/>
  <c r="AW81" i="2"/>
  <c r="AV81" i="2"/>
  <c r="AS81" i="2"/>
  <c r="AT81" i="2" s="1"/>
  <c r="AU81" i="2" s="1"/>
  <c r="AW80" i="2"/>
  <c r="AV80" i="2"/>
  <c r="AS80" i="2"/>
  <c r="AT80" i="2" s="1"/>
  <c r="AU80" i="2" s="1"/>
  <c r="AW79" i="2"/>
  <c r="AV79" i="2"/>
  <c r="AW78" i="2"/>
  <c r="AV78" i="2"/>
  <c r="AS78" i="2" s="1"/>
  <c r="AT78" i="2" s="1"/>
  <c r="AU78" i="2" s="1"/>
  <c r="AW77" i="2"/>
  <c r="AV77" i="2"/>
  <c r="AS77" i="2"/>
  <c r="AT77" i="2" s="1"/>
  <c r="AU77" i="2" s="1"/>
  <c r="AW76" i="2"/>
  <c r="AV76" i="2"/>
  <c r="AS76" i="2"/>
  <c r="AT76" i="2" s="1"/>
  <c r="AU76" i="2" s="1"/>
  <c r="AW75" i="2"/>
  <c r="AS75" i="2" s="1"/>
  <c r="AT75" i="2" s="1"/>
  <c r="AU75" i="2" s="1"/>
  <c r="AV75" i="2"/>
  <c r="AW74" i="2"/>
  <c r="AV74" i="2"/>
  <c r="AS74" i="2"/>
  <c r="AT74" i="2" s="1"/>
  <c r="AU74" i="2" s="1"/>
  <c r="AW73" i="2"/>
  <c r="AV73" i="2"/>
  <c r="AW72" i="2"/>
  <c r="AV72" i="2"/>
  <c r="AW71" i="2"/>
  <c r="AV71" i="2"/>
  <c r="AS71" i="2"/>
  <c r="AT71" i="2" s="1"/>
  <c r="AU71" i="2" s="1"/>
  <c r="AW70" i="2"/>
  <c r="AV70" i="2"/>
  <c r="AS70" i="2"/>
  <c r="AT70" i="2" s="1"/>
  <c r="AU70" i="2" s="1"/>
  <c r="AW69" i="2"/>
  <c r="AV69" i="2"/>
  <c r="AS69" i="2"/>
  <c r="AT69" i="2" s="1"/>
  <c r="AU69" i="2" s="1"/>
  <c r="AW68" i="2"/>
  <c r="AV68" i="2"/>
  <c r="AW67" i="2"/>
  <c r="AV67" i="2"/>
  <c r="AS67" i="2"/>
  <c r="AT67" i="2" s="1"/>
  <c r="AU67" i="2" s="1"/>
  <c r="AW66" i="2"/>
  <c r="AV66" i="2"/>
  <c r="AW65" i="2"/>
  <c r="AV65" i="2"/>
  <c r="AS65" i="2"/>
  <c r="AT65" i="2" s="1"/>
  <c r="AU65" i="2" s="1"/>
  <c r="AW64" i="2"/>
  <c r="AS64" i="2" s="1"/>
  <c r="AT64" i="2" s="1"/>
  <c r="AU64" i="2" s="1"/>
  <c r="AV64" i="2"/>
  <c r="AW63" i="2"/>
  <c r="AV63" i="2"/>
  <c r="AW62" i="2"/>
  <c r="AV62" i="2"/>
  <c r="AS62" i="2"/>
  <c r="AT62" i="2" s="1"/>
  <c r="AU62" i="2" s="1"/>
  <c r="AW61" i="2"/>
  <c r="AV61" i="2"/>
  <c r="AW60" i="2"/>
  <c r="AV60" i="2"/>
  <c r="AS60" i="2"/>
  <c r="AT60" i="2" s="1"/>
  <c r="AU60" i="2" s="1"/>
  <c r="AW59" i="2"/>
  <c r="AS59" i="2" s="1"/>
  <c r="AT59" i="2" s="1"/>
  <c r="AU59" i="2" s="1"/>
  <c r="AV59" i="2"/>
  <c r="AW58" i="2"/>
  <c r="AV58" i="2"/>
  <c r="AS58" i="2"/>
  <c r="AT58" i="2" s="1"/>
  <c r="AU58" i="2" s="1"/>
  <c r="AW57" i="2"/>
  <c r="AV57" i="2"/>
  <c r="AW56" i="2"/>
  <c r="AV56" i="2"/>
  <c r="AS56" i="2" s="1"/>
  <c r="AT56" i="2" s="1"/>
  <c r="AU56" i="2" s="1"/>
  <c r="AW55" i="2"/>
  <c r="AV55" i="2"/>
  <c r="AW54" i="2"/>
  <c r="AV54" i="2"/>
  <c r="AS54" i="2"/>
  <c r="AT54" i="2" s="1"/>
  <c r="AU54" i="2" s="1"/>
  <c r="AW53" i="2"/>
  <c r="AV53" i="2"/>
  <c r="AW52" i="2"/>
  <c r="AV52" i="2"/>
  <c r="AS52" i="2"/>
  <c r="AT52" i="2" s="1"/>
  <c r="AU52" i="2" s="1"/>
  <c r="AW51" i="2"/>
  <c r="AV51" i="2"/>
  <c r="AS51" i="2"/>
  <c r="AT51" i="2" s="1"/>
  <c r="AU51" i="2" s="1"/>
  <c r="AW50" i="2"/>
  <c r="AV50" i="2"/>
  <c r="AS50" i="2"/>
  <c r="AT50" i="2" s="1"/>
  <c r="AU50" i="2" s="1"/>
  <c r="AW49" i="2"/>
  <c r="AV49" i="2"/>
  <c r="AS49" i="2"/>
  <c r="AT49" i="2" s="1"/>
  <c r="AU49" i="2" s="1"/>
  <c r="AW48" i="2"/>
  <c r="AS48" i="2" s="1"/>
  <c r="AT48" i="2" s="1"/>
  <c r="AU48" i="2" s="1"/>
  <c r="AV48" i="2"/>
  <c r="AW47" i="2"/>
  <c r="AV47" i="2"/>
  <c r="AW46" i="2"/>
  <c r="AV46" i="2"/>
  <c r="AS46" i="2"/>
  <c r="AT46" i="2" s="1"/>
  <c r="AU46" i="2" s="1"/>
  <c r="AW45" i="2"/>
  <c r="AV45" i="2"/>
  <c r="AS45" i="2"/>
  <c r="AT45" i="2" s="1"/>
  <c r="AU45" i="2" s="1"/>
  <c r="AW44" i="2"/>
  <c r="AV44" i="2"/>
  <c r="AW43" i="2"/>
  <c r="AV43" i="2"/>
  <c r="AS43" i="2"/>
  <c r="AT43" i="2" s="1"/>
  <c r="AU43" i="2" s="1"/>
  <c r="AW42" i="2"/>
  <c r="AV42" i="2"/>
  <c r="AS42" i="2"/>
  <c r="AT42" i="2" s="1"/>
  <c r="AU42" i="2" s="1"/>
  <c r="AW41" i="2"/>
  <c r="AV41" i="2"/>
  <c r="AW40" i="2"/>
  <c r="AV40" i="2"/>
  <c r="AS40" i="2" s="1"/>
  <c r="AT40" i="2" s="1"/>
  <c r="AU40" i="2" s="1"/>
  <c r="AW39" i="2"/>
  <c r="AV39" i="2"/>
  <c r="AS39" i="2"/>
  <c r="AT39" i="2" s="1"/>
  <c r="AU39" i="2" s="1"/>
  <c r="AW38" i="2"/>
  <c r="AS38" i="2" s="1"/>
  <c r="AT38" i="2" s="1"/>
  <c r="AU38" i="2" s="1"/>
  <c r="AV38" i="2"/>
  <c r="AW37" i="2"/>
  <c r="AS37" i="2" s="1"/>
  <c r="AT37" i="2" s="1"/>
  <c r="AU37" i="2" s="1"/>
  <c r="AV37" i="2"/>
  <c r="AW36" i="2"/>
  <c r="AV36" i="2"/>
  <c r="AS36" i="2"/>
  <c r="AT36" i="2" s="1"/>
  <c r="AU36" i="2" s="1"/>
  <c r="AW35" i="2"/>
  <c r="AV35" i="2"/>
  <c r="AS35" i="2"/>
  <c r="AT35" i="2" s="1"/>
  <c r="AU35" i="2" s="1"/>
  <c r="AW34" i="2"/>
  <c r="AS34" i="2" s="1"/>
  <c r="AT34" i="2" s="1"/>
  <c r="AU34" i="2" s="1"/>
  <c r="AV34" i="2"/>
  <c r="AW33" i="2"/>
  <c r="AV33" i="2"/>
  <c r="AW32" i="2"/>
  <c r="AV32" i="2"/>
  <c r="AS32" i="2"/>
  <c r="AT32" i="2" s="1"/>
  <c r="AU32" i="2" s="1"/>
  <c r="AW31" i="2"/>
  <c r="AV31" i="2"/>
  <c r="AW30" i="2"/>
  <c r="AV30" i="2"/>
  <c r="AS30" i="2"/>
  <c r="AT30" i="2" s="1"/>
  <c r="AU30" i="2" s="1"/>
  <c r="AW29" i="2"/>
  <c r="AV29" i="2"/>
  <c r="AS29" i="2"/>
  <c r="AT29" i="2" s="1"/>
  <c r="AU29" i="2" s="1"/>
  <c r="AW28" i="2"/>
  <c r="AS28" i="2" s="1"/>
  <c r="AT28" i="2" s="1"/>
  <c r="AU28" i="2" s="1"/>
  <c r="AV28" i="2"/>
  <c r="AW27" i="2"/>
  <c r="AV27" i="2"/>
  <c r="AW26" i="2"/>
  <c r="AV26" i="2"/>
  <c r="AS26" i="2"/>
  <c r="AT26" i="2" s="1"/>
  <c r="AU26" i="2" s="1"/>
  <c r="AW25" i="2"/>
  <c r="AV25" i="2"/>
  <c r="AS25" i="2" s="1"/>
  <c r="AT25" i="2" s="1"/>
  <c r="AU25" i="2" s="1"/>
  <c r="AW24" i="2"/>
  <c r="AV24" i="2"/>
  <c r="AW23" i="2"/>
  <c r="AV23" i="2"/>
  <c r="AS23" i="2"/>
  <c r="AT23" i="2" s="1"/>
  <c r="AU23" i="2" s="1"/>
  <c r="AW22" i="2"/>
  <c r="AV22" i="2"/>
  <c r="AW21" i="2"/>
  <c r="AV21" i="2"/>
  <c r="AS21" i="2"/>
  <c r="AT21" i="2" s="1"/>
  <c r="AU21" i="2" s="1"/>
  <c r="AW20" i="2"/>
  <c r="AV20" i="2"/>
  <c r="AS20" i="2"/>
  <c r="AT20" i="2" s="1"/>
  <c r="AU20" i="2" s="1"/>
  <c r="AW19" i="2"/>
  <c r="AV19" i="2"/>
  <c r="AW18" i="2"/>
  <c r="AV18" i="2"/>
  <c r="AS18" i="2"/>
  <c r="AT18" i="2" s="1"/>
  <c r="AU18" i="2" s="1"/>
  <c r="AW17" i="2"/>
  <c r="AS17" i="2" s="1"/>
  <c r="AT17" i="2" s="1"/>
  <c r="AU17" i="2" s="1"/>
  <c r="AV17" i="2"/>
  <c r="AW16" i="2"/>
  <c r="AS16" i="2" s="1"/>
  <c r="AT16" i="2" s="1"/>
  <c r="AU16" i="2" s="1"/>
  <c r="AV16" i="2"/>
  <c r="AW15" i="2"/>
  <c r="AV15" i="2"/>
  <c r="AS15" i="2"/>
  <c r="AT15" i="2" s="1"/>
  <c r="AU15" i="2" s="1"/>
  <c r="AW14" i="2"/>
  <c r="AV14" i="2"/>
  <c r="AS14" i="2"/>
  <c r="AT14" i="2" s="1"/>
  <c r="AU14" i="2" s="1"/>
  <c r="AW13" i="2"/>
  <c r="AS13" i="2" s="1"/>
  <c r="AT13" i="2" s="1"/>
  <c r="AU13" i="2" s="1"/>
  <c r="AV13" i="2"/>
  <c r="AW12" i="2"/>
  <c r="AV12" i="2"/>
  <c r="AW11" i="2"/>
  <c r="AV11" i="2"/>
  <c r="AS11" i="2"/>
  <c r="AT11" i="2" s="1"/>
  <c r="AU11" i="2" s="1"/>
  <c r="AW10" i="2"/>
  <c r="AV10" i="2"/>
  <c r="AW9" i="2"/>
  <c r="AV9" i="2"/>
  <c r="AS9" i="2"/>
  <c r="AT9" i="2" s="1"/>
  <c r="AU9" i="2" s="1"/>
  <c r="AW8" i="2"/>
  <c r="AV8" i="2"/>
  <c r="AS8" i="2"/>
  <c r="AT8" i="2" s="1"/>
  <c r="AU8" i="2" s="1"/>
  <c r="AW7" i="2"/>
  <c r="AS7" i="2" s="1"/>
  <c r="AT7" i="2" s="1"/>
  <c r="AU7" i="2" s="1"/>
  <c r="AV7" i="2"/>
  <c r="AW6" i="2"/>
  <c r="AV6" i="2"/>
  <c r="AS6" i="2"/>
  <c r="AT6" i="2" s="1"/>
  <c r="AU6" i="2" s="1"/>
  <c r="AW5" i="2"/>
  <c r="AV5" i="2"/>
  <c r="AW4" i="2"/>
  <c r="AV4" i="2"/>
  <c r="AS4" i="2"/>
  <c r="AT4" i="2" s="1"/>
  <c r="AU4" i="2" s="1"/>
  <c r="AW3" i="2"/>
  <c r="AV3" i="2"/>
  <c r="AW2" i="2"/>
  <c r="AV2" i="2"/>
  <c r="AS2" i="2" s="1"/>
  <c r="AT2" i="2" s="1"/>
  <c r="AU2" i="2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2" i="1"/>
  <c r="L3" i="1"/>
  <c r="L4" i="1"/>
  <c r="L5" i="1"/>
  <c r="L6" i="1"/>
  <c r="L7" i="1"/>
  <c r="L8" i="1"/>
  <c r="L9" i="1"/>
  <c r="L10" i="1"/>
  <c r="L11" i="1"/>
  <c r="N11" i="1" s="1"/>
  <c r="O11" i="1" s="1"/>
  <c r="P11" i="1" s="1"/>
  <c r="L12" i="1"/>
  <c r="L13" i="1"/>
  <c r="L14" i="1"/>
  <c r="L15" i="1"/>
  <c r="L16" i="1"/>
  <c r="N16" i="1" s="1"/>
  <c r="O16" i="1" s="1"/>
  <c r="P16" i="1" s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N42" i="1" s="1"/>
  <c r="O42" i="1" s="1"/>
  <c r="P42" i="1" s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N77" i="1" s="1"/>
  <c r="O77" i="1" s="1"/>
  <c r="P77" i="1" s="1"/>
  <c r="L78" i="1"/>
  <c r="L79" i="1"/>
  <c r="L80" i="1"/>
  <c r="N80" i="1" s="1"/>
  <c r="O80" i="1" s="1"/>
  <c r="P80" i="1" s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N123" i="1" s="1"/>
  <c r="O123" i="1" s="1"/>
  <c r="P123" i="1" s="1"/>
  <c r="L124" i="1"/>
  <c r="L125" i="1"/>
  <c r="L126" i="1"/>
  <c r="N126" i="1" s="1"/>
  <c r="O126" i="1" s="1"/>
  <c r="P126" i="1" s="1"/>
  <c r="L127" i="1"/>
  <c r="L128" i="1"/>
  <c r="L129" i="1"/>
  <c r="L130" i="1"/>
  <c r="L131" i="1"/>
  <c r="L132" i="1"/>
  <c r="L133" i="1"/>
  <c r="N133" i="1" s="1"/>
  <c r="O133" i="1" s="1"/>
  <c r="P133" i="1" s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N184" i="1" s="1"/>
  <c r="O184" i="1" s="1"/>
  <c r="P184" i="1" s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N200" i="1" s="1"/>
  <c r="O200" i="1" s="1"/>
  <c r="P200" i="1" s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N240" i="1" s="1"/>
  <c r="O240" i="1" s="1"/>
  <c r="P240" i="1" s="1"/>
  <c r="L241" i="1"/>
  <c r="N241" i="1" s="1"/>
  <c r="O241" i="1" s="1"/>
  <c r="P241" i="1" s="1"/>
  <c r="L242" i="1"/>
  <c r="L243" i="1"/>
  <c r="L244" i="1"/>
  <c r="L245" i="1"/>
  <c r="L246" i="1"/>
  <c r="L247" i="1"/>
  <c r="L248" i="1"/>
  <c r="N248" i="1" s="1"/>
  <c r="O248" i="1" s="1"/>
  <c r="P248" i="1" s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N262" i="1" s="1"/>
  <c r="O262" i="1" s="1"/>
  <c r="P262" i="1" s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N294" i="1" s="1"/>
  <c r="O294" i="1" s="1"/>
  <c r="P294" i="1" s="1"/>
  <c r="L295" i="1"/>
  <c r="L296" i="1"/>
  <c r="L297" i="1"/>
  <c r="L298" i="1"/>
  <c r="L299" i="1"/>
  <c r="L300" i="1"/>
  <c r="L301" i="1"/>
  <c r="N301" i="1" s="1"/>
  <c r="O301" i="1" s="1"/>
  <c r="P301" i="1" s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N332" i="1" s="1"/>
  <c r="O332" i="1" s="1"/>
  <c r="P332" i="1" s="1"/>
  <c r="L333" i="1"/>
  <c r="L334" i="1"/>
  <c r="N334" i="1" s="1"/>
  <c r="O334" i="1" s="1"/>
  <c r="P334" i="1" s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N357" i="1" s="1"/>
  <c r="O357" i="1" s="1"/>
  <c r="P357" i="1" s="1"/>
  <c r="L358" i="1"/>
  <c r="L359" i="1"/>
  <c r="L360" i="1"/>
  <c r="N360" i="1" s="1"/>
  <c r="O360" i="1" s="1"/>
  <c r="P360" i="1" s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N374" i="1" s="1"/>
  <c r="O374" i="1" s="1"/>
  <c r="P374" i="1" s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N431" i="1" s="1"/>
  <c r="O431" i="1" s="1"/>
  <c r="P431" i="1" s="1"/>
  <c r="L432" i="1"/>
  <c r="L433" i="1"/>
  <c r="L434" i="1"/>
  <c r="L435" i="1"/>
  <c r="L436" i="1"/>
  <c r="N436" i="1" s="1"/>
  <c r="O436" i="1" s="1"/>
  <c r="P436" i="1" s="1"/>
  <c r="L437" i="1"/>
  <c r="N437" i="1" s="1"/>
  <c r="O437" i="1" s="1"/>
  <c r="P437" i="1" s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N500" i="1" s="1"/>
  <c r="O500" i="1" s="1"/>
  <c r="P500" i="1" s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N515" i="1" s="1"/>
  <c r="O515" i="1" s="1"/>
  <c r="P515" i="1" s="1"/>
  <c r="L516" i="1"/>
  <c r="L517" i="1"/>
  <c r="L518" i="1"/>
  <c r="L519" i="1"/>
  <c r="L520" i="1"/>
  <c r="L521" i="1"/>
  <c r="L522" i="1"/>
  <c r="L523" i="1"/>
  <c r="L524" i="1"/>
  <c r="L525" i="1"/>
  <c r="N525" i="1" s="1"/>
  <c r="O525" i="1" s="1"/>
  <c r="P525" i="1" s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N548" i="1" s="1"/>
  <c r="O548" i="1" s="1"/>
  <c r="P548" i="1" s="1"/>
  <c r="L549" i="1"/>
  <c r="N549" i="1" s="1"/>
  <c r="O549" i="1" s="1"/>
  <c r="P549" i="1" s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N581" i="1" s="1"/>
  <c r="O581" i="1" s="1"/>
  <c r="P581" i="1" s="1"/>
  <c r="L582" i="1"/>
  <c r="L583" i="1"/>
  <c r="L584" i="1"/>
  <c r="N584" i="1" s="1"/>
  <c r="O584" i="1" s="1"/>
  <c r="P584" i="1" s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N602" i="1" s="1"/>
  <c r="O602" i="1" s="1"/>
  <c r="P602" i="1" s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N632" i="1" s="1"/>
  <c r="O632" i="1" s="1"/>
  <c r="P632" i="1" s="1"/>
  <c r="L633" i="1"/>
  <c r="N633" i="1" s="1"/>
  <c r="O633" i="1" s="1"/>
  <c r="P633" i="1" s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N689" i="1" s="1"/>
  <c r="O689" i="1" s="1"/>
  <c r="P689" i="1" s="1"/>
  <c r="L690" i="1"/>
  <c r="L691" i="1"/>
  <c r="L692" i="1"/>
  <c r="L693" i="1"/>
  <c r="N693" i="1" s="1"/>
  <c r="O693" i="1" s="1"/>
  <c r="P693" i="1" s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N724" i="1" s="1"/>
  <c r="O724" i="1" s="1"/>
  <c r="P724" i="1" s="1"/>
  <c r="L725" i="1"/>
  <c r="L726" i="1"/>
  <c r="L727" i="1"/>
  <c r="L728" i="1"/>
  <c r="L729" i="1"/>
  <c r="L730" i="1"/>
  <c r="L731" i="1"/>
  <c r="L732" i="1"/>
  <c r="L733" i="1"/>
  <c r="L734" i="1"/>
  <c r="L735" i="1"/>
  <c r="N735" i="1" s="1"/>
  <c r="O735" i="1" s="1"/>
  <c r="P735" i="1" s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N772" i="1" s="1"/>
  <c r="O772" i="1" s="1"/>
  <c r="P772" i="1" s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N812" i="1" s="1"/>
  <c r="O812" i="1" s="1"/>
  <c r="P812" i="1" s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N829" i="1" s="1"/>
  <c r="O829" i="1" s="1"/>
  <c r="P829" i="1" s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N857" i="1" s="1"/>
  <c r="O857" i="1" s="1"/>
  <c r="P857" i="1" s="1"/>
  <c r="L858" i="1"/>
  <c r="L859" i="1"/>
  <c r="L860" i="1"/>
  <c r="L861" i="1"/>
  <c r="N861" i="1" s="1"/>
  <c r="O861" i="1" s="1"/>
  <c r="P861" i="1" s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N896" i="1" s="1"/>
  <c r="O896" i="1" s="1"/>
  <c r="P896" i="1" s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N917" i="1" s="1"/>
  <c r="O917" i="1" s="1"/>
  <c r="P917" i="1" s="1"/>
  <c r="L918" i="1"/>
  <c r="L919" i="1"/>
  <c r="L920" i="1"/>
  <c r="N920" i="1" s="1"/>
  <c r="O920" i="1" s="1"/>
  <c r="P920" i="1" s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N938" i="1" s="1"/>
  <c r="O938" i="1" s="1"/>
  <c r="P938" i="1" s="1"/>
  <c r="L939" i="1"/>
  <c r="L940" i="1"/>
  <c r="L941" i="1"/>
  <c r="L942" i="1"/>
  <c r="L943" i="1"/>
  <c r="L944" i="1"/>
  <c r="L945" i="1"/>
  <c r="L946" i="1"/>
  <c r="L947" i="1"/>
  <c r="L948" i="1"/>
  <c r="N948" i="1" s="1"/>
  <c r="O948" i="1" s="1"/>
  <c r="P948" i="1" s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N996" i="1" s="1"/>
  <c r="O996" i="1" s="1"/>
  <c r="P996" i="1" s="1"/>
  <c r="L997" i="1"/>
  <c r="N997" i="1" s="1"/>
  <c r="O997" i="1" s="1"/>
  <c r="P997" i="1" s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N1024" i="1" s="1"/>
  <c r="O1024" i="1" s="1"/>
  <c r="P1024" i="1" s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N1080" i="1" s="1"/>
  <c r="O1080" i="1" s="1"/>
  <c r="P1080" i="1" s="1"/>
  <c r="L1081" i="1"/>
  <c r="N1081" i="1" s="1"/>
  <c r="O1081" i="1" s="1"/>
  <c r="P1081" i="1" s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N1120" i="1" s="1"/>
  <c r="O1120" i="1" s="1"/>
  <c r="P1120" i="1" s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N1144" i="1" s="1"/>
  <c r="O1144" i="1" s="1"/>
  <c r="P1144" i="1" s="1"/>
  <c r="L1145" i="1"/>
  <c r="L1146" i="1"/>
  <c r="L1147" i="1"/>
  <c r="L1148" i="1"/>
  <c r="N1148" i="1" s="1"/>
  <c r="O1148" i="1" s="1"/>
  <c r="P1148" i="1" s="1"/>
  <c r="L1149" i="1"/>
  <c r="L1150" i="1"/>
  <c r="L1151" i="1"/>
  <c r="N1151" i="1" s="1"/>
  <c r="O1151" i="1" s="1"/>
  <c r="P1151" i="1" s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N1164" i="1" s="1"/>
  <c r="O1164" i="1" s="1"/>
  <c r="P1164" i="1" s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N1200" i="1" s="1"/>
  <c r="O1200" i="1" s="1"/>
  <c r="P1200" i="1" s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2" i="1"/>
  <c r="AS269" i="2" l="1"/>
  <c r="AT269" i="2" s="1"/>
  <c r="AU269" i="2" s="1"/>
  <c r="AS382" i="2"/>
  <c r="AT382" i="2" s="1"/>
  <c r="AU382" i="2" s="1"/>
  <c r="AS492" i="2"/>
  <c r="AT492" i="2" s="1"/>
  <c r="AU492" i="2" s="1"/>
  <c r="AS270" i="2"/>
  <c r="AT270" i="2" s="1"/>
  <c r="AU270" i="2" s="1"/>
  <c r="AS372" i="2"/>
  <c r="AT372" i="2" s="1"/>
  <c r="AU372" i="2" s="1"/>
  <c r="AS383" i="2"/>
  <c r="AT383" i="2" s="1"/>
  <c r="AU383" i="2" s="1"/>
  <c r="AS178" i="2"/>
  <c r="AT178" i="2" s="1"/>
  <c r="AU178" i="2" s="1"/>
  <c r="AS251" i="2"/>
  <c r="AT251" i="2" s="1"/>
  <c r="AU251" i="2" s="1"/>
  <c r="AS19" i="2"/>
  <c r="AT19" i="2" s="1"/>
  <c r="AU19" i="2" s="1"/>
  <c r="AS333" i="2"/>
  <c r="AT333" i="2" s="1"/>
  <c r="AU333" i="2" s="1"/>
  <c r="AS472" i="2"/>
  <c r="AT472" i="2" s="1"/>
  <c r="AU472" i="2" s="1"/>
  <c r="AS164" i="2"/>
  <c r="AT164" i="2" s="1"/>
  <c r="AU164" i="2" s="1"/>
  <c r="AS287" i="2"/>
  <c r="AT287" i="2" s="1"/>
  <c r="AU287" i="2" s="1"/>
  <c r="AS246" i="2"/>
  <c r="AT246" i="2" s="1"/>
  <c r="AU246" i="2" s="1"/>
  <c r="AS297" i="2"/>
  <c r="AT297" i="2" s="1"/>
  <c r="AU297" i="2" s="1"/>
  <c r="AS318" i="2"/>
  <c r="AT318" i="2" s="1"/>
  <c r="AU318" i="2" s="1"/>
  <c r="AS206" i="2"/>
  <c r="AT206" i="2" s="1"/>
  <c r="AU206" i="2" s="1"/>
  <c r="AS277" i="2"/>
  <c r="AT277" i="2" s="1"/>
  <c r="AU277" i="2" s="1"/>
  <c r="AS308" i="2"/>
  <c r="AT308" i="2" s="1"/>
  <c r="AU308" i="2" s="1"/>
  <c r="AS359" i="2"/>
  <c r="AT359" i="2" s="1"/>
  <c r="AU359" i="2" s="1"/>
  <c r="AS478" i="2"/>
  <c r="AT478" i="2" s="1"/>
  <c r="AU478" i="2" s="1"/>
  <c r="AS320" i="2"/>
  <c r="AT320" i="2" s="1"/>
  <c r="AU320" i="2" s="1"/>
  <c r="AS136" i="2"/>
  <c r="AT136" i="2" s="1"/>
  <c r="AU136" i="2" s="1"/>
  <c r="AS186" i="2"/>
  <c r="AT186" i="2" s="1"/>
  <c r="AU186" i="2" s="1"/>
  <c r="AS430" i="2"/>
  <c r="AT430" i="2" s="1"/>
  <c r="AU430" i="2" s="1"/>
  <c r="AS449" i="2"/>
  <c r="AT449" i="2" s="1"/>
  <c r="AU449" i="2" s="1"/>
  <c r="AS215" i="2"/>
  <c r="AT215" i="2" s="1"/>
  <c r="AU215" i="2" s="1"/>
  <c r="AS458" i="2"/>
  <c r="AT458" i="2" s="1"/>
  <c r="AU458" i="2" s="1"/>
  <c r="AS57" i="2"/>
  <c r="AT57" i="2" s="1"/>
  <c r="AU57" i="2" s="1"/>
  <c r="AS98" i="2"/>
  <c r="AT98" i="2" s="1"/>
  <c r="AU98" i="2" s="1"/>
  <c r="AS198" i="2"/>
  <c r="AT198" i="2" s="1"/>
  <c r="AU198" i="2" s="1"/>
  <c r="AS91" i="2"/>
  <c r="AT91" i="2" s="1"/>
  <c r="AU91" i="2" s="1"/>
  <c r="AS86" i="2"/>
  <c r="AT86" i="2" s="1"/>
  <c r="AU86" i="2" s="1"/>
  <c r="AS154" i="2"/>
  <c r="AT154" i="2" s="1"/>
  <c r="AU154" i="2" s="1"/>
  <c r="AS24" i="2"/>
  <c r="AT24" i="2" s="1"/>
  <c r="AU24" i="2" s="1"/>
  <c r="AS196" i="2"/>
  <c r="AT196" i="2" s="1"/>
  <c r="AU196" i="2" s="1"/>
  <c r="AS66" i="2"/>
  <c r="AT66" i="2" s="1"/>
  <c r="AU66" i="2" s="1"/>
  <c r="AS300" i="2"/>
  <c r="AT300" i="2" s="1"/>
  <c r="AU300" i="2" s="1"/>
  <c r="AS100" i="2"/>
  <c r="AT100" i="2" s="1"/>
  <c r="AU100" i="2" s="1"/>
  <c r="AS106" i="2"/>
  <c r="AT106" i="2" s="1"/>
  <c r="AU106" i="2" s="1"/>
  <c r="AS428" i="2"/>
  <c r="AT428" i="2" s="1"/>
  <c r="AU428" i="2" s="1"/>
  <c r="AS68" i="2"/>
  <c r="AT68" i="2" s="1"/>
  <c r="AU68" i="2" s="1"/>
  <c r="AS421" i="2"/>
  <c r="AT421" i="2" s="1"/>
  <c r="AU421" i="2" s="1"/>
  <c r="AS122" i="2"/>
  <c r="AT122" i="2" s="1"/>
  <c r="AU122" i="2" s="1"/>
  <c r="AS150" i="2"/>
  <c r="AT150" i="2" s="1"/>
  <c r="AU150" i="2" s="1"/>
  <c r="AS344" i="2"/>
  <c r="AT344" i="2" s="1"/>
  <c r="AU344" i="2" s="1"/>
  <c r="AS151" i="2"/>
  <c r="AT151" i="2" s="1"/>
  <c r="AU151" i="2" s="1"/>
  <c r="AS262" i="2"/>
  <c r="AT262" i="2" s="1"/>
  <c r="AU262" i="2" s="1"/>
  <c r="AS243" i="2"/>
  <c r="AT243" i="2" s="1"/>
  <c r="AU243" i="2" s="1"/>
  <c r="AS113" i="2"/>
  <c r="AT113" i="2" s="1"/>
  <c r="AU113" i="2" s="1"/>
  <c r="AS192" i="2"/>
  <c r="AT192" i="2" s="1"/>
  <c r="AU192" i="2" s="1"/>
  <c r="AS455" i="2"/>
  <c r="AT455" i="2" s="1"/>
  <c r="AU455" i="2" s="1"/>
  <c r="AS12" i="2"/>
  <c r="AT12" i="2" s="1"/>
  <c r="AU12" i="2" s="1"/>
  <c r="AS63" i="2"/>
  <c r="AT63" i="2" s="1"/>
  <c r="AU63" i="2" s="1"/>
  <c r="AS142" i="2"/>
  <c r="AT142" i="2" s="1"/>
  <c r="AU142" i="2" s="1"/>
  <c r="AS193" i="2"/>
  <c r="AT193" i="2" s="1"/>
  <c r="AU193" i="2" s="1"/>
  <c r="AS346" i="2"/>
  <c r="AT346" i="2" s="1"/>
  <c r="AU346" i="2" s="1"/>
  <c r="AS466" i="2"/>
  <c r="AT466" i="2" s="1"/>
  <c r="AU466" i="2" s="1"/>
  <c r="AS475" i="2"/>
  <c r="AT475" i="2" s="1"/>
  <c r="AU475" i="2" s="1"/>
  <c r="AS41" i="2"/>
  <c r="AT41" i="2" s="1"/>
  <c r="AU41" i="2" s="1"/>
  <c r="AS374" i="2"/>
  <c r="AT374" i="2" s="1"/>
  <c r="AU374" i="2" s="1"/>
  <c r="AS94" i="2"/>
  <c r="AT94" i="2" s="1"/>
  <c r="AU94" i="2" s="1"/>
  <c r="AS181" i="2"/>
  <c r="AT181" i="2" s="1"/>
  <c r="AU181" i="2" s="1"/>
  <c r="AS263" i="2"/>
  <c r="AT263" i="2" s="1"/>
  <c r="AU263" i="2" s="1"/>
  <c r="AS53" i="2"/>
  <c r="AT53" i="2" s="1"/>
  <c r="AU53" i="2" s="1"/>
  <c r="AS327" i="2"/>
  <c r="AT327" i="2" s="1"/>
  <c r="AU327" i="2" s="1"/>
  <c r="AS486" i="2"/>
  <c r="AT486" i="2" s="1"/>
  <c r="AU486" i="2" s="1"/>
  <c r="AS240" i="2"/>
  <c r="AT240" i="2" s="1"/>
  <c r="AU240" i="2" s="1"/>
  <c r="AS201" i="2"/>
  <c r="AT201" i="2" s="1"/>
  <c r="AU201" i="2" s="1"/>
  <c r="AS283" i="2"/>
  <c r="AT283" i="2" s="1"/>
  <c r="AU283" i="2" s="1"/>
  <c r="AS10" i="2"/>
  <c r="AT10" i="2" s="1"/>
  <c r="AU10" i="2" s="1"/>
  <c r="AS61" i="2"/>
  <c r="AT61" i="2" s="1"/>
  <c r="AU61" i="2" s="1"/>
  <c r="AS484" i="2"/>
  <c r="AT484" i="2" s="1"/>
  <c r="AU484" i="2" s="1"/>
  <c r="AS315" i="2"/>
  <c r="AT315" i="2" s="1"/>
  <c r="AU315" i="2" s="1"/>
  <c r="AS232" i="2"/>
  <c r="AT232" i="2" s="1"/>
  <c r="AU232" i="2" s="1"/>
  <c r="AS425" i="2"/>
  <c r="AT425" i="2" s="1"/>
  <c r="AU425" i="2" s="1"/>
  <c r="AS328" i="2"/>
  <c r="AT328" i="2" s="1"/>
  <c r="AU328" i="2" s="1"/>
  <c r="AS31" i="2"/>
  <c r="AT31" i="2" s="1"/>
  <c r="AU31" i="2" s="1"/>
  <c r="AS313" i="2"/>
  <c r="AT313" i="2" s="1"/>
  <c r="AU313" i="2" s="1"/>
  <c r="AS427" i="2"/>
  <c r="AT427" i="2" s="1"/>
  <c r="AU427" i="2" s="1"/>
  <c r="AS481" i="2"/>
  <c r="AT481" i="2" s="1"/>
  <c r="AU481" i="2" s="1"/>
  <c r="AS55" i="2"/>
  <c r="AT55" i="2" s="1"/>
  <c r="AU55" i="2" s="1"/>
  <c r="AS436" i="2"/>
  <c r="AT436" i="2" s="1"/>
  <c r="AU436" i="2" s="1"/>
  <c r="AS459" i="2"/>
  <c r="AT459" i="2" s="1"/>
  <c r="AU459" i="2" s="1"/>
  <c r="AS3" i="2"/>
  <c r="AT3" i="2" s="1"/>
  <c r="AU3" i="2" s="1"/>
  <c r="AS307" i="2"/>
  <c r="AT307" i="2" s="1"/>
  <c r="AU307" i="2" s="1"/>
  <c r="AS85" i="2"/>
  <c r="AT85" i="2" s="1"/>
  <c r="AU85" i="2" s="1"/>
  <c r="AS180" i="2"/>
  <c r="AT180" i="2" s="1"/>
  <c r="AU180" i="2" s="1"/>
  <c r="AS366" i="2"/>
  <c r="AT366" i="2" s="1"/>
  <c r="AU366" i="2" s="1"/>
  <c r="AS414" i="2"/>
  <c r="AT414" i="2" s="1"/>
  <c r="AU414" i="2" s="1"/>
  <c r="AS195" i="2"/>
  <c r="AT195" i="2" s="1"/>
  <c r="AU195" i="2" s="1"/>
  <c r="AS335" i="2"/>
  <c r="AT335" i="2" s="1"/>
  <c r="AU335" i="2" s="1"/>
  <c r="AS145" i="2"/>
  <c r="AT145" i="2" s="1"/>
  <c r="AU145" i="2" s="1"/>
  <c r="AS447" i="2"/>
  <c r="AT447" i="2" s="1"/>
  <c r="AU447" i="2" s="1"/>
  <c r="AS73" i="2"/>
  <c r="AT73" i="2" s="1"/>
  <c r="AU73" i="2" s="1"/>
  <c r="AS117" i="2"/>
  <c r="AT117" i="2" s="1"/>
  <c r="AU117" i="2" s="1"/>
  <c r="AS494" i="2"/>
  <c r="AT494" i="2" s="1"/>
  <c r="AU494" i="2" s="1"/>
  <c r="AS453" i="2"/>
  <c r="AT453" i="2" s="1"/>
  <c r="AU453" i="2" s="1"/>
  <c r="AS199" i="2"/>
  <c r="AT199" i="2" s="1"/>
  <c r="AU199" i="2" s="1"/>
  <c r="AS370" i="2"/>
  <c r="AT370" i="2" s="1"/>
  <c r="AU370" i="2" s="1"/>
  <c r="AS433" i="2"/>
  <c r="AT433" i="2" s="1"/>
  <c r="AU433" i="2" s="1"/>
  <c r="AS5" i="2"/>
  <c r="AT5" i="2" s="1"/>
  <c r="AU5" i="2" s="1"/>
  <c r="AS174" i="2"/>
  <c r="AT174" i="2" s="1"/>
  <c r="AU174" i="2" s="1"/>
  <c r="AS79" i="2"/>
  <c r="AT79" i="2" s="1"/>
  <c r="AU79" i="2" s="1"/>
  <c r="AS212" i="2"/>
  <c r="AT212" i="2" s="1"/>
  <c r="AU212" i="2" s="1"/>
  <c r="AS338" i="2"/>
  <c r="AT338" i="2" s="1"/>
  <c r="AU338" i="2" s="1"/>
  <c r="AS139" i="2"/>
  <c r="AT139" i="2" s="1"/>
  <c r="AU139" i="2" s="1"/>
  <c r="AS296" i="2"/>
  <c r="AT296" i="2" s="1"/>
  <c r="AU296" i="2" s="1"/>
  <c r="AS319" i="2"/>
  <c r="AT319" i="2" s="1"/>
  <c r="AU319" i="2" s="1"/>
  <c r="AS249" i="2"/>
  <c r="AT249" i="2" s="1"/>
  <c r="AU249" i="2" s="1"/>
  <c r="AS376" i="2"/>
  <c r="AT376" i="2" s="1"/>
  <c r="AU376" i="2" s="1"/>
  <c r="AS44" i="2"/>
  <c r="AT44" i="2" s="1"/>
  <c r="AU44" i="2" s="1"/>
  <c r="AS111" i="2"/>
  <c r="AT111" i="2" s="1"/>
  <c r="AU111" i="2" s="1"/>
  <c r="AS47" i="2"/>
  <c r="AT47" i="2" s="1"/>
  <c r="AU47" i="2" s="1"/>
  <c r="AS123" i="2"/>
  <c r="AT123" i="2" s="1"/>
  <c r="AU123" i="2" s="1"/>
  <c r="AS408" i="2"/>
  <c r="AT408" i="2" s="1"/>
  <c r="AU408" i="2" s="1"/>
  <c r="AS257" i="2"/>
  <c r="AT257" i="2" s="1"/>
  <c r="AU257" i="2" s="1"/>
  <c r="AS148" i="2"/>
  <c r="AT148" i="2" s="1"/>
  <c r="AU148" i="2" s="1"/>
  <c r="AS156" i="2"/>
  <c r="AT156" i="2" s="1"/>
  <c r="AU156" i="2" s="1"/>
  <c r="AS237" i="2"/>
  <c r="AT237" i="2" s="1"/>
  <c r="AU237" i="2" s="1"/>
  <c r="AS22" i="2"/>
  <c r="AT22" i="2" s="1"/>
  <c r="AU22" i="2" s="1"/>
  <c r="AS281" i="2"/>
  <c r="AT281" i="2" s="1"/>
  <c r="AU281" i="2" s="1"/>
  <c r="AS352" i="2"/>
  <c r="AT352" i="2" s="1"/>
  <c r="AU352" i="2" s="1"/>
  <c r="AS397" i="2"/>
  <c r="AT397" i="2" s="1"/>
  <c r="AU397" i="2" s="1"/>
  <c r="AS324" i="2"/>
  <c r="AT324" i="2" s="1"/>
  <c r="AU324" i="2" s="1"/>
  <c r="AS419" i="2"/>
  <c r="AT419" i="2" s="1"/>
  <c r="AU419" i="2" s="1"/>
  <c r="AS464" i="2"/>
  <c r="AT464" i="2" s="1"/>
  <c r="AU464" i="2" s="1"/>
  <c r="AS89" i="2"/>
  <c r="AT89" i="2" s="1"/>
  <c r="AU89" i="2" s="1"/>
  <c r="AS184" i="2"/>
  <c r="AT184" i="2" s="1"/>
  <c r="AU184" i="2" s="1"/>
  <c r="AS33" i="2"/>
  <c r="AT33" i="2" s="1"/>
  <c r="AU33" i="2" s="1"/>
  <c r="AS128" i="2"/>
  <c r="AT128" i="2" s="1"/>
  <c r="AU128" i="2" s="1"/>
  <c r="AS229" i="2"/>
  <c r="AT229" i="2" s="1"/>
  <c r="AU229" i="2" s="1"/>
  <c r="AS27" i="2"/>
  <c r="AT27" i="2" s="1"/>
  <c r="AU27" i="2" s="1"/>
  <c r="AS223" i="2"/>
  <c r="AT223" i="2" s="1"/>
  <c r="AU223" i="2" s="1"/>
  <c r="AS285" i="2"/>
  <c r="AT285" i="2" s="1"/>
  <c r="AU285" i="2" s="1"/>
  <c r="AS380" i="2"/>
  <c r="AT380" i="2" s="1"/>
  <c r="AU380" i="2" s="1"/>
  <c r="AS83" i="2"/>
  <c r="AT83" i="2" s="1"/>
  <c r="AU83" i="2" s="1"/>
  <c r="AS279" i="2"/>
  <c r="AT279" i="2" s="1"/>
  <c r="AU279" i="2" s="1"/>
  <c r="AS72" i="2"/>
  <c r="AT72" i="2" s="1"/>
  <c r="AU72" i="2" s="1"/>
  <c r="AS173" i="2"/>
  <c r="AT173" i="2" s="1"/>
  <c r="AU173" i="2" s="1"/>
  <c r="AS268" i="2"/>
  <c r="AT268" i="2" s="1"/>
  <c r="AU268" i="2" s="1"/>
  <c r="AS369" i="2"/>
  <c r="AT369" i="2" s="1"/>
  <c r="AU369" i="2" s="1"/>
  <c r="AS167" i="2"/>
  <c r="AT167" i="2" s="1"/>
  <c r="AU167" i="2" s="1"/>
  <c r="AS363" i="2"/>
  <c r="AT363" i="2" s="1"/>
  <c r="AU363" i="2" s="1"/>
  <c r="N1199" i="1"/>
  <c r="O1199" i="1" s="1"/>
  <c r="P1199" i="1" s="1"/>
  <c r="N862" i="1"/>
  <c r="O862" i="1" s="1"/>
  <c r="P862" i="1" s="1"/>
  <c r="N554" i="1"/>
  <c r="O554" i="1" s="1"/>
  <c r="P554" i="1" s="1"/>
  <c r="N331" i="1"/>
  <c r="O331" i="1" s="1"/>
  <c r="P331" i="1" s="1"/>
  <c r="N858" i="1"/>
  <c r="O858" i="1" s="1"/>
  <c r="P858" i="1" s="1"/>
  <c r="N830" i="1"/>
  <c r="O830" i="1" s="1"/>
  <c r="P830" i="1" s="1"/>
  <c r="N774" i="1"/>
  <c r="O774" i="1" s="1"/>
  <c r="P774" i="1" s="1"/>
  <c r="N634" i="1"/>
  <c r="O634" i="1" s="1"/>
  <c r="P634" i="1" s="1"/>
  <c r="N550" i="1"/>
  <c r="O550" i="1" s="1"/>
  <c r="P550" i="1" s="1"/>
  <c r="N298" i="1"/>
  <c r="O298" i="1" s="1"/>
  <c r="P298" i="1" s="1"/>
  <c r="N186" i="1"/>
  <c r="O186" i="1" s="1"/>
  <c r="P186" i="1" s="1"/>
  <c r="N46" i="1"/>
  <c r="O46" i="1" s="1"/>
  <c r="P46" i="1" s="1"/>
  <c r="N18" i="1"/>
  <c r="O18" i="1" s="1"/>
  <c r="P18" i="1" s="1"/>
  <c r="N603" i="1"/>
  <c r="O603" i="1" s="1"/>
  <c r="P603" i="1" s="1"/>
  <c r="N770" i="1"/>
  <c r="O770" i="1" s="1"/>
  <c r="P770" i="1" s="1"/>
  <c r="N630" i="1"/>
  <c r="O630" i="1" s="1"/>
  <c r="P630" i="1" s="1"/>
  <c r="N182" i="1"/>
  <c r="O182" i="1" s="1"/>
  <c r="P182" i="1" s="1"/>
  <c r="N14" i="1"/>
  <c r="O14" i="1" s="1"/>
  <c r="P14" i="1" s="1"/>
  <c r="N1160" i="1"/>
  <c r="O1160" i="1" s="1"/>
  <c r="P1160" i="1" s="1"/>
  <c r="N1104" i="1"/>
  <c r="O1104" i="1" s="1"/>
  <c r="P1104" i="1" s="1"/>
  <c r="N824" i="1"/>
  <c r="O824" i="1" s="1"/>
  <c r="P824" i="1" s="1"/>
  <c r="N768" i="1"/>
  <c r="O768" i="1" s="1"/>
  <c r="P768" i="1" s="1"/>
  <c r="N600" i="1"/>
  <c r="O600" i="1" s="1"/>
  <c r="P600" i="1" s="1"/>
  <c r="N488" i="1"/>
  <c r="O488" i="1" s="1"/>
  <c r="P488" i="1" s="1"/>
  <c r="N432" i="1"/>
  <c r="O432" i="1" s="1"/>
  <c r="P432" i="1" s="1"/>
  <c r="N376" i="1"/>
  <c r="O376" i="1" s="1"/>
  <c r="P376" i="1" s="1"/>
  <c r="N348" i="1"/>
  <c r="O348" i="1" s="1"/>
  <c r="P348" i="1" s="1"/>
  <c r="N180" i="1"/>
  <c r="O180" i="1" s="1"/>
  <c r="P180" i="1" s="1"/>
  <c r="N124" i="1"/>
  <c r="O124" i="1" s="1"/>
  <c r="P124" i="1" s="1"/>
  <c r="N12" i="1"/>
  <c r="O12" i="1" s="1"/>
  <c r="P12" i="1" s="1"/>
  <c r="N794" i="1"/>
  <c r="O794" i="1" s="1"/>
  <c r="P794" i="1" s="1"/>
  <c r="N402" i="1"/>
  <c r="O402" i="1" s="1"/>
  <c r="P402" i="1" s="1"/>
  <c r="N38" i="1"/>
  <c r="O38" i="1" s="1"/>
  <c r="P38" i="1" s="1"/>
  <c r="N671" i="1"/>
  <c r="O671" i="1" s="1"/>
  <c r="P671" i="1" s="1"/>
  <c r="N127" i="1"/>
  <c r="O127" i="1" s="1"/>
  <c r="P127" i="1" s="1"/>
  <c r="N510" i="1"/>
  <c r="O510" i="1" s="1"/>
  <c r="P510" i="1" s="1"/>
  <c r="N398" i="1"/>
  <c r="O398" i="1" s="1"/>
  <c r="P398" i="1" s="1"/>
  <c r="N202" i="1"/>
  <c r="O202" i="1" s="1"/>
  <c r="P202" i="1" s="1"/>
  <c r="N435" i="1"/>
  <c r="O435" i="1" s="1"/>
  <c r="P435" i="1" s="1"/>
  <c r="N183" i="1"/>
  <c r="O183" i="1" s="1"/>
  <c r="P183" i="1" s="1"/>
  <c r="N1192" i="1"/>
  <c r="O1192" i="1" s="1"/>
  <c r="P1192" i="1" s="1"/>
  <c r="N1191" i="1"/>
  <c r="O1191" i="1" s="1"/>
  <c r="P1191" i="1" s="1"/>
  <c r="N239" i="1"/>
  <c r="O239" i="1" s="1"/>
  <c r="P239" i="1" s="1"/>
  <c r="N141" i="1"/>
  <c r="O141" i="1" s="1"/>
  <c r="P141" i="1" s="1"/>
  <c r="N85" i="1"/>
  <c r="O85" i="1" s="1"/>
  <c r="P85" i="1" s="1"/>
  <c r="N826" i="1"/>
  <c r="O826" i="1" s="1"/>
  <c r="P826" i="1" s="1"/>
  <c r="N490" i="1"/>
  <c r="O490" i="1" s="1"/>
  <c r="P490" i="1" s="1"/>
  <c r="N936" i="1"/>
  <c r="O936" i="1" s="1"/>
  <c r="P936" i="1" s="1"/>
  <c r="N740" i="1"/>
  <c r="O740" i="1" s="1"/>
  <c r="P740" i="1" s="1"/>
  <c r="N404" i="1"/>
  <c r="O404" i="1" s="1"/>
  <c r="P404" i="1" s="1"/>
  <c r="N68" i="1"/>
  <c r="O68" i="1" s="1"/>
  <c r="P68" i="1" s="1"/>
  <c r="N40" i="1"/>
  <c r="O40" i="1" s="1"/>
  <c r="P40" i="1" s="1"/>
  <c r="N1161" i="1"/>
  <c r="O1161" i="1" s="1"/>
  <c r="P1161" i="1" s="1"/>
  <c r="N1133" i="1"/>
  <c r="O1133" i="1" s="1"/>
  <c r="P1133" i="1" s="1"/>
  <c r="N1105" i="1"/>
  <c r="O1105" i="1" s="1"/>
  <c r="P1105" i="1" s="1"/>
  <c r="N1049" i="1"/>
  <c r="O1049" i="1" s="1"/>
  <c r="P1049" i="1" s="1"/>
  <c r="N993" i="1"/>
  <c r="O993" i="1" s="1"/>
  <c r="P993" i="1" s="1"/>
  <c r="N965" i="1"/>
  <c r="O965" i="1" s="1"/>
  <c r="P965" i="1" s="1"/>
  <c r="N937" i="1"/>
  <c r="O937" i="1" s="1"/>
  <c r="P937" i="1" s="1"/>
  <c r="N853" i="1"/>
  <c r="O853" i="1" s="1"/>
  <c r="P853" i="1" s="1"/>
  <c r="N825" i="1"/>
  <c r="O825" i="1" s="1"/>
  <c r="P825" i="1" s="1"/>
  <c r="N797" i="1"/>
  <c r="O797" i="1" s="1"/>
  <c r="P797" i="1" s="1"/>
  <c r="N769" i="1"/>
  <c r="O769" i="1" s="1"/>
  <c r="P769" i="1" s="1"/>
  <c r="N741" i="1"/>
  <c r="O741" i="1" s="1"/>
  <c r="P741" i="1" s="1"/>
  <c r="N629" i="1"/>
  <c r="O629" i="1" s="1"/>
  <c r="P629" i="1" s="1"/>
  <c r="N601" i="1"/>
  <c r="O601" i="1" s="1"/>
  <c r="P601" i="1" s="1"/>
  <c r="N545" i="1"/>
  <c r="O545" i="1" s="1"/>
  <c r="P545" i="1" s="1"/>
  <c r="N489" i="1"/>
  <c r="O489" i="1" s="1"/>
  <c r="P489" i="1" s="1"/>
  <c r="N433" i="1"/>
  <c r="O433" i="1" s="1"/>
  <c r="P433" i="1" s="1"/>
  <c r="N405" i="1"/>
  <c r="O405" i="1" s="1"/>
  <c r="P405" i="1" s="1"/>
  <c r="N377" i="1"/>
  <c r="O377" i="1" s="1"/>
  <c r="P377" i="1" s="1"/>
  <c r="N265" i="1"/>
  <c r="O265" i="1" s="1"/>
  <c r="P265" i="1" s="1"/>
  <c r="N125" i="1"/>
  <c r="O125" i="1" s="1"/>
  <c r="P125" i="1" s="1"/>
  <c r="N41" i="1"/>
  <c r="O41" i="1" s="1"/>
  <c r="P41" i="1" s="1"/>
  <c r="N13" i="1"/>
  <c r="O13" i="1" s="1"/>
  <c r="P13" i="1" s="1"/>
  <c r="N542" i="1"/>
  <c r="O542" i="1" s="1"/>
  <c r="P542" i="1" s="1"/>
  <c r="N486" i="1"/>
  <c r="O486" i="1" s="1"/>
  <c r="P486" i="1" s="1"/>
  <c r="N178" i="1"/>
  <c r="O178" i="1" s="1"/>
  <c r="P178" i="1" s="1"/>
  <c r="N150" i="1"/>
  <c r="O150" i="1" s="1"/>
  <c r="P150" i="1" s="1"/>
  <c r="N66" i="1"/>
  <c r="O66" i="1" s="1"/>
  <c r="P66" i="1" s="1"/>
  <c r="N10" i="1"/>
  <c r="O10" i="1" s="1"/>
  <c r="P10" i="1" s="1"/>
  <c r="N1072" i="1"/>
  <c r="O1072" i="1" s="1"/>
  <c r="P1072" i="1" s="1"/>
  <c r="N960" i="1"/>
  <c r="O960" i="1" s="1"/>
  <c r="P960" i="1" s="1"/>
  <c r="N736" i="1"/>
  <c r="O736" i="1" s="1"/>
  <c r="P736" i="1" s="1"/>
  <c r="N680" i="1"/>
  <c r="O680" i="1" s="1"/>
  <c r="P680" i="1" s="1"/>
  <c r="N540" i="1"/>
  <c r="O540" i="1" s="1"/>
  <c r="P540" i="1" s="1"/>
  <c r="N400" i="1"/>
  <c r="O400" i="1" s="1"/>
  <c r="P400" i="1" s="1"/>
  <c r="N483" i="1"/>
  <c r="O483" i="1" s="1"/>
  <c r="P483" i="1" s="1"/>
  <c r="N203" i="1"/>
  <c r="O203" i="1" s="1"/>
  <c r="P203" i="1" s="1"/>
  <c r="N991" i="1"/>
  <c r="O991" i="1" s="1"/>
  <c r="P991" i="1" s="1"/>
  <c r="N822" i="1"/>
  <c r="O822" i="1" s="1"/>
  <c r="P822" i="1" s="1"/>
  <c r="N487" i="1"/>
  <c r="O487" i="1" s="1"/>
  <c r="P487" i="1" s="1"/>
  <c r="N67" i="1"/>
  <c r="O67" i="1" s="1"/>
  <c r="P67" i="1" s="1"/>
  <c r="N1039" i="1"/>
  <c r="O1039" i="1" s="1"/>
  <c r="P1039" i="1" s="1"/>
  <c r="N955" i="1"/>
  <c r="O955" i="1" s="1"/>
  <c r="P955" i="1" s="1"/>
  <c r="N871" i="1"/>
  <c r="O871" i="1" s="1"/>
  <c r="P871" i="1" s="1"/>
  <c r="N787" i="1"/>
  <c r="O787" i="1" s="1"/>
  <c r="P787" i="1" s="1"/>
  <c r="N647" i="1"/>
  <c r="O647" i="1" s="1"/>
  <c r="P647" i="1" s="1"/>
  <c r="N451" i="1"/>
  <c r="O451" i="1" s="1"/>
  <c r="P451" i="1" s="1"/>
  <c r="N395" i="1"/>
  <c r="O395" i="1" s="1"/>
  <c r="P395" i="1" s="1"/>
  <c r="N283" i="1"/>
  <c r="O283" i="1" s="1"/>
  <c r="P283" i="1" s="1"/>
  <c r="N143" i="1"/>
  <c r="O143" i="1" s="1"/>
  <c r="P143" i="1" s="1"/>
  <c r="N87" i="1"/>
  <c r="O87" i="1" s="1"/>
  <c r="P87" i="1" s="1"/>
  <c r="N728" i="1"/>
  <c r="O728" i="1" s="1"/>
  <c r="P728" i="1" s="1"/>
  <c r="N420" i="1"/>
  <c r="O420" i="1" s="1"/>
  <c r="P420" i="1" s="1"/>
  <c r="N392" i="1"/>
  <c r="O392" i="1" s="1"/>
  <c r="P392" i="1" s="1"/>
  <c r="N364" i="1"/>
  <c r="O364" i="1" s="1"/>
  <c r="P364" i="1" s="1"/>
  <c r="N336" i="1"/>
  <c r="O336" i="1" s="1"/>
  <c r="P336" i="1" s="1"/>
  <c r="N280" i="1"/>
  <c r="O280" i="1" s="1"/>
  <c r="P280" i="1" s="1"/>
  <c r="N252" i="1"/>
  <c r="O252" i="1" s="1"/>
  <c r="P252" i="1" s="1"/>
  <c r="N168" i="1"/>
  <c r="O168" i="1" s="1"/>
  <c r="P168" i="1" s="1"/>
  <c r="N140" i="1"/>
  <c r="O140" i="1" s="1"/>
  <c r="P140" i="1" s="1"/>
  <c r="N56" i="1"/>
  <c r="O56" i="1" s="1"/>
  <c r="P56" i="1" s="1"/>
  <c r="N923" i="1"/>
  <c r="O923" i="1" s="1"/>
  <c r="P923" i="1" s="1"/>
  <c r="N307" i="1"/>
  <c r="O307" i="1" s="1"/>
  <c r="P307" i="1" s="1"/>
  <c r="N543" i="1"/>
  <c r="O543" i="1" s="1"/>
  <c r="P543" i="1" s="1"/>
  <c r="N867" i="1"/>
  <c r="O867" i="1" s="1"/>
  <c r="P867" i="1" s="1"/>
  <c r="N223" i="1"/>
  <c r="O223" i="1" s="1"/>
  <c r="P223" i="1" s="1"/>
  <c r="N450" i="1"/>
  <c r="O450" i="1" s="1"/>
  <c r="P450" i="1" s="1"/>
  <c r="N951" i="1"/>
  <c r="O951" i="1" s="1"/>
  <c r="P951" i="1" s="1"/>
  <c r="N279" i="1"/>
  <c r="O279" i="1" s="1"/>
  <c r="P279" i="1" s="1"/>
  <c r="N375" i="1"/>
  <c r="O375" i="1" s="1"/>
  <c r="P375" i="1" s="1"/>
  <c r="N142" i="1"/>
  <c r="O142" i="1" s="1"/>
  <c r="P142" i="1" s="1"/>
  <c r="N1231" i="1"/>
  <c r="O1231" i="1" s="1"/>
  <c r="P1231" i="1" s="1"/>
  <c r="N979" i="1"/>
  <c r="O979" i="1" s="1"/>
  <c r="P979" i="1" s="1"/>
  <c r="N55" i="1"/>
  <c r="O55" i="1" s="1"/>
  <c r="P55" i="1" s="1"/>
  <c r="N1227" i="1"/>
  <c r="O1227" i="1" s="1"/>
  <c r="P1227" i="1" s="1"/>
  <c r="N1171" i="1"/>
  <c r="O1171" i="1" s="1"/>
  <c r="P1171" i="1" s="1"/>
  <c r="N1143" i="1"/>
  <c r="O1143" i="1" s="1"/>
  <c r="P1143" i="1" s="1"/>
  <c r="N1115" i="1"/>
  <c r="O1115" i="1" s="1"/>
  <c r="P1115" i="1" s="1"/>
  <c r="N1087" i="1"/>
  <c r="O1087" i="1" s="1"/>
  <c r="P1087" i="1" s="1"/>
  <c r="N1059" i="1"/>
  <c r="O1059" i="1" s="1"/>
  <c r="P1059" i="1" s="1"/>
  <c r="N1031" i="1"/>
  <c r="O1031" i="1" s="1"/>
  <c r="P1031" i="1" s="1"/>
  <c r="N1003" i="1"/>
  <c r="O1003" i="1" s="1"/>
  <c r="P1003" i="1" s="1"/>
  <c r="N975" i="1"/>
  <c r="O975" i="1" s="1"/>
  <c r="P975" i="1" s="1"/>
  <c r="N947" i="1"/>
  <c r="O947" i="1" s="1"/>
  <c r="P947" i="1" s="1"/>
  <c r="N919" i="1"/>
  <c r="O919" i="1" s="1"/>
  <c r="P919" i="1" s="1"/>
  <c r="N891" i="1"/>
  <c r="O891" i="1" s="1"/>
  <c r="P891" i="1" s="1"/>
  <c r="N863" i="1"/>
  <c r="O863" i="1" s="1"/>
  <c r="P863" i="1" s="1"/>
  <c r="N835" i="1"/>
  <c r="O835" i="1" s="1"/>
  <c r="P835" i="1" s="1"/>
  <c r="N807" i="1"/>
  <c r="O807" i="1" s="1"/>
  <c r="P807" i="1" s="1"/>
  <c r="N779" i="1"/>
  <c r="O779" i="1" s="1"/>
  <c r="P779" i="1" s="1"/>
  <c r="N751" i="1"/>
  <c r="O751" i="1" s="1"/>
  <c r="P751" i="1" s="1"/>
  <c r="N723" i="1"/>
  <c r="O723" i="1" s="1"/>
  <c r="P723" i="1" s="1"/>
  <c r="N695" i="1"/>
  <c r="O695" i="1" s="1"/>
  <c r="P695" i="1" s="1"/>
  <c r="N667" i="1"/>
  <c r="O667" i="1" s="1"/>
  <c r="P667" i="1" s="1"/>
  <c r="N639" i="1"/>
  <c r="O639" i="1" s="1"/>
  <c r="P639" i="1" s="1"/>
  <c r="N611" i="1"/>
  <c r="O611" i="1" s="1"/>
  <c r="P611" i="1" s="1"/>
  <c r="N583" i="1"/>
  <c r="O583" i="1" s="1"/>
  <c r="P583" i="1" s="1"/>
  <c r="N555" i="1"/>
  <c r="O555" i="1" s="1"/>
  <c r="P555" i="1" s="1"/>
  <c r="N527" i="1"/>
  <c r="O527" i="1" s="1"/>
  <c r="P527" i="1" s="1"/>
  <c r="N499" i="1"/>
  <c r="O499" i="1" s="1"/>
  <c r="P499" i="1" s="1"/>
  <c r="N471" i="1"/>
  <c r="O471" i="1" s="1"/>
  <c r="P471" i="1" s="1"/>
  <c r="N443" i="1"/>
  <c r="O443" i="1" s="1"/>
  <c r="P443" i="1" s="1"/>
  <c r="N415" i="1"/>
  <c r="O415" i="1" s="1"/>
  <c r="P415" i="1" s="1"/>
  <c r="N387" i="1"/>
  <c r="O387" i="1" s="1"/>
  <c r="P387" i="1" s="1"/>
  <c r="N359" i="1"/>
  <c r="O359" i="1" s="1"/>
  <c r="P359" i="1" s="1"/>
  <c r="N303" i="1"/>
  <c r="O303" i="1" s="1"/>
  <c r="P303" i="1" s="1"/>
  <c r="N275" i="1"/>
  <c r="O275" i="1" s="1"/>
  <c r="P275" i="1" s="1"/>
  <c r="N247" i="1"/>
  <c r="O247" i="1" s="1"/>
  <c r="P247" i="1" s="1"/>
  <c r="N219" i="1"/>
  <c r="O219" i="1" s="1"/>
  <c r="P219" i="1" s="1"/>
  <c r="N191" i="1"/>
  <c r="O191" i="1" s="1"/>
  <c r="P191" i="1" s="1"/>
  <c r="N163" i="1"/>
  <c r="O163" i="1" s="1"/>
  <c r="P163" i="1" s="1"/>
  <c r="N135" i="1"/>
  <c r="O135" i="1" s="1"/>
  <c r="P135" i="1" s="1"/>
  <c r="N107" i="1"/>
  <c r="O107" i="1" s="1"/>
  <c r="P107" i="1" s="1"/>
  <c r="N79" i="1"/>
  <c r="O79" i="1" s="1"/>
  <c r="P79" i="1" s="1"/>
  <c r="N51" i="1"/>
  <c r="O51" i="1" s="1"/>
  <c r="P51" i="1" s="1"/>
  <c r="N23" i="1"/>
  <c r="O23" i="1" s="1"/>
  <c r="P23" i="1" s="1"/>
  <c r="N898" i="1"/>
  <c r="O898" i="1" s="1"/>
  <c r="P898" i="1" s="1"/>
  <c r="N1091" i="1"/>
  <c r="O1091" i="1" s="1"/>
  <c r="P1091" i="1" s="1"/>
  <c r="N727" i="1"/>
  <c r="O727" i="1" s="1"/>
  <c r="P727" i="1" s="1"/>
  <c r="N167" i="1"/>
  <c r="O167" i="1" s="1"/>
  <c r="P167" i="1" s="1"/>
  <c r="N739" i="1"/>
  <c r="O739" i="1" s="1"/>
  <c r="P739" i="1" s="1"/>
  <c r="N1175" i="1"/>
  <c r="O1175" i="1" s="1"/>
  <c r="P1175" i="1" s="1"/>
  <c r="N839" i="1"/>
  <c r="O839" i="1" s="1"/>
  <c r="P839" i="1" s="1"/>
  <c r="N251" i="1"/>
  <c r="O251" i="1" s="1"/>
  <c r="P251" i="1" s="1"/>
  <c r="N207" i="1"/>
  <c r="O207" i="1" s="1"/>
  <c r="P207" i="1" s="1"/>
  <c r="N954" i="1"/>
  <c r="O954" i="1" s="1"/>
  <c r="P954" i="1" s="1"/>
  <c r="N1007" i="1"/>
  <c r="O1007" i="1" s="1"/>
  <c r="P1007" i="1" s="1"/>
  <c r="N643" i="1"/>
  <c r="O643" i="1" s="1"/>
  <c r="P643" i="1" s="1"/>
  <c r="N111" i="1"/>
  <c r="O111" i="1" s="1"/>
  <c r="P111" i="1" s="1"/>
  <c r="N1167" i="1"/>
  <c r="O1167" i="1" s="1"/>
  <c r="P1167" i="1" s="1"/>
  <c r="N1111" i="1"/>
  <c r="O1111" i="1" s="1"/>
  <c r="P1111" i="1" s="1"/>
  <c r="N1027" i="1"/>
  <c r="O1027" i="1" s="1"/>
  <c r="P1027" i="1" s="1"/>
  <c r="N915" i="1"/>
  <c r="O915" i="1" s="1"/>
  <c r="P915" i="1" s="1"/>
  <c r="N831" i="1"/>
  <c r="O831" i="1" s="1"/>
  <c r="P831" i="1" s="1"/>
  <c r="N551" i="1"/>
  <c r="O551" i="1" s="1"/>
  <c r="P551" i="1" s="1"/>
  <c r="N299" i="1"/>
  <c r="O299" i="1" s="1"/>
  <c r="P299" i="1" s="1"/>
  <c r="N243" i="1"/>
  <c r="O243" i="1" s="1"/>
  <c r="P243" i="1" s="1"/>
  <c r="N103" i="1"/>
  <c r="O103" i="1" s="1"/>
  <c r="P103" i="1" s="1"/>
  <c r="N75" i="1"/>
  <c r="O75" i="1" s="1"/>
  <c r="P75" i="1" s="1"/>
  <c r="N1074" i="1"/>
  <c r="O1074" i="1" s="1"/>
  <c r="P1074" i="1" s="1"/>
  <c r="N1063" i="1"/>
  <c r="O1063" i="1" s="1"/>
  <c r="P1063" i="1" s="1"/>
  <c r="N811" i="1"/>
  <c r="O811" i="1" s="1"/>
  <c r="P811" i="1" s="1"/>
  <c r="N587" i="1"/>
  <c r="O587" i="1" s="1"/>
  <c r="P587" i="1" s="1"/>
  <c r="N139" i="1"/>
  <c r="O139" i="1" s="1"/>
  <c r="P139" i="1" s="1"/>
  <c r="N823" i="1"/>
  <c r="O823" i="1" s="1"/>
  <c r="P823" i="1" s="1"/>
  <c r="N738" i="1"/>
  <c r="O738" i="1" s="1"/>
  <c r="P738" i="1" s="1"/>
  <c r="N982" i="1"/>
  <c r="O982" i="1" s="1"/>
  <c r="P982" i="1" s="1"/>
  <c r="N646" i="1"/>
  <c r="O646" i="1" s="1"/>
  <c r="P646" i="1" s="1"/>
  <c r="N1147" i="1"/>
  <c r="O1147" i="1" s="1"/>
  <c r="P1147" i="1" s="1"/>
  <c r="N895" i="1"/>
  <c r="O895" i="1" s="1"/>
  <c r="P895" i="1" s="1"/>
  <c r="N699" i="1"/>
  <c r="O699" i="1" s="1"/>
  <c r="P699" i="1" s="1"/>
  <c r="N559" i="1"/>
  <c r="O559" i="1" s="1"/>
  <c r="P559" i="1" s="1"/>
  <c r="N503" i="1"/>
  <c r="O503" i="1" s="1"/>
  <c r="P503" i="1" s="1"/>
  <c r="N447" i="1"/>
  <c r="O447" i="1" s="1"/>
  <c r="P447" i="1" s="1"/>
  <c r="N391" i="1"/>
  <c r="O391" i="1" s="1"/>
  <c r="P391" i="1" s="1"/>
  <c r="N335" i="1"/>
  <c r="O335" i="1" s="1"/>
  <c r="P335" i="1" s="1"/>
  <c r="N27" i="1"/>
  <c r="O27" i="1" s="1"/>
  <c r="P27" i="1" s="1"/>
  <c r="N906" i="1"/>
  <c r="O906" i="1" s="1"/>
  <c r="P906" i="1" s="1"/>
  <c r="N1122" i="1"/>
  <c r="O1122" i="1" s="1"/>
  <c r="P1122" i="1" s="1"/>
  <c r="N1119" i="1"/>
  <c r="O1119" i="1" s="1"/>
  <c r="P1119" i="1" s="1"/>
  <c r="N755" i="1"/>
  <c r="O755" i="1" s="1"/>
  <c r="P755" i="1" s="1"/>
  <c r="N195" i="1"/>
  <c r="O195" i="1" s="1"/>
  <c r="P195" i="1" s="1"/>
  <c r="N767" i="1"/>
  <c r="O767" i="1" s="1"/>
  <c r="P767" i="1" s="1"/>
  <c r="N683" i="1"/>
  <c r="O683" i="1" s="1"/>
  <c r="P683" i="1" s="1"/>
  <c r="N39" i="1"/>
  <c r="O39" i="1" s="1"/>
  <c r="P39" i="1" s="1"/>
  <c r="N682" i="1"/>
  <c r="O682" i="1" s="1"/>
  <c r="P682" i="1" s="1"/>
  <c r="N870" i="1"/>
  <c r="O870" i="1" s="1"/>
  <c r="P870" i="1" s="1"/>
  <c r="N1203" i="1"/>
  <c r="O1203" i="1" s="1"/>
  <c r="P1203" i="1" s="1"/>
  <c r="N1035" i="1"/>
  <c r="O1035" i="1" s="1"/>
  <c r="P1035" i="1" s="1"/>
  <c r="N783" i="1"/>
  <c r="O783" i="1" s="1"/>
  <c r="P783" i="1" s="1"/>
  <c r="N615" i="1"/>
  <c r="O615" i="1" s="1"/>
  <c r="P615" i="1" s="1"/>
  <c r="N531" i="1"/>
  <c r="O531" i="1" s="1"/>
  <c r="P531" i="1" s="1"/>
  <c r="N475" i="1"/>
  <c r="O475" i="1" s="1"/>
  <c r="P475" i="1" s="1"/>
  <c r="N419" i="1"/>
  <c r="O419" i="1" s="1"/>
  <c r="P419" i="1" s="1"/>
  <c r="N363" i="1"/>
  <c r="O363" i="1" s="1"/>
  <c r="P363" i="1" s="1"/>
  <c r="N83" i="1"/>
  <c r="O83" i="1" s="1"/>
  <c r="P83" i="1" s="1"/>
  <c r="N1163" i="1"/>
  <c r="O1163" i="1" s="1"/>
  <c r="P1163" i="1" s="1"/>
  <c r="N1079" i="1"/>
  <c r="O1079" i="1" s="1"/>
  <c r="P1079" i="1" s="1"/>
  <c r="N1023" i="1"/>
  <c r="O1023" i="1" s="1"/>
  <c r="P1023" i="1" s="1"/>
  <c r="N995" i="1"/>
  <c r="O995" i="1" s="1"/>
  <c r="P995" i="1" s="1"/>
  <c r="N771" i="1"/>
  <c r="O771" i="1" s="1"/>
  <c r="P771" i="1" s="1"/>
  <c r="N519" i="1"/>
  <c r="O519" i="1" s="1"/>
  <c r="P519" i="1" s="1"/>
  <c r="N491" i="1"/>
  <c r="O491" i="1" s="1"/>
  <c r="P491" i="1" s="1"/>
  <c r="N267" i="1"/>
  <c r="O267" i="1" s="1"/>
  <c r="P267" i="1" s="1"/>
  <c r="N99" i="1"/>
  <c r="O99" i="1" s="1"/>
  <c r="P99" i="1" s="1"/>
  <c r="N43" i="1"/>
  <c r="O43" i="1" s="1"/>
  <c r="P43" i="1" s="1"/>
  <c r="N15" i="1"/>
  <c r="O15" i="1" s="1"/>
  <c r="P15" i="1" s="1"/>
  <c r="N1075" i="1"/>
  <c r="O1075" i="1" s="1"/>
  <c r="P1075" i="1" s="1"/>
  <c r="N765" i="1"/>
  <c r="O765" i="1" s="1"/>
  <c r="P765" i="1" s="1"/>
  <c r="N569" i="1"/>
  <c r="O569" i="1" s="1"/>
  <c r="P569" i="1" s="1"/>
  <c r="N373" i="1"/>
  <c r="O373" i="1" s="1"/>
  <c r="P373" i="1" s="1"/>
  <c r="N177" i="1"/>
  <c r="O177" i="1" s="1"/>
  <c r="P177" i="1" s="1"/>
  <c r="N9" i="1"/>
  <c r="O9" i="1" s="1"/>
  <c r="P9" i="1" s="1"/>
  <c r="N482" i="1"/>
  <c r="O482" i="1" s="1"/>
  <c r="P482" i="1" s="1"/>
  <c r="N34" i="1"/>
  <c r="O34" i="1" s="1"/>
  <c r="P34" i="1" s="1"/>
  <c r="N6" i="1"/>
  <c r="O6" i="1" s="1"/>
  <c r="P6" i="1" s="1"/>
  <c r="N1211" i="1"/>
  <c r="O1211" i="1" s="1"/>
  <c r="P1211" i="1" s="1"/>
  <c r="N1183" i="1"/>
  <c r="O1183" i="1" s="1"/>
  <c r="P1183" i="1" s="1"/>
  <c r="N1155" i="1"/>
  <c r="O1155" i="1" s="1"/>
  <c r="P1155" i="1" s="1"/>
  <c r="N1127" i="1"/>
  <c r="O1127" i="1" s="1"/>
  <c r="P1127" i="1" s="1"/>
  <c r="N1099" i="1"/>
  <c r="O1099" i="1" s="1"/>
  <c r="P1099" i="1" s="1"/>
  <c r="N1071" i="1"/>
  <c r="O1071" i="1" s="1"/>
  <c r="P1071" i="1" s="1"/>
  <c r="N1043" i="1"/>
  <c r="O1043" i="1" s="1"/>
  <c r="P1043" i="1" s="1"/>
  <c r="N1015" i="1"/>
  <c r="O1015" i="1" s="1"/>
  <c r="P1015" i="1" s="1"/>
  <c r="N987" i="1"/>
  <c r="O987" i="1" s="1"/>
  <c r="P987" i="1" s="1"/>
  <c r="N959" i="1"/>
  <c r="O959" i="1" s="1"/>
  <c r="P959" i="1" s="1"/>
  <c r="N931" i="1"/>
  <c r="O931" i="1" s="1"/>
  <c r="P931" i="1" s="1"/>
  <c r="N903" i="1"/>
  <c r="O903" i="1" s="1"/>
  <c r="P903" i="1" s="1"/>
  <c r="N875" i="1"/>
  <c r="O875" i="1" s="1"/>
  <c r="P875" i="1" s="1"/>
  <c r="N847" i="1"/>
  <c r="O847" i="1" s="1"/>
  <c r="P847" i="1" s="1"/>
  <c r="N819" i="1"/>
  <c r="O819" i="1" s="1"/>
  <c r="P819" i="1" s="1"/>
  <c r="N791" i="1"/>
  <c r="O791" i="1" s="1"/>
  <c r="P791" i="1" s="1"/>
  <c r="N763" i="1"/>
  <c r="O763" i="1" s="1"/>
  <c r="P763" i="1" s="1"/>
  <c r="N707" i="1"/>
  <c r="O707" i="1" s="1"/>
  <c r="P707" i="1" s="1"/>
  <c r="N679" i="1"/>
  <c r="O679" i="1" s="1"/>
  <c r="P679" i="1" s="1"/>
  <c r="N651" i="1"/>
  <c r="O651" i="1" s="1"/>
  <c r="P651" i="1" s="1"/>
  <c r="N623" i="1"/>
  <c r="O623" i="1" s="1"/>
  <c r="P623" i="1" s="1"/>
  <c r="N595" i="1"/>
  <c r="O595" i="1" s="1"/>
  <c r="P595" i="1" s="1"/>
  <c r="N567" i="1"/>
  <c r="O567" i="1" s="1"/>
  <c r="P567" i="1" s="1"/>
  <c r="N539" i="1"/>
  <c r="O539" i="1" s="1"/>
  <c r="P539" i="1" s="1"/>
  <c r="N511" i="1"/>
  <c r="O511" i="1" s="1"/>
  <c r="P511" i="1" s="1"/>
  <c r="N455" i="1"/>
  <c r="O455" i="1" s="1"/>
  <c r="P455" i="1" s="1"/>
  <c r="N427" i="1"/>
  <c r="O427" i="1" s="1"/>
  <c r="P427" i="1" s="1"/>
  <c r="N399" i="1"/>
  <c r="O399" i="1" s="1"/>
  <c r="P399" i="1" s="1"/>
  <c r="N371" i="1"/>
  <c r="O371" i="1" s="1"/>
  <c r="P371" i="1" s="1"/>
  <c r="N343" i="1"/>
  <c r="O343" i="1" s="1"/>
  <c r="P343" i="1" s="1"/>
  <c r="N315" i="1"/>
  <c r="O315" i="1" s="1"/>
  <c r="P315" i="1" s="1"/>
  <c r="N287" i="1"/>
  <c r="O287" i="1" s="1"/>
  <c r="P287" i="1" s="1"/>
  <c r="N259" i="1"/>
  <c r="O259" i="1" s="1"/>
  <c r="P259" i="1" s="1"/>
  <c r="N231" i="1"/>
  <c r="O231" i="1" s="1"/>
  <c r="P231" i="1" s="1"/>
  <c r="N175" i="1"/>
  <c r="O175" i="1" s="1"/>
  <c r="P175" i="1" s="1"/>
  <c r="N147" i="1"/>
  <c r="O147" i="1" s="1"/>
  <c r="P147" i="1" s="1"/>
  <c r="N908" i="1"/>
  <c r="O908" i="1" s="1"/>
  <c r="P908" i="1" s="1"/>
  <c r="N907" i="1"/>
  <c r="O907" i="1" s="1"/>
  <c r="P907" i="1" s="1"/>
  <c r="N1046" i="1"/>
  <c r="O1046" i="1" s="1"/>
  <c r="P1046" i="1" s="1"/>
  <c r="N430" i="1"/>
  <c r="O430" i="1" s="1"/>
  <c r="P430" i="1" s="1"/>
  <c r="N1017" i="1"/>
  <c r="O1017" i="1" s="1"/>
  <c r="P1017" i="1" s="1"/>
  <c r="N849" i="1"/>
  <c r="O849" i="1" s="1"/>
  <c r="P849" i="1" s="1"/>
  <c r="N737" i="1"/>
  <c r="O737" i="1" s="1"/>
  <c r="P737" i="1" s="1"/>
  <c r="N681" i="1"/>
  <c r="O681" i="1" s="1"/>
  <c r="P681" i="1" s="1"/>
  <c r="N625" i="1"/>
  <c r="O625" i="1" s="1"/>
  <c r="P625" i="1" s="1"/>
  <c r="N513" i="1"/>
  <c r="O513" i="1" s="1"/>
  <c r="P513" i="1" s="1"/>
  <c r="N457" i="1"/>
  <c r="O457" i="1" s="1"/>
  <c r="P457" i="1" s="1"/>
  <c r="N345" i="1"/>
  <c r="O345" i="1" s="1"/>
  <c r="P345" i="1" s="1"/>
  <c r="N289" i="1"/>
  <c r="O289" i="1" s="1"/>
  <c r="P289" i="1" s="1"/>
  <c r="N233" i="1"/>
  <c r="O233" i="1" s="1"/>
  <c r="P233" i="1" s="1"/>
  <c r="N121" i="1"/>
  <c r="O121" i="1" s="1"/>
  <c r="P121" i="1" s="1"/>
  <c r="N37" i="1"/>
  <c r="O37" i="1" s="1"/>
  <c r="P37" i="1" s="1"/>
  <c r="N1070" i="1"/>
  <c r="O1070" i="1" s="1"/>
  <c r="P1070" i="1" s="1"/>
  <c r="N874" i="1"/>
  <c r="O874" i="1" s="1"/>
  <c r="P874" i="1" s="1"/>
  <c r="N1181" i="1"/>
  <c r="O1181" i="1" s="1"/>
  <c r="P1181" i="1" s="1"/>
  <c r="N1041" i="1"/>
  <c r="O1041" i="1" s="1"/>
  <c r="P1041" i="1" s="1"/>
  <c r="N985" i="1"/>
  <c r="O985" i="1" s="1"/>
  <c r="P985" i="1" s="1"/>
  <c r="N901" i="1"/>
  <c r="O901" i="1" s="1"/>
  <c r="P901" i="1" s="1"/>
  <c r="N817" i="1"/>
  <c r="O817" i="1" s="1"/>
  <c r="P817" i="1" s="1"/>
  <c r="N789" i="1"/>
  <c r="O789" i="1" s="1"/>
  <c r="P789" i="1" s="1"/>
  <c r="N649" i="1"/>
  <c r="O649" i="1" s="1"/>
  <c r="P649" i="1" s="1"/>
  <c r="N593" i="1"/>
  <c r="O593" i="1" s="1"/>
  <c r="P593" i="1" s="1"/>
  <c r="N453" i="1"/>
  <c r="O453" i="1" s="1"/>
  <c r="P453" i="1" s="1"/>
  <c r="N201" i="1"/>
  <c r="O201" i="1" s="1"/>
  <c r="P201" i="1" s="1"/>
  <c r="N173" i="1"/>
  <c r="O173" i="1" s="1"/>
  <c r="P173" i="1" s="1"/>
  <c r="N33" i="1"/>
  <c r="O33" i="1" s="1"/>
  <c r="P33" i="1" s="1"/>
  <c r="N796" i="1"/>
  <c r="O796" i="1" s="1"/>
  <c r="P796" i="1" s="1"/>
  <c r="N1019" i="1"/>
  <c r="O1019" i="1" s="1"/>
  <c r="P1019" i="1" s="1"/>
  <c r="N263" i="1"/>
  <c r="O263" i="1" s="1"/>
  <c r="P263" i="1" s="1"/>
  <c r="N793" i="1"/>
  <c r="O793" i="1" s="1"/>
  <c r="P793" i="1" s="1"/>
  <c r="N597" i="1"/>
  <c r="O597" i="1" s="1"/>
  <c r="P597" i="1" s="1"/>
  <c r="N401" i="1"/>
  <c r="O401" i="1" s="1"/>
  <c r="P401" i="1" s="1"/>
  <c r="N205" i="1"/>
  <c r="O205" i="1" s="1"/>
  <c r="P205" i="1" s="1"/>
  <c r="N65" i="1"/>
  <c r="O65" i="1" s="1"/>
  <c r="P65" i="1" s="1"/>
  <c r="N790" i="1"/>
  <c r="O790" i="1" s="1"/>
  <c r="P790" i="1" s="1"/>
  <c r="N984" i="1"/>
  <c r="O984" i="1" s="1"/>
  <c r="P984" i="1" s="1"/>
  <c r="N900" i="1"/>
  <c r="O900" i="1" s="1"/>
  <c r="P900" i="1" s="1"/>
  <c r="N872" i="1"/>
  <c r="O872" i="1" s="1"/>
  <c r="P872" i="1" s="1"/>
  <c r="N648" i="1"/>
  <c r="O648" i="1" s="1"/>
  <c r="P648" i="1" s="1"/>
  <c r="N592" i="1"/>
  <c r="O592" i="1" s="1"/>
  <c r="P592" i="1" s="1"/>
  <c r="N452" i="1"/>
  <c r="O452" i="1" s="1"/>
  <c r="P452" i="1" s="1"/>
  <c r="N284" i="1"/>
  <c r="O284" i="1" s="1"/>
  <c r="P284" i="1" s="1"/>
  <c r="N88" i="1"/>
  <c r="O88" i="1" s="1"/>
  <c r="P88" i="1" s="1"/>
  <c r="N962" i="1"/>
  <c r="O962" i="1" s="1"/>
  <c r="P962" i="1" s="1"/>
  <c r="N1157" i="1"/>
  <c r="O1157" i="1" s="1"/>
  <c r="P1157" i="1" s="1"/>
  <c r="N905" i="1"/>
  <c r="O905" i="1" s="1"/>
  <c r="P905" i="1" s="1"/>
  <c r="N821" i="1"/>
  <c r="O821" i="1" s="1"/>
  <c r="P821" i="1" s="1"/>
  <c r="N709" i="1"/>
  <c r="O709" i="1" s="1"/>
  <c r="P709" i="1" s="1"/>
  <c r="N653" i="1"/>
  <c r="O653" i="1" s="1"/>
  <c r="P653" i="1" s="1"/>
  <c r="N541" i="1"/>
  <c r="O541" i="1" s="1"/>
  <c r="P541" i="1" s="1"/>
  <c r="N485" i="1"/>
  <c r="O485" i="1" s="1"/>
  <c r="P485" i="1" s="1"/>
  <c r="N429" i="1"/>
  <c r="O429" i="1" s="1"/>
  <c r="P429" i="1" s="1"/>
  <c r="N317" i="1"/>
  <c r="O317" i="1" s="1"/>
  <c r="P317" i="1" s="1"/>
  <c r="N261" i="1"/>
  <c r="O261" i="1" s="1"/>
  <c r="P261" i="1" s="1"/>
  <c r="N149" i="1"/>
  <c r="O149" i="1" s="1"/>
  <c r="P149" i="1" s="1"/>
  <c r="N93" i="1"/>
  <c r="O93" i="1" s="1"/>
  <c r="P93" i="1" s="1"/>
  <c r="N1044" i="1"/>
  <c r="O1044" i="1" s="1"/>
  <c r="P1044" i="1" s="1"/>
  <c r="N1182" i="1"/>
  <c r="O1182" i="1" s="1"/>
  <c r="P1182" i="1" s="1"/>
  <c r="N1042" i="1"/>
  <c r="O1042" i="1" s="1"/>
  <c r="P1042" i="1" s="1"/>
  <c r="N986" i="1"/>
  <c r="O986" i="1" s="1"/>
  <c r="P986" i="1" s="1"/>
  <c r="N902" i="1"/>
  <c r="O902" i="1" s="1"/>
  <c r="P902" i="1" s="1"/>
  <c r="N1040" i="1"/>
  <c r="O1040" i="1" s="1"/>
  <c r="P1040" i="1" s="1"/>
  <c r="N956" i="1"/>
  <c r="O956" i="1" s="1"/>
  <c r="P956" i="1" s="1"/>
  <c r="N282" i="1"/>
  <c r="O282" i="1" s="1"/>
  <c r="P282" i="1" s="1"/>
  <c r="N1047" i="1"/>
  <c r="O1047" i="1" s="1"/>
  <c r="P1047" i="1" s="1"/>
  <c r="N1101" i="1"/>
  <c r="O1101" i="1" s="1"/>
  <c r="P1101" i="1" s="1"/>
  <c r="N869" i="1"/>
  <c r="O869" i="1" s="1"/>
  <c r="P869" i="1" s="1"/>
  <c r="N1076" i="1"/>
  <c r="O1076" i="1" s="1"/>
  <c r="P1076" i="1" s="1"/>
  <c r="N933" i="1"/>
  <c r="O933" i="1" s="1"/>
  <c r="P933" i="1" s="1"/>
  <c r="N698" i="1"/>
  <c r="O698" i="1" s="1"/>
  <c r="P698" i="1" s="1"/>
  <c r="N1201" i="1"/>
  <c r="O1201" i="1" s="1"/>
  <c r="P1201" i="1" s="1"/>
  <c r="N249" i="1"/>
  <c r="O249" i="1" s="1"/>
  <c r="P249" i="1" s="1"/>
  <c r="N1020" i="1"/>
  <c r="O1020" i="1" s="1"/>
  <c r="P1020" i="1" s="1"/>
  <c r="N935" i="1"/>
  <c r="O935" i="1" s="1"/>
  <c r="P935" i="1" s="1"/>
  <c r="N989" i="1"/>
  <c r="O989" i="1" s="1"/>
  <c r="P989" i="1" s="1"/>
  <c r="N1149" i="1"/>
  <c r="O1149" i="1" s="1"/>
  <c r="P1149" i="1" s="1"/>
  <c r="N1118" i="1"/>
  <c r="O1118" i="1" s="1"/>
  <c r="P1118" i="1" s="1"/>
  <c r="N726" i="1"/>
  <c r="O726" i="1" s="1"/>
  <c r="P726" i="1" s="1"/>
  <c r="N670" i="1"/>
  <c r="O670" i="1" s="1"/>
  <c r="P670" i="1" s="1"/>
  <c r="N222" i="1"/>
  <c r="O222" i="1" s="1"/>
  <c r="P222" i="1" s="1"/>
  <c r="N1229" i="1"/>
  <c r="O1229" i="1" s="1"/>
  <c r="P1229" i="1" s="1"/>
  <c r="N1145" i="1"/>
  <c r="O1145" i="1" s="1"/>
  <c r="P1145" i="1" s="1"/>
  <c r="N1117" i="1"/>
  <c r="O1117" i="1" s="1"/>
  <c r="P1117" i="1" s="1"/>
  <c r="N1061" i="1"/>
  <c r="O1061" i="1" s="1"/>
  <c r="P1061" i="1" s="1"/>
  <c r="N501" i="1"/>
  <c r="O501" i="1" s="1"/>
  <c r="P501" i="1" s="1"/>
  <c r="N122" i="1"/>
  <c r="O122" i="1" s="1"/>
  <c r="P122" i="1" s="1"/>
  <c r="N1185" i="1"/>
  <c r="O1185" i="1" s="1"/>
  <c r="P1185" i="1" s="1"/>
  <c r="N981" i="1"/>
  <c r="O981" i="1" s="1"/>
  <c r="P981" i="1" s="1"/>
  <c r="N393" i="1"/>
  <c r="O393" i="1" s="1"/>
  <c r="P393" i="1" s="1"/>
  <c r="N694" i="1"/>
  <c r="O694" i="1" s="1"/>
  <c r="P694" i="1" s="1"/>
  <c r="N246" i="1"/>
  <c r="O246" i="1" s="1"/>
  <c r="P246" i="1" s="1"/>
  <c r="N134" i="1"/>
  <c r="O134" i="1" s="1"/>
  <c r="P134" i="1" s="1"/>
  <c r="N516" i="1"/>
  <c r="O516" i="1" s="1"/>
  <c r="P516" i="1" s="1"/>
  <c r="N1073" i="1"/>
  <c r="O1073" i="1" s="1"/>
  <c r="P1073" i="1" s="1"/>
  <c r="N1226" i="1"/>
  <c r="O1226" i="1" s="1"/>
  <c r="P1226" i="1" s="1"/>
  <c r="N946" i="1"/>
  <c r="O946" i="1" s="1"/>
  <c r="P946" i="1" s="1"/>
  <c r="N918" i="1"/>
  <c r="O918" i="1" s="1"/>
  <c r="P918" i="1" s="1"/>
  <c r="N526" i="1"/>
  <c r="O526" i="1" s="1"/>
  <c r="P526" i="1" s="1"/>
  <c r="N358" i="1"/>
  <c r="O358" i="1" s="1"/>
  <c r="P358" i="1" s="1"/>
  <c r="N1028" i="1"/>
  <c r="O1028" i="1" s="1"/>
  <c r="P1028" i="1" s="1"/>
  <c r="N1000" i="1"/>
  <c r="O1000" i="1" s="1"/>
  <c r="P1000" i="1" s="1"/>
  <c r="N916" i="1"/>
  <c r="O916" i="1" s="1"/>
  <c r="P916" i="1" s="1"/>
  <c r="N860" i="1"/>
  <c r="O860" i="1" s="1"/>
  <c r="P860" i="1" s="1"/>
  <c r="N832" i="1"/>
  <c r="O832" i="1" s="1"/>
  <c r="P832" i="1" s="1"/>
  <c r="N692" i="1"/>
  <c r="O692" i="1" s="1"/>
  <c r="P692" i="1" s="1"/>
  <c r="N636" i="1"/>
  <c r="O636" i="1" s="1"/>
  <c r="P636" i="1" s="1"/>
  <c r="N580" i="1"/>
  <c r="O580" i="1" s="1"/>
  <c r="P580" i="1" s="1"/>
  <c r="N356" i="1"/>
  <c r="O356" i="1" s="1"/>
  <c r="P356" i="1" s="1"/>
  <c r="N300" i="1"/>
  <c r="O300" i="1" s="1"/>
  <c r="P300" i="1" s="1"/>
  <c r="N76" i="1"/>
  <c r="O76" i="1" s="1"/>
  <c r="P76" i="1" s="1"/>
  <c r="N1085" i="1"/>
  <c r="O1085" i="1" s="1"/>
  <c r="P1085" i="1" s="1"/>
  <c r="N684" i="1"/>
  <c r="O684" i="1" s="1"/>
  <c r="P684" i="1" s="1"/>
  <c r="N1130" i="1"/>
  <c r="O1130" i="1" s="1"/>
  <c r="P1130" i="1" s="1"/>
  <c r="N1103" i="1"/>
  <c r="O1103" i="1" s="1"/>
  <c r="P1103" i="1" s="1"/>
  <c r="N1213" i="1"/>
  <c r="O1213" i="1" s="1"/>
  <c r="P1213" i="1" s="1"/>
  <c r="N953" i="1"/>
  <c r="O953" i="1" s="1"/>
  <c r="P953" i="1" s="1"/>
  <c r="N1195" i="1"/>
  <c r="O1195" i="1" s="1"/>
  <c r="P1195" i="1" s="1"/>
  <c r="N327" i="1"/>
  <c r="O327" i="1" s="1"/>
  <c r="P327" i="1" s="1"/>
  <c r="N215" i="1"/>
  <c r="O215" i="1" s="1"/>
  <c r="P215" i="1" s="1"/>
  <c r="N187" i="1"/>
  <c r="O187" i="1" s="1"/>
  <c r="P187" i="1" s="1"/>
  <c r="N159" i="1"/>
  <c r="O159" i="1" s="1"/>
  <c r="P159" i="1" s="1"/>
  <c r="N151" i="1"/>
  <c r="O151" i="1" s="1"/>
  <c r="P151" i="1" s="1"/>
  <c r="N803" i="1"/>
  <c r="O803" i="1" s="1"/>
  <c r="P803" i="1" s="1"/>
  <c r="N523" i="1"/>
  <c r="O523" i="1" s="1"/>
  <c r="P523" i="1" s="1"/>
  <c r="N998" i="1"/>
  <c r="O998" i="1" s="1"/>
  <c r="P998" i="1" s="1"/>
  <c r="N1132" i="1"/>
  <c r="O1132" i="1" s="1"/>
  <c r="P1132" i="1" s="1"/>
  <c r="N514" i="1"/>
  <c r="O514" i="1" s="1"/>
  <c r="P514" i="1" s="1"/>
  <c r="N961" i="1"/>
  <c r="O961" i="1" s="1"/>
  <c r="P961" i="1" s="1"/>
  <c r="N1230" i="1"/>
  <c r="O1230" i="1" s="1"/>
  <c r="P1230" i="1" s="1"/>
  <c r="N1223" i="1"/>
  <c r="O1223" i="1" s="1"/>
  <c r="P1223" i="1" s="1"/>
  <c r="N1055" i="1"/>
  <c r="O1055" i="1" s="1"/>
  <c r="P1055" i="1" s="1"/>
  <c r="N691" i="1"/>
  <c r="O691" i="1" s="1"/>
  <c r="P691" i="1" s="1"/>
  <c r="N579" i="1"/>
  <c r="O579" i="1" s="1"/>
  <c r="P579" i="1" s="1"/>
  <c r="N1026" i="1"/>
  <c r="O1026" i="1" s="1"/>
  <c r="P1026" i="1" s="1"/>
  <c r="N1193" i="1"/>
  <c r="O1193" i="1" s="1"/>
  <c r="P1193" i="1" s="1"/>
  <c r="N1109" i="1"/>
  <c r="O1109" i="1" s="1"/>
  <c r="P1109" i="1" s="1"/>
  <c r="N964" i="1"/>
  <c r="O964" i="1" s="1"/>
  <c r="P964" i="1" s="1"/>
  <c r="N544" i="1"/>
  <c r="O544" i="1" s="1"/>
  <c r="P544" i="1" s="1"/>
  <c r="N1045" i="1"/>
  <c r="O1045" i="1" s="1"/>
  <c r="P1045" i="1" s="1"/>
  <c r="N1205" i="1"/>
  <c r="O1205" i="1" s="1"/>
  <c r="P1205" i="1" s="1"/>
  <c r="N1202" i="1"/>
  <c r="O1202" i="1" s="1"/>
  <c r="P1202" i="1" s="1"/>
  <c r="N502" i="1"/>
  <c r="O502" i="1" s="1"/>
  <c r="P502" i="1" s="1"/>
  <c r="N887" i="1"/>
  <c r="O887" i="1" s="1"/>
  <c r="P887" i="1" s="1"/>
  <c r="N663" i="1"/>
  <c r="O663" i="1" s="1"/>
  <c r="P663" i="1" s="1"/>
  <c r="N439" i="1"/>
  <c r="O439" i="1" s="1"/>
  <c r="P439" i="1" s="1"/>
  <c r="N1082" i="1"/>
  <c r="O1082" i="1" s="1"/>
  <c r="P1082" i="1" s="1"/>
  <c r="N1131" i="1"/>
  <c r="O1131" i="1" s="1"/>
  <c r="P1131" i="1" s="1"/>
  <c r="N1102" i="1"/>
  <c r="O1102" i="1" s="1"/>
  <c r="P1102" i="1" s="1"/>
  <c r="N877" i="1"/>
  <c r="O877" i="1" s="1"/>
  <c r="P877" i="1" s="1"/>
  <c r="N1062" i="1"/>
  <c r="O1062" i="1" s="1"/>
  <c r="P1062" i="1" s="1"/>
  <c r="N999" i="1"/>
  <c r="O999" i="1" s="1"/>
  <c r="P999" i="1" s="1"/>
  <c r="N859" i="1"/>
  <c r="O859" i="1" s="1"/>
  <c r="P859" i="1" s="1"/>
  <c r="N719" i="1"/>
  <c r="O719" i="1" s="1"/>
  <c r="P719" i="1" s="1"/>
  <c r="N407" i="1"/>
  <c r="O407" i="1" s="1"/>
  <c r="P407" i="1" s="1"/>
  <c r="N211" i="1"/>
  <c r="O211" i="1" s="1"/>
  <c r="P211" i="1" s="1"/>
  <c r="N795" i="1"/>
  <c r="O795" i="1" s="1"/>
  <c r="P795" i="1" s="1"/>
  <c r="N654" i="1"/>
  <c r="O654" i="1" s="1"/>
  <c r="P654" i="1" s="1"/>
  <c r="N1129" i="1"/>
  <c r="O1129" i="1" s="1"/>
  <c r="P1129" i="1" s="1"/>
  <c r="N586" i="1"/>
  <c r="O586" i="1" s="1"/>
  <c r="P586" i="1" s="1"/>
  <c r="N1139" i="1"/>
  <c r="O1139" i="1" s="1"/>
  <c r="P1139" i="1" s="1"/>
  <c r="N635" i="1"/>
  <c r="O635" i="1" s="1"/>
  <c r="P635" i="1" s="1"/>
  <c r="N467" i="1"/>
  <c r="O467" i="1" s="1"/>
  <c r="P467" i="1" s="1"/>
  <c r="N1110" i="1"/>
  <c r="O1110" i="1" s="1"/>
  <c r="P1110" i="1" s="1"/>
  <c r="N209" i="1"/>
  <c r="O209" i="1" s="1"/>
  <c r="P209" i="1" s="1"/>
  <c r="N181" i="1"/>
  <c r="O181" i="1" s="1"/>
  <c r="P181" i="1" s="1"/>
  <c r="N994" i="1"/>
  <c r="O994" i="1" s="1"/>
  <c r="P994" i="1" s="1"/>
  <c r="N966" i="1"/>
  <c r="O966" i="1" s="1"/>
  <c r="P966" i="1" s="1"/>
  <c r="N854" i="1"/>
  <c r="O854" i="1" s="1"/>
  <c r="P854" i="1" s="1"/>
  <c r="N798" i="1"/>
  <c r="O798" i="1" s="1"/>
  <c r="P798" i="1" s="1"/>
  <c r="N742" i="1"/>
  <c r="O742" i="1" s="1"/>
  <c r="P742" i="1" s="1"/>
  <c r="N546" i="1"/>
  <c r="O546" i="1" s="1"/>
  <c r="P546" i="1" s="1"/>
  <c r="N518" i="1"/>
  <c r="O518" i="1" s="1"/>
  <c r="P518" i="1" s="1"/>
  <c r="N434" i="1"/>
  <c r="O434" i="1" s="1"/>
  <c r="P434" i="1" s="1"/>
  <c r="N406" i="1"/>
  <c r="O406" i="1" s="1"/>
  <c r="P406" i="1" s="1"/>
  <c r="N210" i="1"/>
  <c r="O210" i="1" s="1"/>
  <c r="P210" i="1" s="1"/>
  <c r="N1225" i="1"/>
  <c r="O1225" i="1" s="1"/>
  <c r="P1225" i="1" s="1"/>
  <c r="N1197" i="1"/>
  <c r="O1197" i="1" s="1"/>
  <c r="P1197" i="1" s="1"/>
  <c r="N1169" i="1"/>
  <c r="O1169" i="1" s="1"/>
  <c r="P1169" i="1" s="1"/>
  <c r="N1141" i="1"/>
  <c r="O1141" i="1" s="1"/>
  <c r="P1141" i="1" s="1"/>
  <c r="N1113" i="1"/>
  <c r="O1113" i="1" s="1"/>
  <c r="P1113" i="1" s="1"/>
  <c r="N1057" i="1"/>
  <c r="O1057" i="1" s="1"/>
  <c r="P1057" i="1" s="1"/>
  <c r="N1029" i="1"/>
  <c r="O1029" i="1" s="1"/>
  <c r="P1029" i="1" s="1"/>
  <c r="N1001" i="1"/>
  <c r="O1001" i="1" s="1"/>
  <c r="P1001" i="1" s="1"/>
  <c r="N973" i="1"/>
  <c r="O973" i="1" s="1"/>
  <c r="P973" i="1" s="1"/>
  <c r="N945" i="1"/>
  <c r="O945" i="1" s="1"/>
  <c r="P945" i="1" s="1"/>
  <c r="N889" i="1"/>
  <c r="O889" i="1" s="1"/>
  <c r="P889" i="1" s="1"/>
  <c r="N721" i="1"/>
  <c r="O721" i="1" s="1"/>
  <c r="P721" i="1" s="1"/>
  <c r="N665" i="1"/>
  <c r="O665" i="1" s="1"/>
  <c r="P665" i="1" s="1"/>
  <c r="N637" i="1"/>
  <c r="O637" i="1" s="1"/>
  <c r="P637" i="1" s="1"/>
  <c r="N553" i="1"/>
  <c r="O553" i="1" s="1"/>
  <c r="P553" i="1" s="1"/>
  <c r="N329" i="1"/>
  <c r="O329" i="1" s="1"/>
  <c r="P329" i="1" s="1"/>
  <c r="N245" i="1"/>
  <c r="O245" i="1" s="1"/>
  <c r="P245" i="1" s="1"/>
  <c r="N217" i="1"/>
  <c r="O217" i="1" s="1"/>
  <c r="P217" i="1" s="1"/>
  <c r="N105" i="1"/>
  <c r="O105" i="1" s="1"/>
  <c r="P105" i="1" s="1"/>
  <c r="N49" i="1"/>
  <c r="O49" i="1" s="1"/>
  <c r="P49" i="1" s="1"/>
  <c r="N873" i="1"/>
  <c r="O873" i="1" s="1"/>
  <c r="P873" i="1" s="1"/>
  <c r="N285" i="1"/>
  <c r="O285" i="1" s="1"/>
  <c r="P285" i="1" s="1"/>
  <c r="N1224" i="1"/>
  <c r="O1224" i="1" s="1"/>
  <c r="P1224" i="1" s="1"/>
  <c r="N1196" i="1"/>
  <c r="O1196" i="1" s="1"/>
  <c r="P1196" i="1" s="1"/>
  <c r="N1168" i="1"/>
  <c r="O1168" i="1" s="1"/>
  <c r="P1168" i="1" s="1"/>
  <c r="N1140" i="1"/>
  <c r="O1140" i="1" s="1"/>
  <c r="P1140" i="1" s="1"/>
  <c r="N1112" i="1"/>
  <c r="O1112" i="1" s="1"/>
  <c r="P1112" i="1" s="1"/>
  <c r="N1084" i="1"/>
  <c r="O1084" i="1" s="1"/>
  <c r="P1084" i="1" s="1"/>
  <c r="N1056" i="1"/>
  <c r="O1056" i="1" s="1"/>
  <c r="P1056" i="1" s="1"/>
  <c r="N888" i="1"/>
  <c r="O888" i="1" s="1"/>
  <c r="P888" i="1" s="1"/>
  <c r="N804" i="1"/>
  <c r="O804" i="1" s="1"/>
  <c r="P804" i="1" s="1"/>
  <c r="N720" i="1"/>
  <c r="O720" i="1" s="1"/>
  <c r="P720" i="1" s="1"/>
  <c r="N664" i="1"/>
  <c r="O664" i="1" s="1"/>
  <c r="P664" i="1" s="1"/>
  <c r="N524" i="1"/>
  <c r="O524" i="1" s="1"/>
  <c r="P524" i="1" s="1"/>
  <c r="N468" i="1"/>
  <c r="O468" i="1" s="1"/>
  <c r="P468" i="1" s="1"/>
  <c r="N412" i="1"/>
  <c r="O412" i="1" s="1"/>
  <c r="P412" i="1" s="1"/>
  <c r="N328" i="1"/>
  <c r="O328" i="1" s="1"/>
  <c r="P328" i="1" s="1"/>
  <c r="N244" i="1"/>
  <c r="O244" i="1" s="1"/>
  <c r="P244" i="1" s="1"/>
  <c r="N216" i="1"/>
  <c r="O216" i="1" s="1"/>
  <c r="P216" i="1" s="1"/>
  <c r="N188" i="1"/>
  <c r="O188" i="1" s="1"/>
  <c r="P188" i="1" s="1"/>
  <c r="N160" i="1"/>
  <c r="O160" i="1" s="1"/>
  <c r="P160" i="1" s="1"/>
  <c r="N104" i="1"/>
  <c r="O104" i="1" s="1"/>
  <c r="P104" i="1" s="1"/>
  <c r="N48" i="1"/>
  <c r="O48" i="1" s="1"/>
  <c r="P48" i="1" s="1"/>
  <c r="N565" i="1"/>
  <c r="O565" i="1" s="1"/>
  <c r="P565" i="1" s="1"/>
  <c r="N1154" i="1"/>
  <c r="O1154" i="1" s="1"/>
  <c r="P1154" i="1" s="1"/>
  <c r="N1153" i="1"/>
  <c r="O1153" i="1" s="1"/>
  <c r="P1153" i="1" s="1"/>
  <c r="N257" i="1"/>
  <c r="O257" i="1" s="1"/>
  <c r="P257" i="1" s="1"/>
  <c r="N1194" i="1"/>
  <c r="O1194" i="1" s="1"/>
  <c r="P1194" i="1" s="1"/>
  <c r="N1135" i="1"/>
  <c r="O1135" i="1" s="1"/>
  <c r="P1135" i="1" s="1"/>
  <c r="N1051" i="1"/>
  <c r="O1051" i="1" s="1"/>
  <c r="P1051" i="1" s="1"/>
  <c r="N967" i="1"/>
  <c r="O967" i="1" s="1"/>
  <c r="P967" i="1" s="1"/>
  <c r="N939" i="1"/>
  <c r="O939" i="1" s="1"/>
  <c r="P939" i="1" s="1"/>
  <c r="N855" i="1"/>
  <c r="O855" i="1" s="1"/>
  <c r="P855" i="1" s="1"/>
  <c r="N827" i="1"/>
  <c r="O827" i="1" s="1"/>
  <c r="P827" i="1" s="1"/>
  <c r="N799" i="1"/>
  <c r="O799" i="1" s="1"/>
  <c r="P799" i="1" s="1"/>
  <c r="N659" i="1"/>
  <c r="O659" i="1" s="1"/>
  <c r="P659" i="1" s="1"/>
  <c r="N631" i="1"/>
  <c r="O631" i="1" s="1"/>
  <c r="P631" i="1" s="1"/>
  <c r="N547" i="1"/>
  <c r="O547" i="1" s="1"/>
  <c r="P547" i="1" s="1"/>
  <c r="N1166" i="1"/>
  <c r="O1166" i="1" s="1"/>
  <c r="P1166" i="1" s="1"/>
  <c r="N1069" i="1"/>
  <c r="O1069" i="1" s="1"/>
  <c r="P1069" i="1" s="1"/>
  <c r="N705" i="1"/>
  <c r="O705" i="1" s="1"/>
  <c r="P705" i="1" s="1"/>
  <c r="N229" i="1"/>
  <c r="O229" i="1" s="1"/>
  <c r="P229" i="1" s="1"/>
  <c r="N1138" i="1"/>
  <c r="O1138" i="1" s="1"/>
  <c r="P1138" i="1" s="1"/>
  <c r="N1054" i="1"/>
  <c r="O1054" i="1" s="1"/>
  <c r="P1054" i="1" s="1"/>
  <c r="N1137" i="1"/>
  <c r="O1137" i="1" s="1"/>
  <c r="P1137" i="1" s="1"/>
  <c r="N1025" i="1"/>
  <c r="O1025" i="1" s="1"/>
  <c r="P1025" i="1" s="1"/>
  <c r="N1108" i="1"/>
  <c r="O1108" i="1" s="1"/>
  <c r="P1108" i="1" s="1"/>
  <c r="N1052" i="1"/>
  <c r="O1052" i="1" s="1"/>
  <c r="P1052" i="1" s="1"/>
  <c r="N884" i="1"/>
  <c r="O884" i="1" s="1"/>
  <c r="P884" i="1" s="1"/>
  <c r="N856" i="1"/>
  <c r="O856" i="1" s="1"/>
  <c r="P856" i="1" s="1"/>
  <c r="N576" i="1"/>
  <c r="O576" i="1" s="1"/>
  <c r="P576" i="1" s="1"/>
  <c r="N520" i="1"/>
  <c r="O520" i="1" s="1"/>
  <c r="P520" i="1" s="1"/>
  <c r="N464" i="1"/>
  <c r="O464" i="1" s="1"/>
  <c r="P464" i="1" s="1"/>
  <c r="N268" i="1"/>
  <c r="O268" i="1" s="1"/>
  <c r="P268" i="1" s="1"/>
  <c r="N212" i="1"/>
  <c r="O212" i="1" s="1"/>
  <c r="P212" i="1" s="1"/>
  <c r="N1097" i="1"/>
  <c r="O1097" i="1" s="1"/>
  <c r="P1097" i="1" s="1"/>
  <c r="N509" i="1"/>
  <c r="O509" i="1" s="1"/>
  <c r="P509" i="1" s="1"/>
  <c r="N1222" i="1"/>
  <c r="O1222" i="1" s="1"/>
  <c r="P1222" i="1" s="1"/>
  <c r="N970" i="1"/>
  <c r="O970" i="1" s="1"/>
  <c r="P970" i="1" s="1"/>
  <c r="N802" i="1"/>
  <c r="O802" i="1" s="1"/>
  <c r="P802" i="1" s="1"/>
  <c r="N578" i="1"/>
  <c r="O578" i="1" s="1"/>
  <c r="P578" i="1" s="1"/>
  <c r="N410" i="1"/>
  <c r="O410" i="1" s="1"/>
  <c r="P410" i="1" s="1"/>
  <c r="N242" i="1"/>
  <c r="O242" i="1" s="1"/>
  <c r="P242" i="1" s="1"/>
  <c r="N158" i="1"/>
  <c r="O158" i="1" s="1"/>
  <c r="P158" i="1" s="1"/>
  <c r="N1165" i="1"/>
  <c r="O1165" i="1" s="1"/>
  <c r="P1165" i="1" s="1"/>
  <c r="N969" i="1"/>
  <c r="O969" i="1" s="1"/>
  <c r="P969" i="1" s="1"/>
  <c r="N801" i="1"/>
  <c r="O801" i="1" s="1"/>
  <c r="P801" i="1" s="1"/>
  <c r="N661" i="1"/>
  <c r="O661" i="1" s="1"/>
  <c r="P661" i="1" s="1"/>
  <c r="N577" i="1"/>
  <c r="O577" i="1" s="1"/>
  <c r="P577" i="1" s="1"/>
  <c r="N465" i="1"/>
  <c r="O465" i="1" s="1"/>
  <c r="P465" i="1" s="1"/>
  <c r="N297" i="1"/>
  <c r="O297" i="1" s="1"/>
  <c r="P297" i="1" s="1"/>
  <c r="N213" i="1"/>
  <c r="O213" i="1" s="1"/>
  <c r="P213" i="1" s="1"/>
  <c r="N101" i="1"/>
  <c r="O101" i="1" s="1"/>
  <c r="P101" i="1" s="1"/>
  <c r="N45" i="1"/>
  <c r="O45" i="1" s="1"/>
  <c r="P45" i="1" s="1"/>
  <c r="N968" i="1"/>
  <c r="O968" i="1" s="1"/>
  <c r="P968" i="1" s="1"/>
  <c r="N828" i="1"/>
  <c r="O828" i="1" s="1"/>
  <c r="P828" i="1" s="1"/>
  <c r="N660" i="1"/>
  <c r="O660" i="1" s="1"/>
  <c r="P660" i="1" s="1"/>
  <c r="N604" i="1"/>
  <c r="O604" i="1" s="1"/>
  <c r="P604" i="1" s="1"/>
  <c r="N492" i="1"/>
  <c r="O492" i="1" s="1"/>
  <c r="P492" i="1" s="1"/>
  <c r="N408" i="1"/>
  <c r="O408" i="1" s="1"/>
  <c r="P408" i="1" s="1"/>
  <c r="N296" i="1"/>
  <c r="O296" i="1" s="1"/>
  <c r="P296" i="1" s="1"/>
  <c r="N100" i="1"/>
  <c r="O100" i="1" s="1"/>
  <c r="P100" i="1" s="1"/>
  <c r="N44" i="1"/>
  <c r="O44" i="1" s="1"/>
  <c r="P44" i="1" s="1"/>
  <c r="N1210" i="1"/>
  <c r="O1210" i="1" s="1"/>
  <c r="P1210" i="1" s="1"/>
  <c r="N1209" i="1"/>
  <c r="O1209" i="1" s="1"/>
  <c r="P1209" i="1" s="1"/>
  <c r="N845" i="1"/>
  <c r="O845" i="1" s="1"/>
  <c r="P845" i="1" s="1"/>
  <c r="N425" i="1"/>
  <c r="O425" i="1" s="1"/>
  <c r="P425" i="1" s="1"/>
  <c r="N369" i="1"/>
  <c r="O369" i="1" s="1"/>
  <c r="P369" i="1" s="1"/>
  <c r="N886" i="1"/>
  <c r="O886" i="1" s="1"/>
  <c r="P886" i="1" s="1"/>
  <c r="N690" i="1"/>
  <c r="O690" i="1" s="1"/>
  <c r="P690" i="1" s="1"/>
  <c r="N522" i="1"/>
  <c r="O522" i="1" s="1"/>
  <c r="P522" i="1" s="1"/>
  <c r="N466" i="1"/>
  <c r="O466" i="1" s="1"/>
  <c r="P466" i="1" s="1"/>
  <c r="N326" i="1"/>
  <c r="O326" i="1" s="1"/>
  <c r="P326" i="1" s="1"/>
  <c r="N102" i="1"/>
  <c r="O102" i="1" s="1"/>
  <c r="P102" i="1" s="1"/>
  <c r="N1221" i="1"/>
  <c r="O1221" i="1" s="1"/>
  <c r="P1221" i="1" s="1"/>
  <c r="N1053" i="1"/>
  <c r="O1053" i="1" s="1"/>
  <c r="P1053" i="1" s="1"/>
  <c r="N885" i="1"/>
  <c r="O885" i="1" s="1"/>
  <c r="P885" i="1" s="1"/>
  <c r="N773" i="1"/>
  <c r="O773" i="1" s="1"/>
  <c r="P773" i="1" s="1"/>
  <c r="N521" i="1"/>
  <c r="O521" i="1" s="1"/>
  <c r="P521" i="1" s="1"/>
  <c r="N325" i="1"/>
  <c r="O325" i="1" s="1"/>
  <c r="P325" i="1" s="1"/>
  <c r="N185" i="1"/>
  <c r="O185" i="1" s="1"/>
  <c r="P185" i="1" s="1"/>
  <c r="N17" i="1"/>
  <c r="O17" i="1" s="1"/>
  <c r="P17" i="1" s="1"/>
  <c r="N1212" i="1"/>
  <c r="O1212" i="1" s="1"/>
  <c r="P1212" i="1" s="1"/>
  <c r="N1184" i="1"/>
  <c r="O1184" i="1" s="1"/>
  <c r="P1184" i="1" s="1"/>
  <c r="N1156" i="1"/>
  <c r="O1156" i="1" s="1"/>
  <c r="P1156" i="1" s="1"/>
  <c r="N1128" i="1"/>
  <c r="O1128" i="1" s="1"/>
  <c r="P1128" i="1" s="1"/>
  <c r="N1100" i="1"/>
  <c r="O1100" i="1" s="1"/>
  <c r="P1100" i="1" s="1"/>
  <c r="N1016" i="1"/>
  <c r="O1016" i="1" s="1"/>
  <c r="P1016" i="1" s="1"/>
  <c r="N988" i="1"/>
  <c r="O988" i="1" s="1"/>
  <c r="P988" i="1" s="1"/>
  <c r="N932" i="1"/>
  <c r="O932" i="1" s="1"/>
  <c r="P932" i="1" s="1"/>
  <c r="N904" i="1"/>
  <c r="O904" i="1" s="1"/>
  <c r="P904" i="1" s="1"/>
  <c r="N876" i="1"/>
  <c r="O876" i="1" s="1"/>
  <c r="P876" i="1" s="1"/>
  <c r="N848" i="1"/>
  <c r="O848" i="1" s="1"/>
  <c r="P848" i="1" s="1"/>
  <c r="N820" i="1"/>
  <c r="O820" i="1" s="1"/>
  <c r="P820" i="1" s="1"/>
  <c r="N792" i="1"/>
  <c r="O792" i="1" s="1"/>
  <c r="P792" i="1" s="1"/>
  <c r="N764" i="1"/>
  <c r="O764" i="1" s="1"/>
  <c r="P764" i="1" s="1"/>
  <c r="N652" i="1"/>
  <c r="O652" i="1" s="1"/>
  <c r="P652" i="1" s="1"/>
  <c r="N512" i="1"/>
  <c r="O512" i="1" s="1"/>
  <c r="P512" i="1" s="1"/>
  <c r="N484" i="1"/>
  <c r="O484" i="1" s="1"/>
  <c r="P484" i="1" s="1"/>
  <c r="N456" i="1"/>
  <c r="O456" i="1" s="1"/>
  <c r="P456" i="1" s="1"/>
  <c r="N428" i="1"/>
  <c r="O428" i="1" s="1"/>
  <c r="P428" i="1" s="1"/>
  <c r="N372" i="1"/>
  <c r="O372" i="1" s="1"/>
  <c r="P372" i="1" s="1"/>
  <c r="N316" i="1"/>
  <c r="O316" i="1" s="1"/>
  <c r="P316" i="1" s="1"/>
  <c r="N260" i="1"/>
  <c r="O260" i="1" s="1"/>
  <c r="P260" i="1" s="1"/>
  <c r="N204" i="1"/>
  <c r="O204" i="1" s="1"/>
  <c r="P204" i="1" s="1"/>
  <c r="N119" i="1"/>
  <c r="O119" i="1" s="1"/>
  <c r="P119" i="1" s="1"/>
  <c r="N91" i="1"/>
  <c r="O91" i="1" s="1"/>
  <c r="P91" i="1" s="1"/>
  <c r="N63" i="1"/>
  <c r="O63" i="1" s="1"/>
  <c r="P63" i="1" s="1"/>
  <c r="N35" i="1"/>
  <c r="O35" i="1" s="1"/>
  <c r="P35" i="1" s="1"/>
  <c r="N7" i="1"/>
  <c r="O7" i="1" s="1"/>
  <c r="P7" i="1" s="1"/>
  <c r="N1098" i="1"/>
  <c r="O1098" i="1" s="1"/>
  <c r="P1098" i="1" s="1"/>
  <c r="N1014" i="1"/>
  <c r="O1014" i="1" s="1"/>
  <c r="P1014" i="1" s="1"/>
  <c r="N958" i="1"/>
  <c r="O958" i="1" s="1"/>
  <c r="P958" i="1" s="1"/>
  <c r="N930" i="1"/>
  <c r="O930" i="1" s="1"/>
  <c r="P930" i="1" s="1"/>
  <c r="N846" i="1"/>
  <c r="O846" i="1" s="1"/>
  <c r="P846" i="1" s="1"/>
  <c r="N818" i="1"/>
  <c r="O818" i="1" s="1"/>
  <c r="P818" i="1" s="1"/>
  <c r="N762" i="1"/>
  <c r="O762" i="1" s="1"/>
  <c r="P762" i="1" s="1"/>
  <c r="N734" i="1"/>
  <c r="O734" i="1" s="1"/>
  <c r="P734" i="1" s="1"/>
  <c r="N706" i="1"/>
  <c r="O706" i="1" s="1"/>
  <c r="P706" i="1" s="1"/>
  <c r="N678" i="1"/>
  <c r="O678" i="1" s="1"/>
  <c r="P678" i="1" s="1"/>
  <c r="N650" i="1"/>
  <c r="O650" i="1" s="1"/>
  <c r="P650" i="1" s="1"/>
  <c r="N622" i="1"/>
  <c r="O622" i="1" s="1"/>
  <c r="P622" i="1" s="1"/>
  <c r="N594" i="1"/>
  <c r="O594" i="1" s="1"/>
  <c r="P594" i="1" s="1"/>
  <c r="N566" i="1"/>
  <c r="O566" i="1" s="1"/>
  <c r="P566" i="1" s="1"/>
  <c r="N538" i="1"/>
  <c r="O538" i="1" s="1"/>
  <c r="P538" i="1" s="1"/>
  <c r="N454" i="1"/>
  <c r="O454" i="1" s="1"/>
  <c r="P454" i="1" s="1"/>
  <c r="N426" i="1"/>
  <c r="O426" i="1" s="1"/>
  <c r="P426" i="1" s="1"/>
  <c r="N370" i="1"/>
  <c r="O370" i="1" s="1"/>
  <c r="P370" i="1" s="1"/>
  <c r="N342" i="1"/>
  <c r="O342" i="1" s="1"/>
  <c r="P342" i="1" s="1"/>
  <c r="N314" i="1"/>
  <c r="O314" i="1" s="1"/>
  <c r="P314" i="1" s="1"/>
  <c r="N286" i="1"/>
  <c r="O286" i="1" s="1"/>
  <c r="P286" i="1" s="1"/>
  <c r="N258" i="1"/>
  <c r="O258" i="1" s="1"/>
  <c r="P258" i="1" s="1"/>
  <c r="N230" i="1"/>
  <c r="O230" i="1" s="1"/>
  <c r="P230" i="1" s="1"/>
  <c r="N174" i="1"/>
  <c r="O174" i="1" s="1"/>
  <c r="P174" i="1" s="1"/>
  <c r="N146" i="1"/>
  <c r="O146" i="1" s="1"/>
  <c r="P146" i="1" s="1"/>
  <c r="N118" i="1"/>
  <c r="O118" i="1" s="1"/>
  <c r="P118" i="1" s="1"/>
  <c r="N90" i="1"/>
  <c r="O90" i="1" s="1"/>
  <c r="P90" i="1" s="1"/>
  <c r="N62" i="1"/>
  <c r="O62" i="1" s="1"/>
  <c r="P62" i="1" s="1"/>
  <c r="N145" i="1"/>
  <c r="O145" i="1" s="1"/>
  <c r="P145" i="1" s="1"/>
  <c r="N117" i="1"/>
  <c r="O117" i="1" s="1"/>
  <c r="P117" i="1" s="1"/>
  <c r="N89" i="1"/>
  <c r="O89" i="1" s="1"/>
  <c r="P89" i="1" s="1"/>
  <c r="N61" i="1"/>
  <c r="O61" i="1" s="1"/>
  <c r="P61" i="1" s="1"/>
  <c r="N5" i="1"/>
  <c r="O5" i="1" s="1"/>
  <c r="P5" i="1" s="1"/>
  <c r="N621" i="1"/>
  <c r="O621" i="1" s="1"/>
  <c r="P621" i="1" s="1"/>
  <c r="N1208" i="1"/>
  <c r="O1208" i="1" s="1"/>
  <c r="P1208" i="1" s="1"/>
  <c r="N1152" i="1"/>
  <c r="O1152" i="1" s="1"/>
  <c r="P1152" i="1" s="1"/>
  <c r="N1096" i="1"/>
  <c r="O1096" i="1" s="1"/>
  <c r="P1096" i="1" s="1"/>
  <c r="N928" i="1"/>
  <c r="O928" i="1" s="1"/>
  <c r="P928" i="1" s="1"/>
  <c r="N844" i="1"/>
  <c r="O844" i="1" s="1"/>
  <c r="P844" i="1" s="1"/>
  <c r="N816" i="1"/>
  <c r="O816" i="1" s="1"/>
  <c r="P816" i="1" s="1"/>
  <c r="N788" i="1"/>
  <c r="O788" i="1" s="1"/>
  <c r="P788" i="1" s="1"/>
  <c r="N760" i="1"/>
  <c r="O760" i="1" s="1"/>
  <c r="P760" i="1" s="1"/>
  <c r="N732" i="1"/>
  <c r="O732" i="1" s="1"/>
  <c r="P732" i="1" s="1"/>
  <c r="N704" i="1"/>
  <c r="O704" i="1" s="1"/>
  <c r="P704" i="1" s="1"/>
  <c r="N676" i="1"/>
  <c r="O676" i="1" s="1"/>
  <c r="P676" i="1" s="1"/>
  <c r="N620" i="1"/>
  <c r="O620" i="1" s="1"/>
  <c r="P620" i="1" s="1"/>
  <c r="N564" i="1"/>
  <c r="O564" i="1" s="1"/>
  <c r="P564" i="1" s="1"/>
  <c r="N536" i="1"/>
  <c r="O536" i="1" s="1"/>
  <c r="P536" i="1" s="1"/>
  <c r="N508" i="1"/>
  <c r="O508" i="1" s="1"/>
  <c r="P508" i="1" s="1"/>
  <c r="N480" i="1"/>
  <c r="O480" i="1" s="1"/>
  <c r="P480" i="1" s="1"/>
  <c r="N424" i="1"/>
  <c r="O424" i="1" s="1"/>
  <c r="P424" i="1" s="1"/>
  <c r="N396" i="1"/>
  <c r="O396" i="1" s="1"/>
  <c r="P396" i="1" s="1"/>
  <c r="N368" i="1"/>
  <c r="O368" i="1" s="1"/>
  <c r="P368" i="1" s="1"/>
  <c r="N340" i="1"/>
  <c r="O340" i="1" s="1"/>
  <c r="P340" i="1" s="1"/>
  <c r="N312" i="1"/>
  <c r="O312" i="1" s="1"/>
  <c r="P312" i="1" s="1"/>
  <c r="N256" i="1"/>
  <c r="O256" i="1" s="1"/>
  <c r="P256" i="1" s="1"/>
  <c r="N228" i="1"/>
  <c r="O228" i="1" s="1"/>
  <c r="P228" i="1" s="1"/>
  <c r="N172" i="1"/>
  <c r="O172" i="1" s="1"/>
  <c r="P172" i="1" s="1"/>
  <c r="N144" i="1"/>
  <c r="O144" i="1" s="1"/>
  <c r="P144" i="1" s="1"/>
  <c r="N116" i="1"/>
  <c r="O116" i="1" s="1"/>
  <c r="P116" i="1" s="1"/>
  <c r="N60" i="1"/>
  <c r="O60" i="1" s="1"/>
  <c r="P60" i="1" s="1"/>
  <c r="N32" i="1"/>
  <c r="O32" i="1" s="1"/>
  <c r="P32" i="1" s="1"/>
  <c r="N4" i="1"/>
  <c r="O4" i="1" s="1"/>
  <c r="P4" i="1" s="1"/>
  <c r="N1180" i="1"/>
  <c r="O1180" i="1" s="1"/>
  <c r="P1180" i="1" s="1"/>
  <c r="N1124" i="1"/>
  <c r="O1124" i="1" s="1"/>
  <c r="P1124" i="1" s="1"/>
  <c r="N1068" i="1"/>
  <c r="O1068" i="1" s="1"/>
  <c r="P1068" i="1" s="1"/>
  <c r="N1012" i="1"/>
  <c r="O1012" i="1" s="1"/>
  <c r="P1012" i="1" s="1"/>
  <c r="N2" i="1"/>
  <c r="O2" i="1" s="1"/>
  <c r="P2" i="1" s="1"/>
  <c r="N1207" i="1"/>
  <c r="O1207" i="1" s="1"/>
  <c r="P1207" i="1" s="1"/>
  <c r="N1179" i="1"/>
  <c r="O1179" i="1" s="1"/>
  <c r="P1179" i="1" s="1"/>
  <c r="N1123" i="1"/>
  <c r="O1123" i="1" s="1"/>
  <c r="P1123" i="1" s="1"/>
  <c r="N1011" i="1"/>
  <c r="O1011" i="1" s="1"/>
  <c r="P1011" i="1" s="1"/>
  <c r="N983" i="1"/>
  <c r="O983" i="1" s="1"/>
  <c r="P983" i="1" s="1"/>
  <c r="N899" i="1"/>
  <c r="O899" i="1" s="1"/>
  <c r="P899" i="1" s="1"/>
  <c r="N843" i="1"/>
  <c r="O843" i="1" s="1"/>
  <c r="P843" i="1" s="1"/>
  <c r="N703" i="1"/>
  <c r="O703" i="1" s="1"/>
  <c r="P703" i="1" s="1"/>
  <c r="N619" i="1"/>
  <c r="O619" i="1" s="1"/>
  <c r="P619" i="1" s="1"/>
  <c r="N591" i="1"/>
  <c r="O591" i="1" s="1"/>
  <c r="P591" i="1" s="1"/>
  <c r="N563" i="1"/>
  <c r="O563" i="1" s="1"/>
  <c r="P563" i="1" s="1"/>
  <c r="N479" i="1"/>
  <c r="O479" i="1" s="1"/>
  <c r="P479" i="1" s="1"/>
  <c r="N367" i="1"/>
  <c r="O367" i="1" s="1"/>
  <c r="P367" i="1" s="1"/>
  <c r="N339" i="1"/>
  <c r="O339" i="1" s="1"/>
  <c r="P339" i="1" s="1"/>
  <c r="N311" i="1"/>
  <c r="O311" i="1" s="1"/>
  <c r="P311" i="1" s="1"/>
  <c r="N171" i="1"/>
  <c r="O171" i="1" s="1"/>
  <c r="P171" i="1" s="1"/>
  <c r="N3" i="1"/>
  <c r="O3" i="1" s="1"/>
  <c r="P3" i="1" s="1"/>
  <c r="N733" i="1"/>
  <c r="O733" i="1" s="1"/>
  <c r="P733" i="1" s="1"/>
  <c r="N1234" i="1"/>
  <c r="O1234" i="1" s="1"/>
  <c r="P1234" i="1" s="1"/>
  <c r="N1206" i="1"/>
  <c r="O1206" i="1" s="1"/>
  <c r="P1206" i="1" s="1"/>
  <c r="N1178" i="1"/>
  <c r="O1178" i="1" s="1"/>
  <c r="P1178" i="1" s="1"/>
  <c r="N1150" i="1"/>
  <c r="O1150" i="1" s="1"/>
  <c r="P1150" i="1" s="1"/>
  <c r="N1094" i="1"/>
  <c r="O1094" i="1" s="1"/>
  <c r="P1094" i="1" s="1"/>
  <c r="N1066" i="1"/>
  <c r="O1066" i="1" s="1"/>
  <c r="P1066" i="1" s="1"/>
  <c r="N1038" i="1"/>
  <c r="O1038" i="1" s="1"/>
  <c r="P1038" i="1" s="1"/>
  <c r="N1010" i="1"/>
  <c r="O1010" i="1" s="1"/>
  <c r="P1010" i="1" s="1"/>
  <c r="N926" i="1"/>
  <c r="O926" i="1" s="1"/>
  <c r="P926" i="1" s="1"/>
  <c r="N842" i="1"/>
  <c r="O842" i="1" s="1"/>
  <c r="P842" i="1" s="1"/>
  <c r="N814" i="1"/>
  <c r="O814" i="1" s="1"/>
  <c r="P814" i="1" s="1"/>
  <c r="N786" i="1"/>
  <c r="O786" i="1" s="1"/>
  <c r="P786" i="1" s="1"/>
  <c r="N758" i="1"/>
  <c r="O758" i="1" s="1"/>
  <c r="P758" i="1" s="1"/>
  <c r="N730" i="1"/>
  <c r="O730" i="1" s="1"/>
  <c r="P730" i="1" s="1"/>
  <c r="N702" i="1"/>
  <c r="O702" i="1" s="1"/>
  <c r="P702" i="1" s="1"/>
  <c r="N674" i="1"/>
  <c r="O674" i="1" s="1"/>
  <c r="P674" i="1" s="1"/>
  <c r="N618" i="1"/>
  <c r="O618" i="1" s="1"/>
  <c r="P618" i="1" s="1"/>
  <c r="N590" i="1"/>
  <c r="O590" i="1" s="1"/>
  <c r="P590" i="1" s="1"/>
  <c r="N562" i="1"/>
  <c r="O562" i="1" s="1"/>
  <c r="P562" i="1" s="1"/>
  <c r="N534" i="1"/>
  <c r="O534" i="1" s="1"/>
  <c r="P534" i="1" s="1"/>
  <c r="N506" i="1"/>
  <c r="O506" i="1" s="1"/>
  <c r="P506" i="1" s="1"/>
  <c r="N478" i="1"/>
  <c r="O478" i="1" s="1"/>
  <c r="P478" i="1" s="1"/>
  <c r="N422" i="1"/>
  <c r="O422" i="1" s="1"/>
  <c r="P422" i="1" s="1"/>
  <c r="N394" i="1"/>
  <c r="O394" i="1" s="1"/>
  <c r="P394" i="1" s="1"/>
  <c r="N366" i="1"/>
  <c r="O366" i="1" s="1"/>
  <c r="P366" i="1" s="1"/>
  <c r="N338" i="1"/>
  <c r="O338" i="1" s="1"/>
  <c r="P338" i="1" s="1"/>
  <c r="N310" i="1"/>
  <c r="O310" i="1" s="1"/>
  <c r="P310" i="1" s="1"/>
  <c r="N254" i="1"/>
  <c r="O254" i="1" s="1"/>
  <c r="P254" i="1" s="1"/>
  <c r="N226" i="1"/>
  <c r="O226" i="1" s="1"/>
  <c r="P226" i="1" s="1"/>
  <c r="N198" i="1"/>
  <c r="O198" i="1" s="1"/>
  <c r="P198" i="1" s="1"/>
  <c r="N170" i="1"/>
  <c r="O170" i="1" s="1"/>
  <c r="P170" i="1" s="1"/>
  <c r="N537" i="1"/>
  <c r="O537" i="1" s="1"/>
  <c r="P537" i="1" s="1"/>
  <c r="N1093" i="1"/>
  <c r="O1093" i="1" s="1"/>
  <c r="P1093" i="1" s="1"/>
  <c r="N1037" i="1"/>
  <c r="O1037" i="1" s="1"/>
  <c r="P1037" i="1" s="1"/>
  <c r="N925" i="1"/>
  <c r="O925" i="1" s="1"/>
  <c r="P925" i="1" s="1"/>
  <c r="N897" i="1"/>
  <c r="O897" i="1" s="1"/>
  <c r="P897" i="1" s="1"/>
  <c r="N813" i="1"/>
  <c r="O813" i="1" s="1"/>
  <c r="P813" i="1" s="1"/>
  <c r="N561" i="1"/>
  <c r="O561" i="1" s="1"/>
  <c r="P561" i="1" s="1"/>
  <c r="N505" i="1"/>
  <c r="O505" i="1" s="1"/>
  <c r="P505" i="1" s="1"/>
  <c r="N449" i="1"/>
  <c r="O449" i="1" s="1"/>
  <c r="P449" i="1" s="1"/>
  <c r="N337" i="1"/>
  <c r="O337" i="1" s="1"/>
  <c r="P337" i="1" s="1"/>
  <c r="N309" i="1"/>
  <c r="O309" i="1" s="1"/>
  <c r="P309" i="1" s="1"/>
  <c r="N253" i="1"/>
  <c r="O253" i="1" s="1"/>
  <c r="P253" i="1" s="1"/>
  <c r="N225" i="1"/>
  <c r="O225" i="1" s="1"/>
  <c r="P225" i="1" s="1"/>
  <c r="N197" i="1"/>
  <c r="O197" i="1" s="1"/>
  <c r="P197" i="1" s="1"/>
  <c r="N169" i="1"/>
  <c r="O169" i="1" s="1"/>
  <c r="P169" i="1" s="1"/>
  <c r="N677" i="1"/>
  <c r="O677" i="1" s="1"/>
  <c r="P677" i="1" s="1"/>
  <c r="N1233" i="1"/>
  <c r="O1233" i="1" s="1"/>
  <c r="P1233" i="1" s="1"/>
  <c r="N1177" i="1"/>
  <c r="O1177" i="1" s="1"/>
  <c r="P1177" i="1" s="1"/>
  <c r="N1121" i="1"/>
  <c r="O1121" i="1" s="1"/>
  <c r="P1121" i="1" s="1"/>
  <c r="N1065" i="1"/>
  <c r="O1065" i="1" s="1"/>
  <c r="P1065" i="1" s="1"/>
  <c r="N1009" i="1"/>
  <c r="O1009" i="1" s="1"/>
  <c r="P1009" i="1" s="1"/>
  <c r="N841" i="1"/>
  <c r="O841" i="1" s="1"/>
  <c r="P841" i="1" s="1"/>
  <c r="N785" i="1"/>
  <c r="O785" i="1" s="1"/>
  <c r="P785" i="1" s="1"/>
  <c r="N757" i="1"/>
  <c r="O757" i="1" s="1"/>
  <c r="P757" i="1" s="1"/>
  <c r="N729" i="1"/>
  <c r="O729" i="1" s="1"/>
  <c r="P729" i="1" s="1"/>
  <c r="N701" i="1"/>
  <c r="O701" i="1" s="1"/>
  <c r="P701" i="1" s="1"/>
  <c r="N673" i="1"/>
  <c r="O673" i="1" s="1"/>
  <c r="P673" i="1" s="1"/>
  <c r="N645" i="1"/>
  <c r="O645" i="1" s="1"/>
  <c r="P645" i="1" s="1"/>
  <c r="N617" i="1"/>
  <c r="O617" i="1" s="1"/>
  <c r="P617" i="1" s="1"/>
  <c r="N589" i="1"/>
  <c r="O589" i="1" s="1"/>
  <c r="P589" i="1" s="1"/>
  <c r="N533" i="1"/>
  <c r="O533" i="1" s="1"/>
  <c r="P533" i="1" s="1"/>
  <c r="N477" i="1"/>
  <c r="O477" i="1" s="1"/>
  <c r="P477" i="1" s="1"/>
  <c r="N421" i="1"/>
  <c r="O421" i="1" s="1"/>
  <c r="P421" i="1" s="1"/>
  <c r="N365" i="1"/>
  <c r="O365" i="1" s="1"/>
  <c r="P365" i="1" s="1"/>
  <c r="N281" i="1"/>
  <c r="O281" i="1" s="1"/>
  <c r="P281" i="1" s="1"/>
  <c r="N1232" i="1"/>
  <c r="O1232" i="1" s="1"/>
  <c r="P1232" i="1" s="1"/>
  <c r="N1204" i="1"/>
  <c r="O1204" i="1" s="1"/>
  <c r="P1204" i="1" s="1"/>
  <c r="N1176" i="1"/>
  <c r="O1176" i="1" s="1"/>
  <c r="P1176" i="1" s="1"/>
  <c r="N1092" i="1"/>
  <c r="O1092" i="1" s="1"/>
  <c r="P1092" i="1" s="1"/>
  <c r="N1008" i="1"/>
  <c r="O1008" i="1" s="1"/>
  <c r="P1008" i="1" s="1"/>
  <c r="N980" i="1"/>
  <c r="O980" i="1" s="1"/>
  <c r="P980" i="1" s="1"/>
  <c r="N952" i="1"/>
  <c r="O952" i="1" s="1"/>
  <c r="P952" i="1" s="1"/>
  <c r="N924" i="1"/>
  <c r="O924" i="1" s="1"/>
  <c r="P924" i="1" s="1"/>
  <c r="N868" i="1"/>
  <c r="O868" i="1" s="1"/>
  <c r="P868" i="1" s="1"/>
  <c r="N840" i="1"/>
  <c r="O840" i="1" s="1"/>
  <c r="P840" i="1" s="1"/>
  <c r="N756" i="1"/>
  <c r="O756" i="1" s="1"/>
  <c r="P756" i="1" s="1"/>
  <c r="N700" i="1"/>
  <c r="O700" i="1" s="1"/>
  <c r="P700" i="1" s="1"/>
  <c r="N616" i="1"/>
  <c r="O616" i="1" s="1"/>
  <c r="P616" i="1" s="1"/>
  <c r="N560" i="1"/>
  <c r="O560" i="1" s="1"/>
  <c r="P560" i="1" s="1"/>
  <c r="N397" i="1"/>
  <c r="O397" i="1" s="1"/>
  <c r="P397" i="1" s="1"/>
  <c r="N1126" i="1"/>
  <c r="O1126" i="1" s="1"/>
  <c r="P1126" i="1" s="1"/>
  <c r="N1125" i="1"/>
  <c r="O1125" i="1" s="1"/>
  <c r="P1125" i="1" s="1"/>
  <c r="N761" i="1"/>
  <c r="O761" i="1" s="1"/>
  <c r="P761" i="1" s="1"/>
  <c r="N1090" i="1"/>
  <c r="O1090" i="1" s="1"/>
  <c r="P1090" i="1" s="1"/>
  <c r="N1034" i="1"/>
  <c r="O1034" i="1" s="1"/>
  <c r="P1034" i="1" s="1"/>
  <c r="N1006" i="1"/>
  <c r="O1006" i="1" s="1"/>
  <c r="P1006" i="1" s="1"/>
  <c r="N978" i="1"/>
  <c r="O978" i="1" s="1"/>
  <c r="P978" i="1" s="1"/>
  <c r="N950" i="1"/>
  <c r="O950" i="1" s="1"/>
  <c r="P950" i="1" s="1"/>
  <c r="N922" i="1"/>
  <c r="O922" i="1" s="1"/>
  <c r="P922" i="1" s="1"/>
  <c r="N894" i="1"/>
  <c r="O894" i="1" s="1"/>
  <c r="P894" i="1" s="1"/>
  <c r="N866" i="1"/>
  <c r="O866" i="1" s="1"/>
  <c r="P866" i="1" s="1"/>
  <c r="N838" i="1"/>
  <c r="O838" i="1" s="1"/>
  <c r="P838" i="1" s="1"/>
  <c r="N810" i="1"/>
  <c r="O810" i="1" s="1"/>
  <c r="P810" i="1" s="1"/>
  <c r="N782" i="1"/>
  <c r="O782" i="1" s="1"/>
  <c r="P782" i="1" s="1"/>
  <c r="N754" i="1"/>
  <c r="O754" i="1" s="1"/>
  <c r="P754" i="1" s="1"/>
  <c r="N642" i="1"/>
  <c r="O642" i="1" s="1"/>
  <c r="P642" i="1" s="1"/>
  <c r="N614" i="1"/>
  <c r="O614" i="1" s="1"/>
  <c r="P614" i="1" s="1"/>
  <c r="N558" i="1"/>
  <c r="O558" i="1" s="1"/>
  <c r="P558" i="1" s="1"/>
  <c r="N530" i="1"/>
  <c r="O530" i="1" s="1"/>
  <c r="P530" i="1" s="1"/>
  <c r="N474" i="1"/>
  <c r="O474" i="1" s="1"/>
  <c r="P474" i="1" s="1"/>
  <c r="N446" i="1"/>
  <c r="O446" i="1" s="1"/>
  <c r="P446" i="1" s="1"/>
  <c r="N418" i="1"/>
  <c r="O418" i="1" s="1"/>
  <c r="P418" i="1" s="1"/>
  <c r="N390" i="1"/>
  <c r="O390" i="1" s="1"/>
  <c r="P390" i="1" s="1"/>
  <c r="N362" i="1"/>
  <c r="O362" i="1" s="1"/>
  <c r="P362" i="1" s="1"/>
  <c r="N306" i="1"/>
  <c r="O306" i="1" s="1"/>
  <c r="P306" i="1" s="1"/>
  <c r="N278" i="1"/>
  <c r="O278" i="1" s="1"/>
  <c r="P278" i="1" s="1"/>
  <c r="N250" i="1"/>
  <c r="O250" i="1" s="1"/>
  <c r="P250" i="1" s="1"/>
  <c r="N194" i="1"/>
  <c r="O194" i="1" s="1"/>
  <c r="P194" i="1" s="1"/>
  <c r="N166" i="1"/>
  <c r="O166" i="1" s="1"/>
  <c r="P166" i="1" s="1"/>
  <c r="N138" i="1"/>
  <c r="O138" i="1" s="1"/>
  <c r="P138" i="1" s="1"/>
  <c r="N110" i="1"/>
  <c r="O110" i="1" s="1"/>
  <c r="P110" i="1" s="1"/>
  <c r="N82" i="1"/>
  <c r="O82" i="1" s="1"/>
  <c r="P82" i="1" s="1"/>
  <c r="N54" i="1"/>
  <c r="O54" i="1" s="1"/>
  <c r="P54" i="1" s="1"/>
  <c r="N26" i="1"/>
  <c r="O26" i="1" s="1"/>
  <c r="P26" i="1" s="1"/>
  <c r="N929" i="1"/>
  <c r="O929" i="1" s="1"/>
  <c r="P929" i="1" s="1"/>
  <c r="N341" i="1"/>
  <c r="O341" i="1" s="1"/>
  <c r="P341" i="1" s="1"/>
  <c r="N1146" i="1"/>
  <c r="O1146" i="1" s="1"/>
  <c r="P1146" i="1" s="1"/>
  <c r="N1173" i="1"/>
  <c r="O1173" i="1" s="1"/>
  <c r="P1173" i="1" s="1"/>
  <c r="N1005" i="1"/>
  <c r="O1005" i="1" s="1"/>
  <c r="P1005" i="1" s="1"/>
  <c r="N949" i="1"/>
  <c r="O949" i="1" s="1"/>
  <c r="P949" i="1" s="1"/>
  <c r="N893" i="1"/>
  <c r="O893" i="1" s="1"/>
  <c r="P893" i="1" s="1"/>
  <c r="N837" i="1"/>
  <c r="O837" i="1" s="1"/>
  <c r="P837" i="1" s="1"/>
  <c r="N781" i="1"/>
  <c r="O781" i="1" s="1"/>
  <c r="P781" i="1" s="1"/>
  <c r="N725" i="1"/>
  <c r="O725" i="1" s="1"/>
  <c r="P725" i="1" s="1"/>
  <c r="N641" i="1"/>
  <c r="O641" i="1" s="1"/>
  <c r="P641" i="1" s="1"/>
  <c r="N585" i="1"/>
  <c r="O585" i="1" s="1"/>
  <c r="P585" i="1" s="1"/>
  <c r="N529" i="1"/>
  <c r="O529" i="1" s="1"/>
  <c r="P529" i="1" s="1"/>
  <c r="N473" i="1"/>
  <c r="O473" i="1" s="1"/>
  <c r="P473" i="1" s="1"/>
  <c r="N417" i="1"/>
  <c r="O417" i="1" s="1"/>
  <c r="P417" i="1" s="1"/>
  <c r="N389" i="1"/>
  <c r="O389" i="1" s="1"/>
  <c r="P389" i="1" s="1"/>
  <c r="N333" i="1"/>
  <c r="O333" i="1" s="1"/>
  <c r="P333" i="1" s="1"/>
  <c r="N305" i="1"/>
  <c r="O305" i="1" s="1"/>
  <c r="P305" i="1" s="1"/>
  <c r="N277" i="1"/>
  <c r="O277" i="1" s="1"/>
  <c r="P277" i="1" s="1"/>
  <c r="N221" i="1"/>
  <c r="O221" i="1" s="1"/>
  <c r="P221" i="1" s="1"/>
  <c r="N165" i="1"/>
  <c r="O165" i="1" s="1"/>
  <c r="P165" i="1" s="1"/>
  <c r="N137" i="1"/>
  <c r="O137" i="1" s="1"/>
  <c r="P137" i="1" s="1"/>
  <c r="N109" i="1"/>
  <c r="O109" i="1" s="1"/>
  <c r="P109" i="1" s="1"/>
  <c r="N81" i="1"/>
  <c r="O81" i="1" s="1"/>
  <c r="P81" i="1" s="1"/>
  <c r="N53" i="1"/>
  <c r="O53" i="1" s="1"/>
  <c r="P53" i="1" s="1"/>
  <c r="N25" i="1"/>
  <c r="O25" i="1" s="1"/>
  <c r="P25" i="1" s="1"/>
  <c r="N957" i="1"/>
  <c r="O957" i="1" s="1"/>
  <c r="P957" i="1" s="1"/>
  <c r="N313" i="1"/>
  <c r="O313" i="1" s="1"/>
  <c r="P313" i="1" s="1"/>
  <c r="N1174" i="1"/>
  <c r="O1174" i="1" s="1"/>
  <c r="P1174" i="1" s="1"/>
  <c r="N1089" i="1"/>
  <c r="O1089" i="1" s="1"/>
  <c r="P1089" i="1" s="1"/>
  <c r="N1033" i="1"/>
  <c r="O1033" i="1" s="1"/>
  <c r="P1033" i="1" s="1"/>
  <c r="N977" i="1"/>
  <c r="O977" i="1" s="1"/>
  <c r="P977" i="1" s="1"/>
  <c r="N921" i="1"/>
  <c r="O921" i="1" s="1"/>
  <c r="P921" i="1" s="1"/>
  <c r="N865" i="1"/>
  <c r="O865" i="1" s="1"/>
  <c r="P865" i="1" s="1"/>
  <c r="N809" i="1"/>
  <c r="O809" i="1" s="1"/>
  <c r="P809" i="1" s="1"/>
  <c r="N753" i="1"/>
  <c r="O753" i="1" s="1"/>
  <c r="P753" i="1" s="1"/>
  <c r="N697" i="1"/>
  <c r="O697" i="1" s="1"/>
  <c r="P697" i="1" s="1"/>
  <c r="N669" i="1"/>
  <c r="O669" i="1" s="1"/>
  <c r="P669" i="1" s="1"/>
  <c r="N613" i="1"/>
  <c r="O613" i="1" s="1"/>
  <c r="P613" i="1" s="1"/>
  <c r="N557" i="1"/>
  <c r="O557" i="1" s="1"/>
  <c r="P557" i="1" s="1"/>
  <c r="N445" i="1"/>
  <c r="O445" i="1" s="1"/>
  <c r="P445" i="1" s="1"/>
  <c r="N361" i="1"/>
  <c r="O361" i="1" s="1"/>
  <c r="P361" i="1" s="1"/>
  <c r="N193" i="1"/>
  <c r="O193" i="1" s="1"/>
  <c r="P193" i="1" s="1"/>
  <c r="N1228" i="1"/>
  <c r="O1228" i="1" s="1"/>
  <c r="P1228" i="1" s="1"/>
  <c r="N1172" i="1"/>
  <c r="O1172" i="1" s="1"/>
  <c r="P1172" i="1" s="1"/>
  <c r="N1116" i="1"/>
  <c r="O1116" i="1" s="1"/>
  <c r="P1116" i="1" s="1"/>
  <c r="N1088" i="1"/>
  <c r="O1088" i="1" s="1"/>
  <c r="P1088" i="1" s="1"/>
  <c r="N1060" i="1"/>
  <c r="O1060" i="1" s="1"/>
  <c r="P1060" i="1" s="1"/>
  <c r="N1032" i="1"/>
  <c r="O1032" i="1" s="1"/>
  <c r="P1032" i="1" s="1"/>
  <c r="N892" i="1"/>
  <c r="O892" i="1" s="1"/>
  <c r="P892" i="1" s="1"/>
  <c r="N836" i="1"/>
  <c r="O836" i="1" s="1"/>
  <c r="P836" i="1" s="1"/>
  <c r="N808" i="1"/>
  <c r="O808" i="1" s="1"/>
  <c r="P808" i="1" s="1"/>
  <c r="N780" i="1"/>
  <c r="O780" i="1" s="1"/>
  <c r="P780" i="1" s="1"/>
  <c r="N668" i="1"/>
  <c r="O668" i="1" s="1"/>
  <c r="P668" i="1" s="1"/>
  <c r="N612" i="1"/>
  <c r="O612" i="1" s="1"/>
  <c r="P612" i="1" s="1"/>
  <c r="N528" i="1"/>
  <c r="O528" i="1" s="1"/>
  <c r="P528" i="1" s="1"/>
  <c r="N472" i="1"/>
  <c r="O472" i="1" s="1"/>
  <c r="P472" i="1" s="1"/>
  <c r="N304" i="1"/>
  <c r="O304" i="1" s="1"/>
  <c r="P304" i="1" s="1"/>
  <c r="N276" i="1"/>
  <c r="O276" i="1" s="1"/>
  <c r="P276" i="1" s="1"/>
  <c r="N220" i="1"/>
  <c r="O220" i="1" s="1"/>
  <c r="P220" i="1" s="1"/>
  <c r="N52" i="1"/>
  <c r="O52" i="1" s="1"/>
  <c r="P52" i="1" s="1"/>
  <c r="N1013" i="1"/>
  <c r="O1013" i="1" s="1"/>
  <c r="P1013" i="1" s="1"/>
  <c r="N481" i="1"/>
  <c r="O481" i="1" s="1"/>
  <c r="P481" i="1" s="1"/>
  <c r="N1198" i="1"/>
  <c r="O1198" i="1" s="1"/>
  <c r="P1198" i="1" s="1"/>
  <c r="N1170" i="1"/>
  <c r="O1170" i="1" s="1"/>
  <c r="P1170" i="1" s="1"/>
  <c r="N1142" i="1"/>
  <c r="O1142" i="1" s="1"/>
  <c r="P1142" i="1" s="1"/>
  <c r="N1114" i="1"/>
  <c r="O1114" i="1" s="1"/>
  <c r="P1114" i="1" s="1"/>
  <c r="N1086" i="1"/>
  <c r="O1086" i="1" s="1"/>
  <c r="P1086" i="1" s="1"/>
  <c r="N1058" i="1"/>
  <c r="O1058" i="1" s="1"/>
  <c r="P1058" i="1" s="1"/>
  <c r="N1030" i="1"/>
  <c r="O1030" i="1" s="1"/>
  <c r="P1030" i="1" s="1"/>
  <c r="N1002" i="1"/>
  <c r="O1002" i="1" s="1"/>
  <c r="P1002" i="1" s="1"/>
  <c r="N974" i="1"/>
  <c r="O974" i="1" s="1"/>
  <c r="P974" i="1" s="1"/>
  <c r="N890" i="1"/>
  <c r="O890" i="1" s="1"/>
  <c r="P890" i="1" s="1"/>
  <c r="N834" i="1"/>
  <c r="O834" i="1" s="1"/>
  <c r="P834" i="1" s="1"/>
  <c r="N806" i="1"/>
  <c r="O806" i="1" s="1"/>
  <c r="P806" i="1" s="1"/>
  <c r="N778" i="1"/>
  <c r="O778" i="1" s="1"/>
  <c r="P778" i="1" s="1"/>
  <c r="N750" i="1"/>
  <c r="O750" i="1" s="1"/>
  <c r="P750" i="1" s="1"/>
  <c r="N722" i="1"/>
  <c r="O722" i="1" s="1"/>
  <c r="P722" i="1" s="1"/>
  <c r="N666" i="1"/>
  <c r="O666" i="1" s="1"/>
  <c r="P666" i="1" s="1"/>
  <c r="N638" i="1"/>
  <c r="O638" i="1" s="1"/>
  <c r="P638" i="1" s="1"/>
  <c r="N610" i="1"/>
  <c r="O610" i="1" s="1"/>
  <c r="P610" i="1" s="1"/>
  <c r="N582" i="1"/>
  <c r="O582" i="1" s="1"/>
  <c r="P582" i="1" s="1"/>
  <c r="N498" i="1"/>
  <c r="O498" i="1" s="1"/>
  <c r="P498" i="1" s="1"/>
  <c r="N470" i="1"/>
  <c r="O470" i="1" s="1"/>
  <c r="P470" i="1" s="1"/>
  <c r="N442" i="1"/>
  <c r="O442" i="1" s="1"/>
  <c r="P442" i="1" s="1"/>
  <c r="N414" i="1"/>
  <c r="O414" i="1" s="1"/>
  <c r="P414" i="1" s="1"/>
  <c r="N386" i="1"/>
  <c r="O386" i="1" s="1"/>
  <c r="P386" i="1" s="1"/>
  <c r="N330" i="1"/>
  <c r="O330" i="1" s="1"/>
  <c r="P330" i="1" s="1"/>
  <c r="N302" i="1"/>
  <c r="O302" i="1" s="1"/>
  <c r="P302" i="1" s="1"/>
  <c r="N274" i="1"/>
  <c r="O274" i="1" s="1"/>
  <c r="P274" i="1" s="1"/>
  <c r="N218" i="1"/>
  <c r="O218" i="1" s="1"/>
  <c r="P218" i="1" s="1"/>
  <c r="N190" i="1"/>
  <c r="O190" i="1" s="1"/>
  <c r="P190" i="1" s="1"/>
  <c r="N162" i="1"/>
  <c r="O162" i="1" s="1"/>
  <c r="P162" i="1" s="1"/>
  <c r="N106" i="1"/>
  <c r="O106" i="1" s="1"/>
  <c r="P106" i="1" s="1"/>
  <c r="N78" i="1"/>
  <c r="O78" i="1" s="1"/>
  <c r="P78" i="1" s="1"/>
  <c r="N50" i="1"/>
  <c r="O50" i="1" s="1"/>
  <c r="P50" i="1" s="1"/>
  <c r="N22" i="1"/>
  <c r="O22" i="1" s="1"/>
  <c r="P22" i="1" s="1"/>
  <c r="N708" i="1"/>
  <c r="O708" i="1" s="1"/>
  <c r="P708" i="1" s="1"/>
  <c r="N624" i="1"/>
  <c r="O624" i="1" s="1"/>
  <c r="P624" i="1" s="1"/>
  <c r="N596" i="1"/>
  <c r="O596" i="1" s="1"/>
  <c r="P596" i="1" s="1"/>
  <c r="N568" i="1"/>
  <c r="O568" i="1" s="1"/>
  <c r="P568" i="1" s="1"/>
  <c r="N344" i="1"/>
  <c r="O344" i="1" s="1"/>
  <c r="P344" i="1" s="1"/>
  <c r="N288" i="1"/>
  <c r="O288" i="1" s="1"/>
  <c r="P288" i="1" s="1"/>
  <c r="N232" i="1"/>
  <c r="O232" i="1" s="1"/>
  <c r="P232" i="1" s="1"/>
  <c r="N176" i="1"/>
  <c r="O176" i="1" s="1"/>
  <c r="P176" i="1" s="1"/>
  <c r="N148" i="1"/>
  <c r="O148" i="1" s="1"/>
  <c r="P148" i="1" s="1"/>
  <c r="N120" i="1"/>
  <c r="O120" i="1" s="1"/>
  <c r="P120" i="1" s="1"/>
  <c r="N92" i="1"/>
  <c r="O92" i="1" s="1"/>
  <c r="P92" i="1" s="1"/>
  <c r="N64" i="1"/>
  <c r="O64" i="1" s="1"/>
  <c r="P64" i="1" s="1"/>
  <c r="N36" i="1"/>
  <c r="O36" i="1" s="1"/>
  <c r="P36" i="1" s="1"/>
  <c r="N8" i="1"/>
  <c r="O8" i="1" s="1"/>
  <c r="P8" i="1" s="1"/>
  <c r="N1095" i="1"/>
  <c r="O1095" i="1" s="1"/>
  <c r="P1095" i="1" s="1"/>
  <c r="N1067" i="1"/>
  <c r="O1067" i="1" s="1"/>
  <c r="P1067" i="1" s="1"/>
  <c r="N927" i="1"/>
  <c r="O927" i="1" s="1"/>
  <c r="P927" i="1" s="1"/>
  <c r="N815" i="1"/>
  <c r="O815" i="1" s="1"/>
  <c r="P815" i="1" s="1"/>
  <c r="N759" i="1"/>
  <c r="O759" i="1" s="1"/>
  <c r="P759" i="1" s="1"/>
  <c r="N731" i="1"/>
  <c r="O731" i="1" s="1"/>
  <c r="P731" i="1" s="1"/>
  <c r="N675" i="1"/>
  <c r="O675" i="1" s="1"/>
  <c r="P675" i="1" s="1"/>
  <c r="N535" i="1"/>
  <c r="O535" i="1" s="1"/>
  <c r="P535" i="1" s="1"/>
  <c r="N507" i="1"/>
  <c r="O507" i="1" s="1"/>
  <c r="P507" i="1" s="1"/>
  <c r="N423" i="1"/>
  <c r="O423" i="1" s="1"/>
  <c r="P423" i="1" s="1"/>
  <c r="N255" i="1"/>
  <c r="O255" i="1" s="1"/>
  <c r="P255" i="1" s="1"/>
  <c r="N227" i="1"/>
  <c r="O227" i="1" s="1"/>
  <c r="P227" i="1" s="1"/>
  <c r="N199" i="1"/>
  <c r="O199" i="1" s="1"/>
  <c r="P199" i="1" s="1"/>
  <c r="N115" i="1"/>
  <c r="O115" i="1" s="1"/>
  <c r="P115" i="1" s="1"/>
  <c r="N59" i="1"/>
  <c r="O59" i="1" s="1"/>
  <c r="P59" i="1" s="1"/>
  <c r="N31" i="1"/>
  <c r="O31" i="1" s="1"/>
  <c r="P31" i="1" s="1"/>
  <c r="N114" i="1"/>
  <c r="O114" i="1" s="1"/>
  <c r="P114" i="1" s="1"/>
  <c r="N86" i="1"/>
  <c r="O86" i="1" s="1"/>
  <c r="P86" i="1" s="1"/>
  <c r="N58" i="1"/>
  <c r="O58" i="1" s="1"/>
  <c r="P58" i="1" s="1"/>
  <c r="N30" i="1"/>
  <c r="O30" i="1" s="1"/>
  <c r="P30" i="1" s="1"/>
  <c r="N113" i="1"/>
  <c r="O113" i="1" s="1"/>
  <c r="P113" i="1" s="1"/>
  <c r="N57" i="1"/>
  <c r="O57" i="1" s="1"/>
  <c r="P57" i="1" s="1"/>
  <c r="N29" i="1"/>
  <c r="O29" i="1" s="1"/>
  <c r="P29" i="1" s="1"/>
  <c r="N1064" i="1"/>
  <c r="O1064" i="1" s="1"/>
  <c r="P1064" i="1" s="1"/>
  <c r="N1036" i="1"/>
  <c r="O1036" i="1" s="1"/>
  <c r="P1036" i="1" s="1"/>
  <c r="N784" i="1"/>
  <c r="O784" i="1" s="1"/>
  <c r="P784" i="1" s="1"/>
  <c r="N672" i="1"/>
  <c r="O672" i="1" s="1"/>
  <c r="P672" i="1" s="1"/>
  <c r="N644" i="1"/>
  <c r="O644" i="1" s="1"/>
  <c r="P644" i="1" s="1"/>
  <c r="N588" i="1"/>
  <c r="O588" i="1" s="1"/>
  <c r="P588" i="1" s="1"/>
  <c r="N532" i="1"/>
  <c r="O532" i="1" s="1"/>
  <c r="P532" i="1" s="1"/>
  <c r="N504" i="1"/>
  <c r="O504" i="1" s="1"/>
  <c r="P504" i="1" s="1"/>
  <c r="N476" i="1"/>
  <c r="O476" i="1" s="1"/>
  <c r="P476" i="1" s="1"/>
  <c r="N448" i="1"/>
  <c r="O448" i="1" s="1"/>
  <c r="P448" i="1" s="1"/>
  <c r="N308" i="1"/>
  <c r="O308" i="1" s="1"/>
  <c r="P308" i="1" s="1"/>
  <c r="N224" i="1"/>
  <c r="O224" i="1" s="1"/>
  <c r="P224" i="1" s="1"/>
  <c r="N196" i="1"/>
  <c r="O196" i="1" s="1"/>
  <c r="P196" i="1" s="1"/>
  <c r="N112" i="1"/>
  <c r="O112" i="1" s="1"/>
  <c r="P112" i="1" s="1"/>
  <c r="N28" i="1"/>
  <c r="O28" i="1" s="1"/>
  <c r="P28" i="1" s="1"/>
  <c r="N1004" i="1"/>
  <c r="O1004" i="1" s="1"/>
  <c r="P1004" i="1" s="1"/>
  <c r="N976" i="1"/>
  <c r="O976" i="1" s="1"/>
  <c r="P976" i="1" s="1"/>
  <c r="N864" i="1"/>
  <c r="O864" i="1" s="1"/>
  <c r="P864" i="1" s="1"/>
  <c r="N752" i="1"/>
  <c r="O752" i="1" s="1"/>
  <c r="P752" i="1" s="1"/>
  <c r="N696" i="1"/>
  <c r="O696" i="1" s="1"/>
  <c r="P696" i="1" s="1"/>
  <c r="N640" i="1"/>
  <c r="O640" i="1" s="1"/>
  <c r="P640" i="1" s="1"/>
  <c r="N556" i="1"/>
  <c r="O556" i="1" s="1"/>
  <c r="P556" i="1" s="1"/>
  <c r="N444" i="1"/>
  <c r="O444" i="1" s="1"/>
  <c r="P444" i="1" s="1"/>
  <c r="N416" i="1"/>
  <c r="O416" i="1" s="1"/>
  <c r="P416" i="1" s="1"/>
  <c r="N388" i="1"/>
  <c r="O388" i="1" s="1"/>
  <c r="P388" i="1" s="1"/>
  <c r="N192" i="1"/>
  <c r="O192" i="1" s="1"/>
  <c r="P192" i="1" s="1"/>
  <c r="N164" i="1"/>
  <c r="O164" i="1" s="1"/>
  <c r="P164" i="1" s="1"/>
  <c r="N136" i="1"/>
  <c r="O136" i="1" s="1"/>
  <c r="P136" i="1" s="1"/>
  <c r="N108" i="1"/>
  <c r="O108" i="1" s="1"/>
  <c r="P108" i="1" s="1"/>
  <c r="N24" i="1"/>
  <c r="O24" i="1" s="1"/>
  <c r="P24" i="1" s="1"/>
  <c r="N833" i="1"/>
  <c r="O833" i="1" s="1"/>
  <c r="P833" i="1" s="1"/>
  <c r="N805" i="1"/>
  <c r="O805" i="1" s="1"/>
  <c r="P805" i="1" s="1"/>
  <c r="N777" i="1"/>
  <c r="O777" i="1" s="1"/>
  <c r="P777" i="1" s="1"/>
  <c r="N749" i="1"/>
  <c r="O749" i="1" s="1"/>
  <c r="P749" i="1" s="1"/>
  <c r="N609" i="1"/>
  <c r="O609" i="1" s="1"/>
  <c r="P609" i="1" s="1"/>
  <c r="N497" i="1"/>
  <c r="O497" i="1" s="1"/>
  <c r="P497" i="1" s="1"/>
  <c r="N469" i="1"/>
  <c r="O469" i="1" s="1"/>
  <c r="P469" i="1" s="1"/>
  <c r="N441" i="1"/>
  <c r="O441" i="1" s="1"/>
  <c r="P441" i="1" s="1"/>
  <c r="N413" i="1"/>
  <c r="O413" i="1" s="1"/>
  <c r="P413" i="1" s="1"/>
  <c r="N385" i="1"/>
  <c r="O385" i="1" s="1"/>
  <c r="P385" i="1" s="1"/>
  <c r="N273" i="1"/>
  <c r="O273" i="1" s="1"/>
  <c r="P273" i="1" s="1"/>
  <c r="N189" i="1"/>
  <c r="O189" i="1" s="1"/>
  <c r="P189" i="1" s="1"/>
  <c r="N161" i="1"/>
  <c r="O161" i="1" s="1"/>
  <c r="P161" i="1" s="1"/>
  <c r="N21" i="1"/>
  <c r="O21" i="1" s="1"/>
  <c r="P21" i="1" s="1"/>
  <c r="N972" i="1"/>
  <c r="O972" i="1" s="1"/>
  <c r="P972" i="1" s="1"/>
  <c r="N944" i="1"/>
  <c r="O944" i="1" s="1"/>
  <c r="P944" i="1" s="1"/>
  <c r="N776" i="1"/>
  <c r="O776" i="1" s="1"/>
  <c r="P776" i="1" s="1"/>
  <c r="N748" i="1"/>
  <c r="O748" i="1" s="1"/>
  <c r="P748" i="1" s="1"/>
  <c r="N608" i="1"/>
  <c r="O608" i="1" s="1"/>
  <c r="P608" i="1" s="1"/>
  <c r="N552" i="1"/>
  <c r="O552" i="1" s="1"/>
  <c r="P552" i="1" s="1"/>
  <c r="N496" i="1"/>
  <c r="O496" i="1" s="1"/>
  <c r="P496" i="1" s="1"/>
  <c r="N440" i="1"/>
  <c r="O440" i="1" s="1"/>
  <c r="P440" i="1" s="1"/>
  <c r="N384" i="1"/>
  <c r="O384" i="1" s="1"/>
  <c r="P384" i="1" s="1"/>
  <c r="N272" i="1"/>
  <c r="O272" i="1" s="1"/>
  <c r="P272" i="1" s="1"/>
  <c r="N132" i="1"/>
  <c r="O132" i="1" s="1"/>
  <c r="P132" i="1" s="1"/>
  <c r="N20" i="1"/>
  <c r="O20" i="1" s="1"/>
  <c r="P20" i="1" s="1"/>
  <c r="N1083" i="1"/>
  <c r="O1083" i="1" s="1"/>
  <c r="P1083" i="1" s="1"/>
  <c r="N971" i="1"/>
  <c r="O971" i="1" s="1"/>
  <c r="P971" i="1" s="1"/>
  <c r="N943" i="1"/>
  <c r="O943" i="1" s="1"/>
  <c r="P943" i="1" s="1"/>
  <c r="N775" i="1"/>
  <c r="O775" i="1" s="1"/>
  <c r="P775" i="1" s="1"/>
  <c r="N747" i="1"/>
  <c r="O747" i="1" s="1"/>
  <c r="P747" i="1" s="1"/>
  <c r="N607" i="1"/>
  <c r="O607" i="1" s="1"/>
  <c r="P607" i="1" s="1"/>
  <c r="N495" i="1"/>
  <c r="O495" i="1" s="1"/>
  <c r="P495" i="1" s="1"/>
  <c r="N411" i="1"/>
  <c r="O411" i="1" s="1"/>
  <c r="P411" i="1" s="1"/>
  <c r="N383" i="1"/>
  <c r="O383" i="1" s="1"/>
  <c r="P383" i="1" s="1"/>
  <c r="N355" i="1"/>
  <c r="O355" i="1" s="1"/>
  <c r="P355" i="1" s="1"/>
  <c r="N271" i="1"/>
  <c r="O271" i="1" s="1"/>
  <c r="P271" i="1" s="1"/>
  <c r="N131" i="1"/>
  <c r="O131" i="1" s="1"/>
  <c r="P131" i="1" s="1"/>
  <c r="N47" i="1"/>
  <c r="O47" i="1" s="1"/>
  <c r="P47" i="1" s="1"/>
  <c r="N19" i="1"/>
  <c r="O19" i="1" s="1"/>
  <c r="P19" i="1" s="1"/>
  <c r="N942" i="1"/>
  <c r="O942" i="1" s="1"/>
  <c r="P942" i="1" s="1"/>
  <c r="N914" i="1"/>
  <c r="O914" i="1" s="1"/>
  <c r="P914" i="1" s="1"/>
  <c r="N746" i="1"/>
  <c r="O746" i="1" s="1"/>
  <c r="P746" i="1" s="1"/>
  <c r="N718" i="1"/>
  <c r="O718" i="1" s="1"/>
  <c r="P718" i="1" s="1"/>
  <c r="N662" i="1"/>
  <c r="O662" i="1" s="1"/>
  <c r="P662" i="1" s="1"/>
  <c r="N606" i="1"/>
  <c r="O606" i="1" s="1"/>
  <c r="P606" i="1" s="1"/>
  <c r="N494" i="1"/>
  <c r="O494" i="1" s="1"/>
  <c r="P494" i="1" s="1"/>
  <c r="N438" i="1"/>
  <c r="O438" i="1" s="1"/>
  <c r="P438" i="1" s="1"/>
  <c r="N382" i="1"/>
  <c r="O382" i="1" s="1"/>
  <c r="P382" i="1" s="1"/>
  <c r="N354" i="1"/>
  <c r="O354" i="1" s="1"/>
  <c r="P354" i="1" s="1"/>
  <c r="N270" i="1"/>
  <c r="O270" i="1" s="1"/>
  <c r="P270" i="1" s="1"/>
  <c r="N214" i="1"/>
  <c r="O214" i="1" s="1"/>
  <c r="P214" i="1" s="1"/>
  <c r="N130" i="1"/>
  <c r="O130" i="1" s="1"/>
  <c r="P130" i="1" s="1"/>
  <c r="N74" i="1"/>
  <c r="O74" i="1" s="1"/>
  <c r="P74" i="1" s="1"/>
  <c r="N941" i="1"/>
  <c r="O941" i="1" s="1"/>
  <c r="P941" i="1" s="1"/>
  <c r="N913" i="1"/>
  <c r="O913" i="1" s="1"/>
  <c r="P913" i="1" s="1"/>
  <c r="N745" i="1"/>
  <c r="O745" i="1" s="1"/>
  <c r="P745" i="1" s="1"/>
  <c r="N717" i="1"/>
  <c r="O717" i="1" s="1"/>
  <c r="P717" i="1" s="1"/>
  <c r="N605" i="1"/>
  <c r="O605" i="1" s="1"/>
  <c r="P605" i="1" s="1"/>
  <c r="N493" i="1"/>
  <c r="O493" i="1" s="1"/>
  <c r="P493" i="1" s="1"/>
  <c r="N409" i="1"/>
  <c r="O409" i="1" s="1"/>
  <c r="P409" i="1" s="1"/>
  <c r="N381" i="1"/>
  <c r="O381" i="1" s="1"/>
  <c r="P381" i="1" s="1"/>
  <c r="N353" i="1"/>
  <c r="O353" i="1" s="1"/>
  <c r="P353" i="1" s="1"/>
  <c r="N269" i="1"/>
  <c r="O269" i="1" s="1"/>
  <c r="P269" i="1" s="1"/>
  <c r="N157" i="1"/>
  <c r="O157" i="1" s="1"/>
  <c r="P157" i="1" s="1"/>
  <c r="N129" i="1"/>
  <c r="O129" i="1" s="1"/>
  <c r="P129" i="1" s="1"/>
  <c r="N73" i="1"/>
  <c r="O73" i="1" s="1"/>
  <c r="P73" i="1" s="1"/>
  <c r="N940" i="1"/>
  <c r="O940" i="1" s="1"/>
  <c r="P940" i="1" s="1"/>
  <c r="N912" i="1"/>
  <c r="O912" i="1" s="1"/>
  <c r="P912" i="1" s="1"/>
  <c r="N800" i="1"/>
  <c r="O800" i="1" s="1"/>
  <c r="P800" i="1" s="1"/>
  <c r="N744" i="1"/>
  <c r="O744" i="1" s="1"/>
  <c r="P744" i="1" s="1"/>
  <c r="N716" i="1"/>
  <c r="O716" i="1" s="1"/>
  <c r="P716" i="1" s="1"/>
  <c r="N688" i="1"/>
  <c r="O688" i="1" s="1"/>
  <c r="P688" i="1" s="1"/>
  <c r="N380" i="1"/>
  <c r="O380" i="1" s="1"/>
  <c r="P380" i="1" s="1"/>
  <c r="N352" i="1"/>
  <c r="O352" i="1" s="1"/>
  <c r="P352" i="1" s="1"/>
  <c r="N324" i="1"/>
  <c r="O324" i="1" s="1"/>
  <c r="P324" i="1" s="1"/>
  <c r="N156" i="1"/>
  <c r="O156" i="1" s="1"/>
  <c r="P156" i="1" s="1"/>
  <c r="N128" i="1"/>
  <c r="O128" i="1" s="1"/>
  <c r="P128" i="1" s="1"/>
  <c r="N72" i="1"/>
  <c r="O72" i="1" s="1"/>
  <c r="P72" i="1" s="1"/>
  <c r="N1220" i="1"/>
  <c r="O1220" i="1" s="1"/>
  <c r="P1220" i="1" s="1"/>
  <c r="N1136" i="1"/>
  <c r="O1136" i="1" s="1"/>
  <c r="P1136" i="1" s="1"/>
  <c r="N1219" i="1"/>
  <c r="O1219" i="1" s="1"/>
  <c r="P1219" i="1" s="1"/>
  <c r="N1107" i="1"/>
  <c r="O1107" i="1" s="1"/>
  <c r="P1107" i="1" s="1"/>
  <c r="N911" i="1"/>
  <c r="O911" i="1" s="1"/>
  <c r="P911" i="1" s="1"/>
  <c r="N883" i="1"/>
  <c r="O883" i="1" s="1"/>
  <c r="P883" i="1" s="1"/>
  <c r="N743" i="1"/>
  <c r="O743" i="1" s="1"/>
  <c r="P743" i="1" s="1"/>
  <c r="N715" i="1"/>
  <c r="O715" i="1" s="1"/>
  <c r="P715" i="1" s="1"/>
  <c r="N687" i="1"/>
  <c r="O687" i="1" s="1"/>
  <c r="P687" i="1" s="1"/>
  <c r="N575" i="1"/>
  <c r="O575" i="1" s="1"/>
  <c r="P575" i="1" s="1"/>
  <c r="N463" i="1"/>
  <c r="O463" i="1" s="1"/>
  <c r="P463" i="1" s="1"/>
  <c r="N379" i="1"/>
  <c r="O379" i="1" s="1"/>
  <c r="P379" i="1" s="1"/>
  <c r="N351" i="1"/>
  <c r="O351" i="1" s="1"/>
  <c r="P351" i="1" s="1"/>
  <c r="N323" i="1"/>
  <c r="O323" i="1" s="1"/>
  <c r="P323" i="1" s="1"/>
  <c r="N295" i="1"/>
  <c r="O295" i="1" s="1"/>
  <c r="P295" i="1" s="1"/>
  <c r="N155" i="1"/>
  <c r="O155" i="1" s="1"/>
  <c r="P155" i="1" s="1"/>
  <c r="N71" i="1"/>
  <c r="O71" i="1" s="1"/>
  <c r="P71" i="1" s="1"/>
  <c r="N1218" i="1"/>
  <c r="O1218" i="1" s="1"/>
  <c r="P1218" i="1" s="1"/>
  <c r="N1190" i="1"/>
  <c r="O1190" i="1" s="1"/>
  <c r="P1190" i="1" s="1"/>
  <c r="N1162" i="1"/>
  <c r="O1162" i="1" s="1"/>
  <c r="P1162" i="1" s="1"/>
  <c r="N1134" i="1"/>
  <c r="O1134" i="1" s="1"/>
  <c r="P1134" i="1" s="1"/>
  <c r="N1106" i="1"/>
  <c r="O1106" i="1" s="1"/>
  <c r="P1106" i="1" s="1"/>
  <c r="N1078" i="1"/>
  <c r="O1078" i="1" s="1"/>
  <c r="P1078" i="1" s="1"/>
  <c r="N1050" i="1"/>
  <c r="O1050" i="1" s="1"/>
  <c r="P1050" i="1" s="1"/>
  <c r="N1022" i="1"/>
  <c r="O1022" i="1" s="1"/>
  <c r="P1022" i="1" s="1"/>
  <c r="N910" i="1"/>
  <c r="O910" i="1" s="1"/>
  <c r="P910" i="1" s="1"/>
  <c r="N882" i="1"/>
  <c r="O882" i="1" s="1"/>
  <c r="P882" i="1" s="1"/>
  <c r="N714" i="1"/>
  <c r="O714" i="1" s="1"/>
  <c r="P714" i="1" s="1"/>
  <c r="N686" i="1"/>
  <c r="O686" i="1" s="1"/>
  <c r="P686" i="1" s="1"/>
  <c r="N658" i="1"/>
  <c r="O658" i="1" s="1"/>
  <c r="P658" i="1" s="1"/>
  <c r="N574" i="1"/>
  <c r="O574" i="1" s="1"/>
  <c r="P574" i="1" s="1"/>
  <c r="N462" i="1"/>
  <c r="O462" i="1" s="1"/>
  <c r="P462" i="1" s="1"/>
  <c r="N378" i="1"/>
  <c r="O378" i="1" s="1"/>
  <c r="P378" i="1" s="1"/>
  <c r="N350" i="1"/>
  <c r="O350" i="1" s="1"/>
  <c r="P350" i="1" s="1"/>
  <c r="N322" i="1"/>
  <c r="O322" i="1" s="1"/>
  <c r="P322" i="1" s="1"/>
  <c r="N266" i="1"/>
  <c r="O266" i="1" s="1"/>
  <c r="P266" i="1" s="1"/>
  <c r="N238" i="1"/>
  <c r="O238" i="1" s="1"/>
  <c r="P238" i="1" s="1"/>
  <c r="N154" i="1"/>
  <c r="O154" i="1" s="1"/>
  <c r="P154" i="1" s="1"/>
  <c r="N70" i="1"/>
  <c r="O70" i="1" s="1"/>
  <c r="P70" i="1" s="1"/>
  <c r="N1217" i="1"/>
  <c r="O1217" i="1" s="1"/>
  <c r="P1217" i="1" s="1"/>
  <c r="N1189" i="1"/>
  <c r="O1189" i="1" s="1"/>
  <c r="P1189" i="1" s="1"/>
  <c r="N1077" i="1"/>
  <c r="O1077" i="1" s="1"/>
  <c r="P1077" i="1" s="1"/>
  <c r="N1021" i="1"/>
  <c r="O1021" i="1" s="1"/>
  <c r="P1021" i="1" s="1"/>
  <c r="N909" i="1"/>
  <c r="O909" i="1" s="1"/>
  <c r="P909" i="1" s="1"/>
  <c r="N881" i="1"/>
  <c r="O881" i="1" s="1"/>
  <c r="P881" i="1" s="1"/>
  <c r="N713" i="1"/>
  <c r="O713" i="1" s="1"/>
  <c r="P713" i="1" s="1"/>
  <c r="N685" i="1"/>
  <c r="O685" i="1" s="1"/>
  <c r="P685" i="1" s="1"/>
  <c r="N657" i="1"/>
  <c r="O657" i="1" s="1"/>
  <c r="P657" i="1" s="1"/>
  <c r="N573" i="1"/>
  <c r="O573" i="1" s="1"/>
  <c r="P573" i="1" s="1"/>
  <c r="N517" i="1"/>
  <c r="O517" i="1" s="1"/>
  <c r="P517" i="1" s="1"/>
  <c r="N461" i="1"/>
  <c r="O461" i="1" s="1"/>
  <c r="P461" i="1" s="1"/>
  <c r="N349" i="1"/>
  <c r="O349" i="1" s="1"/>
  <c r="P349" i="1" s="1"/>
  <c r="N321" i="1"/>
  <c r="O321" i="1" s="1"/>
  <c r="P321" i="1" s="1"/>
  <c r="N293" i="1"/>
  <c r="O293" i="1" s="1"/>
  <c r="P293" i="1" s="1"/>
  <c r="N237" i="1"/>
  <c r="O237" i="1" s="1"/>
  <c r="P237" i="1" s="1"/>
  <c r="N153" i="1"/>
  <c r="O153" i="1" s="1"/>
  <c r="P153" i="1" s="1"/>
  <c r="N69" i="1"/>
  <c r="O69" i="1" s="1"/>
  <c r="P69" i="1" s="1"/>
  <c r="N1216" i="1"/>
  <c r="O1216" i="1" s="1"/>
  <c r="P1216" i="1" s="1"/>
  <c r="N1188" i="1"/>
  <c r="O1188" i="1" s="1"/>
  <c r="P1188" i="1" s="1"/>
  <c r="N1048" i="1"/>
  <c r="O1048" i="1" s="1"/>
  <c r="P1048" i="1" s="1"/>
  <c r="N992" i="1"/>
  <c r="O992" i="1" s="1"/>
  <c r="P992" i="1" s="1"/>
  <c r="N880" i="1"/>
  <c r="O880" i="1" s="1"/>
  <c r="P880" i="1" s="1"/>
  <c r="N852" i="1"/>
  <c r="O852" i="1" s="1"/>
  <c r="P852" i="1" s="1"/>
  <c r="N712" i="1"/>
  <c r="O712" i="1" s="1"/>
  <c r="P712" i="1" s="1"/>
  <c r="N656" i="1"/>
  <c r="O656" i="1" s="1"/>
  <c r="P656" i="1" s="1"/>
  <c r="N628" i="1"/>
  <c r="O628" i="1" s="1"/>
  <c r="P628" i="1" s="1"/>
  <c r="N572" i="1"/>
  <c r="O572" i="1" s="1"/>
  <c r="P572" i="1" s="1"/>
  <c r="N460" i="1"/>
  <c r="O460" i="1" s="1"/>
  <c r="P460" i="1" s="1"/>
  <c r="N320" i="1"/>
  <c r="O320" i="1" s="1"/>
  <c r="P320" i="1" s="1"/>
  <c r="N292" i="1"/>
  <c r="O292" i="1" s="1"/>
  <c r="P292" i="1" s="1"/>
  <c r="N264" i="1"/>
  <c r="O264" i="1" s="1"/>
  <c r="P264" i="1" s="1"/>
  <c r="N236" i="1"/>
  <c r="O236" i="1" s="1"/>
  <c r="P236" i="1" s="1"/>
  <c r="N208" i="1"/>
  <c r="O208" i="1" s="1"/>
  <c r="P208" i="1" s="1"/>
  <c r="N152" i="1"/>
  <c r="O152" i="1" s="1"/>
  <c r="P152" i="1" s="1"/>
  <c r="N1215" i="1"/>
  <c r="O1215" i="1" s="1"/>
  <c r="P1215" i="1" s="1"/>
  <c r="N1187" i="1"/>
  <c r="O1187" i="1" s="1"/>
  <c r="P1187" i="1" s="1"/>
  <c r="N1159" i="1"/>
  <c r="O1159" i="1" s="1"/>
  <c r="P1159" i="1" s="1"/>
  <c r="N963" i="1"/>
  <c r="O963" i="1" s="1"/>
  <c r="P963" i="1" s="1"/>
  <c r="N879" i="1"/>
  <c r="O879" i="1" s="1"/>
  <c r="P879" i="1" s="1"/>
  <c r="N851" i="1"/>
  <c r="O851" i="1" s="1"/>
  <c r="P851" i="1" s="1"/>
  <c r="N711" i="1"/>
  <c r="O711" i="1" s="1"/>
  <c r="P711" i="1" s="1"/>
  <c r="N655" i="1"/>
  <c r="O655" i="1" s="1"/>
  <c r="P655" i="1" s="1"/>
  <c r="N627" i="1"/>
  <c r="O627" i="1" s="1"/>
  <c r="P627" i="1" s="1"/>
  <c r="N599" i="1"/>
  <c r="O599" i="1" s="1"/>
  <c r="P599" i="1" s="1"/>
  <c r="N571" i="1"/>
  <c r="O571" i="1" s="1"/>
  <c r="P571" i="1" s="1"/>
  <c r="N459" i="1"/>
  <c r="O459" i="1" s="1"/>
  <c r="P459" i="1" s="1"/>
  <c r="N403" i="1"/>
  <c r="O403" i="1" s="1"/>
  <c r="P403" i="1" s="1"/>
  <c r="N347" i="1"/>
  <c r="O347" i="1" s="1"/>
  <c r="P347" i="1" s="1"/>
  <c r="N319" i="1"/>
  <c r="O319" i="1" s="1"/>
  <c r="P319" i="1" s="1"/>
  <c r="N291" i="1"/>
  <c r="O291" i="1" s="1"/>
  <c r="P291" i="1" s="1"/>
  <c r="N235" i="1"/>
  <c r="O235" i="1" s="1"/>
  <c r="P235" i="1" s="1"/>
  <c r="N179" i="1"/>
  <c r="O179" i="1" s="1"/>
  <c r="P179" i="1" s="1"/>
  <c r="N1214" i="1"/>
  <c r="O1214" i="1" s="1"/>
  <c r="P1214" i="1" s="1"/>
  <c r="N1186" i="1"/>
  <c r="O1186" i="1" s="1"/>
  <c r="P1186" i="1" s="1"/>
  <c r="N1158" i="1"/>
  <c r="O1158" i="1" s="1"/>
  <c r="P1158" i="1" s="1"/>
  <c r="N1018" i="1"/>
  <c r="O1018" i="1" s="1"/>
  <c r="P1018" i="1" s="1"/>
  <c r="N990" i="1"/>
  <c r="O990" i="1" s="1"/>
  <c r="P990" i="1" s="1"/>
  <c r="N934" i="1"/>
  <c r="O934" i="1" s="1"/>
  <c r="P934" i="1" s="1"/>
  <c r="N878" i="1"/>
  <c r="O878" i="1" s="1"/>
  <c r="P878" i="1" s="1"/>
  <c r="N850" i="1"/>
  <c r="O850" i="1" s="1"/>
  <c r="P850" i="1" s="1"/>
  <c r="N766" i="1"/>
  <c r="O766" i="1" s="1"/>
  <c r="P766" i="1" s="1"/>
  <c r="N710" i="1"/>
  <c r="O710" i="1" s="1"/>
  <c r="P710" i="1" s="1"/>
  <c r="N626" i="1"/>
  <c r="O626" i="1" s="1"/>
  <c r="P626" i="1" s="1"/>
  <c r="N598" i="1"/>
  <c r="O598" i="1" s="1"/>
  <c r="P598" i="1" s="1"/>
  <c r="N570" i="1"/>
  <c r="O570" i="1" s="1"/>
  <c r="P570" i="1" s="1"/>
  <c r="N458" i="1"/>
  <c r="O458" i="1" s="1"/>
  <c r="P458" i="1" s="1"/>
  <c r="N346" i="1"/>
  <c r="O346" i="1" s="1"/>
  <c r="P346" i="1" s="1"/>
  <c r="N318" i="1"/>
  <c r="O318" i="1" s="1"/>
  <c r="P318" i="1" s="1"/>
  <c r="N290" i="1"/>
  <c r="O290" i="1" s="1"/>
  <c r="P290" i="1" s="1"/>
  <c r="N234" i="1"/>
  <c r="O234" i="1" s="1"/>
  <c r="P234" i="1" s="1"/>
  <c r="N206" i="1"/>
  <c r="O206" i="1" s="1"/>
  <c r="P206" i="1" s="1"/>
  <c r="N94" i="1"/>
  <c r="O94" i="1" s="1"/>
  <c r="P94" i="1" s="1"/>
  <c r="N84" i="1"/>
  <c r="O84" i="1" s="1"/>
  <c r="P84" i="1" s="1"/>
  <c r="N98" i="1"/>
  <c r="O98" i="1" s="1"/>
  <c r="P98" i="1" s="1"/>
  <c r="N97" i="1"/>
  <c r="O97" i="1" s="1"/>
  <c r="P97" i="1" s="1"/>
  <c r="N96" i="1"/>
  <c r="O96" i="1" s="1"/>
  <c r="P96" i="1" s="1"/>
  <c r="N95" i="1"/>
  <c r="O95" i="1" s="1"/>
  <c r="P95" i="1" s="1"/>
</calcChain>
</file>

<file path=xl/sharedStrings.xml><?xml version="1.0" encoding="utf-8"?>
<sst xmlns="http://schemas.openxmlformats.org/spreadsheetml/2006/main" count="4509" uniqueCount="960">
  <si>
    <t>Unnamed: 0</t>
  </si>
  <si>
    <t>행정동</t>
  </si>
  <si>
    <t>시군구</t>
  </si>
  <si>
    <t>시설수</t>
  </si>
  <si>
    <t>시도명</t>
  </si>
  <si>
    <t>합계</t>
  </si>
  <si>
    <t>지수</t>
  </si>
  <si>
    <t>지수(정규화후)</t>
  </si>
  <si>
    <t>가중치</t>
  </si>
  <si>
    <t>최종</t>
  </si>
  <si>
    <t>가리봉동</t>
  </si>
  <si>
    <t>구로구</t>
  </si>
  <si>
    <t>서울특별시</t>
  </si>
  <si>
    <t>가산동</t>
  </si>
  <si>
    <t>금천구</t>
  </si>
  <si>
    <t>가정1동</t>
  </si>
  <si>
    <t>서구</t>
  </si>
  <si>
    <t>인천광역시</t>
  </si>
  <si>
    <t>가좌1동</t>
  </si>
  <si>
    <t>가좌2동</t>
  </si>
  <si>
    <t>가좌3동</t>
  </si>
  <si>
    <t>가좌4동</t>
  </si>
  <si>
    <t>가좌동</t>
  </si>
  <si>
    <t>고양시 일산서구</t>
  </si>
  <si>
    <t>경기도</t>
  </si>
  <si>
    <t>간석1동</t>
  </si>
  <si>
    <t>남동구</t>
  </si>
  <si>
    <t>간석2동</t>
  </si>
  <si>
    <t>간석3동</t>
  </si>
  <si>
    <t>간석4동</t>
  </si>
  <si>
    <t>갈매동</t>
  </si>
  <si>
    <t>구리시</t>
  </si>
  <si>
    <t>갈산1동</t>
  </si>
  <si>
    <t>부평구</t>
  </si>
  <si>
    <t>갈산2동</t>
  </si>
  <si>
    <t>갈현1동</t>
  </si>
  <si>
    <t>은평구</t>
  </si>
  <si>
    <t>갈현2동</t>
  </si>
  <si>
    <t>강일동</t>
  </si>
  <si>
    <t>강동구</t>
  </si>
  <si>
    <t>강화읍</t>
  </si>
  <si>
    <t>강화군</t>
  </si>
  <si>
    <t>개봉1동</t>
  </si>
  <si>
    <t>개봉2동</t>
  </si>
  <si>
    <t>개봉3동</t>
  </si>
  <si>
    <t>개포4동</t>
  </si>
  <si>
    <t>강남구</t>
  </si>
  <si>
    <t>개항동</t>
  </si>
  <si>
    <t>중구</t>
  </si>
  <si>
    <t>거여1동</t>
  </si>
  <si>
    <t>송파구</t>
  </si>
  <si>
    <t>거여2동</t>
  </si>
  <si>
    <t>검단동</t>
  </si>
  <si>
    <t>계산1동</t>
  </si>
  <si>
    <t>계양구</t>
  </si>
  <si>
    <t>계산2동</t>
  </si>
  <si>
    <t>계양1동</t>
  </si>
  <si>
    <t>계양2동</t>
  </si>
  <si>
    <t>고강1동</t>
  </si>
  <si>
    <t>부천시 오정구</t>
  </si>
  <si>
    <t>고강본동</t>
  </si>
  <si>
    <t>고덕1동</t>
  </si>
  <si>
    <t>고덕2동</t>
  </si>
  <si>
    <t>고봉동</t>
  </si>
  <si>
    <t>고양시 일산동구</t>
  </si>
  <si>
    <t>고양동</t>
  </si>
  <si>
    <t>고양시 덕양구</t>
  </si>
  <si>
    <t>고척1동</t>
  </si>
  <si>
    <t>고척2동</t>
  </si>
  <si>
    <t>공릉1동</t>
  </si>
  <si>
    <t>노원구</t>
  </si>
  <si>
    <t>공항동</t>
  </si>
  <si>
    <t>강서구</t>
  </si>
  <si>
    <t>관교동</t>
  </si>
  <si>
    <t>미추홀구</t>
  </si>
  <si>
    <t>관산동</t>
  </si>
  <si>
    <t>관양동</t>
  </si>
  <si>
    <t>안양시 동안구</t>
  </si>
  <si>
    <t>광명2동</t>
  </si>
  <si>
    <t>광명시</t>
  </si>
  <si>
    <t>광명3동</t>
  </si>
  <si>
    <t>광명5동</t>
  </si>
  <si>
    <t>광명6동</t>
  </si>
  <si>
    <t>광명7동</t>
  </si>
  <si>
    <t>괴안동</t>
  </si>
  <si>
    <t>부천시 소사구</t>
  </si>
  <si>
    <t>교문1동</t>
  </si>
  <si>
    <t>교문2동</t>
  </si>
  <si>
    <t>구갈동</t>
  </si>
  <si>
    <t>용인시 기흥구</t>
  </si>
  <si>
    <t>구래동</t>
  </si>
  <si>
    <t>김포시</t>
  </si>
  <si>
    <t>구로2동</t>
  </si>
  <si>
    <t>구로3동</t>
  </si>
  <si>
    <t>구로4동</t>
  </si>
  <si>
    <t>구로5동</t>
  </si>
  <si>
    <t>구미동</t>
  </si>
  <si>
    <t>성남시 분당구</t>
  </si>
  <si>
    <t>구산동</t>
  </si>
  <si>
    <t>구성동</t>
  </si>
  <si>
    <t>구월1동</t>
  </si>
  <si>
    <t>구월2동</t>
  </si>
  <si>
    <t>구월3동</t>
  </si>
  <si>
    <t>구월4동</t>
  </si>
  <si>
    <t>구의1동</t>
  </si>
  <si>
    <t>광진구</t>
  </si>
  <si>
    <t>구의2동</t>
  </si>
  <si>
    <t>군자동</t>
  </si>
  <si>
    <t>금곡동</t>
  </si>
  <si>
    <t>남양주시</t>
  </si>
  <si>
    <t>금광1동</t>
  </si>
  <si>
    <t>성남시 중원구</t>
  </si>
  <si>
    <t>금광2동</t>
  </si>
  <si>
    <t>금창동</t>
  </si>
  <si>
    <t>동구</t>
  </si>
  <si>
    <t>금호2.3가동</t>
  </si>
  <si>
    <t>성동구</t>
  </si>
  <si>
    <t>기흥동</t>
  </si>
  <si>
    <t>길동</t>
  </si>
  <si>
    <t>길상면</t>
  </si>
  <si>
    <t>길음1동</t>
  </si>
  <si>
    <t>성북구</t>
  </si>
  <si>
    <t>김포본동</t>
  </si>
  <si>
    <t>난곡동</t>
  </si>
  <si>
    <t>관악구</t>
  </si>
  <si>
    <t>난향동</t>
  </si>
  <si>
    <t>남가좌2동</t>
  </si>
  <si>
    <t>서대문구</t>
  </si>
  <si>
    <t>남영동</t>
  </si>
  <si>
    <t>용산구</t>
  </si>
  <si>
    <t>남촌도림동</t>
  </si>
  <si>
    <t>노량진1동</t>
  </si>
  <si>
    <t>동작구</t>
  </si>
  <si>
    <t>노량진2동</t>
  </si>
  <si>
    <t>녹번동</t>
  </si>
  <si>
    <t>논현1동</t>
  </si>
  <si>
    <t>논현2동</t>
  </si>
  <si>
    <t>논현고잔동</t>
  </si>
  <si>
    <t>능곡동</t>
  </si>
  <si>
    <t>다산1동</t>
  </si>
  <si>
    <t>다산2동</t>
  </si>
  <si>
    <t>다산동</t>
  </si>
  <si>
    <t>단대동</t>
  </si>
  <si>
    <t>성남시 수정구</t>
  </si>
  <si>
    <t>답십리1동</t>
  </si>
  <si>
    <t>동대문구</t>
  </si>
  <si>
    <t>답십리2동</t>
  </si>
  <si>
    <t>당산1동</t>
  </si>
  <si>
    <t>영등포구</t>
  </si>
  <si>
    <t>당산2동</t>
  </si>
  <si>
    <t>대곶면</t>
  </si>
  <si>
    <t>대림1동</t>
  </si>
  <si>
    <t>대림2동</t>
  </si>
  <si>
    <t>대림3동</t>
  </si>
  <si>
    <t>대방동</t>
  </si>
  <si>
    <t>대조동</t>
  </si>
  <si>
    <t>대학동</t>
  </si>
  <si>
    <t>대화동</t>
  </si>
  <si>
    <t>덕이동</t>
  </si>
  <si>
    <t>덕풍1동</t>
  </si>
  <si>
    <t>하남시</t>
  </si>
  <si>
    <t>덕풍2동</t>
  </si>
  <si>
    <t>덕풍3동</t>
  </si>
  <si>
    <t>도당동</t>
  </si>
  <si>
    <t>부천시 원미구</t>
  </si>
  <si>
    <t>도림동</t>
  </si>
  <si>
    <t>도봉1동</t>
  </si>
  <si>
    <t>도봉구</t>
  </si>
  <si>
    <t>도촌동</t>
  </si>
  <si>
    <t>도화1동</t>
  </si>
  <si>
    <t>도화2.3동</t>
  </si>
  <si>
    <t>도화동</t>
  </si>
  <si>
    <t>마포구</t>
  </si>
  <si>
    <t>독산1동</t>
  </si>
  <si>
    <t>독산2동</t>
  </si>
  <si>
    <t>독산3동</t>
  </si>
  <si>
    <t>독산4동</t>
  </si>
  <si>
    <t>돈암1동</t>
  </si>
  <si>
    <t>동구동</t>
  </si>
  <si>
    <t>동백1동</t>
  </si>
  <si>
    <t>동백2동</t>
  </si>
  <si>
    <t>동부동</t>
  </si>
  <si>
    <t>용인시 처인구</t>
  </si>
  <si>
    <t>동선동</t>
  </si>
  <si>
    <t>동인천동</t>
  </si>
  <si>
    <t>등촌3동</t>
  </si>
  <si>
    <t>마두1동</t>
  </si>
  <si>
    <t>마장동</t>
  </si>
  <si>
    <t>마전동</t>
  </si>
  <si>
    <t>마천1동</t>
  </si>
  <si>
    <t>마천2동</t>
  </si>
  <si>
    <t>만수1동</t>
  </si>
  <si>
    <t>만수2동</t>
  </si>
  <si>
    <t>만수3동</t>
  </si>
  <si>
    <t>만수4동</t>
  </si>
  <si>
    <t>만수5동</t>
  </si>
  <si>
    <t>만수6동</t>
  </si>
  <si>
    <t>망우3동</t>
  </si>
  <si>
    <t>중랑구</t>
  </si>
  <si>
    <t>망우본동</t>
  </si>
  <si>
    <t>망원2동</t>
  </si>
  <si>
    <t>면목2동</t>
  </si>
  <si>
    <t>면목3.8동</t>
  </si>
  <si>
    <t>면목4동</t>
  </si>
  <si>
    <t>면목5동</t>
  </si>
  <si>
    <t>면목본동</t>
  </si>
  <si>
    <t>명동</t>
  </si>
  <si>
    <t>명일1동</t>
  </si>
  <si>
    <t>모현읍</t>
  </si>
  <si>
    <t>목2동</t>
  </si>
  <si>
    <t>양천구</t>
  </si>
  <si>
    <t>목3동</t>
  </si>
  <si>
    <t>목4동</t>
  </si>
  <si>
    <t>무악동</t>
  </si>
  <si>
    <t>종로구</t>
  </si>
  <si>
    <t>묵1동</t>
  </si>
  <si>
    <t>문정1동</t>
  </si>
  <si>
    <t>문학동</t>
  </si>
  <si>
    <t>미사2동</t>
  </si>
  <si>
    <t>미사3동</t>
  </si>
  <si>
    <t>미성동</t>
  </si>
  <si>
    <t>박달동</t>
  </si>
  <si>
    <t>안양시 만안구</t>
  </si>
  <si>
    <t>발산1동</t>
  </si>
  <si>
    <t>방배1동</t>
  </si>
  <si>
    <t>서초구</t>
  </si>
  <si>
    <t>방배2동</t>
  </si>
  <si>
    <t>방배4동</t>
  </si>
  <si>
    <t>방학1동</t>
  </si>
  <si>
    <t>방학2동</t>
  </si>
  <si>
    <t>방학3동</t>
  </si>
  <si>
    <t>방화1동</t>
  </si>
  <si>
    <t>방화2동</t>
  </si>
  <si>
    <t>백석2동</t>
  </si>
  <si>
    <t>백암면</t>
  </si>
  <si>
    <t>백현동</t>
  </si>
  <si>
    <t>번1동</t>
  </si>
  <si>
    <t>강북구</t>
  </si>
  <si>
    <t>번2동</t>
  </si>
  <si>
    <t>번3동</t>
  </si>
  <si>
    <t>별내동</t>
  </si>
  <si>
    <t>별내면</t>
  </si>
  <si>
    <t>보광동</t>
  </si>
  <si>
    <t>보라매동</t>
  </si>
  <si>
    <t>부개1동</t>
  </si>
  <si>
    <t>부개2동</t>
  </si>
  <si>
    <t>부평2동</t>
  </si>
  <si>
    <t>부평3동</t>
  </si>
  <si>
    <t>부평4동</t>
  </si>
  <si>
    <t>부평5동</t>
  </si>
  <si>
    <t>북가좌1동</t>
  </si>
  <si>
    <t>분당동</t>
  </si>
  <si>
    <t>불광1동</t>
  </si>
  <si>
    <t>불광2동</t>
  </si>
  <si>
    <t>비산3동</t>
  </si>
  <si>
    <t>사당1동</t>
  </si>
  <si>
    <t>사당2동</t>
  </si>
  <si>
    <t>사당4동</t>
  </si>
  <si>
    <t>사당5동</t>
  </si>
  <si>
    <t>사우동</t>
  </si>
  <si>
    <t>산곡1동</t>
  </si>
  <si>
    <t>산곡3동</t>
  </si>
  <si>
    <t>산곡4동</t>
  </si>
  <si>
    <t>삼산1동</t>
  </si>
  <si>
    <t>삼선동</t>
  </si>
  <si>
    <t>삼성동</t>
  </si>
  <si>
    <t>삼양동</t>
  </si>
  <si>
    <t>삼전동</t>
  </si>
  <si>
    <t>삼평동</t>
  </si>
  <si>
    <t>상갈동</t>
  </si>
  <si>
    <t>상계1동</t>
  </si>
  <si>
    <t>상계2동</t>
  </si>
  <si>
    <t>상계3.4동</t>
  </si>
  <si>
    <t>상계5동</t>
  </si>
  <si>
    <t>상계6.7동</t>
  </si>
  <si>
    <t>상계8동</t>
  </si>
  <si>
    <t>상대원1동</t>
  </si>
  <si>
    <t>상대원3동</t>
  </si>
  <si>
    <t>상도4동</t>
  </si>
  <si>
    <t>상동</t>
  </si>
  <si>
    <t>상봉1동</t>
  </si>
  <si>
    <t>상봉2동</t>
  </si>
  <si>
    <t>상암동</t>
  </si>
  <si>
    <t>상일2동</t>
  </si>
  <si>
    <t>상하동</t>
  </si>
  <si>
    <t>상현3동</t>
  </si>
  <si>
    <t>용인시 수지구</t>
  </si>
  <si>
    <t>서교동</t>
  </si>
  <si>
    <t>서농동</t>
  </si>
  <si>
    <t>서림동</t>
  </si>
  <si>
    <t>서원동</t>
  </si>
  <si>
    <t>서창2동</t>
  </si>
  <si>
    <t>석관동</t>
  </si>
  <si>
    <t>석남1동</t>
  </si>
  <si>
    <t>석남3동</t>
  </si>
  <si>
    <t>석수2동</t>
  </si>
  <si>
    <t>석촌동</t>
  </si>
  <si>
    <t>선학동</t>
  </si>
  <si>
    <t>연수구</t>
  </si>
  <si>
    <t>성곡동</t>
  </si>
  <si>
    <t>성남동</t>
  </si>
  <si>
    <t>성내2동</t>
  </si>
  <si>
    <t>성내3동</t>
  </si>
  <si>
    <t>성북동</t>
  </si>
  <si>
    <t>성사1동</t>
  </si>
  <si>
    <t>성사2동</t>
  </si>
  <si>
    <t>성산2동</t>
  </si>
  <si>
    <t>성수1가1동</t>
  </si>
  <si>
    <t>성수1가2동</t>
  </si>
  <si>
    <t>성현동</t>
  </si>
  <si>
    <t>세곡동</t>
  </si>
  <si>
    <t>소사본1동</t>
  </si>
  <si>
    <t>소하1동</t>
  </si>
  <si>
    <t>소하2동</t>
  </si>
  <si>
    <t>송내1동</t>
  </si>
  <si>
    <t>송내2동</t>
  </si>
  <si>
    <t>송림2동</t>
  </si>
  <si>
    <t>송림6동</t>
  </si>
  <si>
    <t>송정동</t>
  </si>
  <si>
    <t>송중동</t>
  </si>
  <si>
    <t>송천동</t>
  </si>
  <si>
    <t>송현1.2동</t>
  </si>
  <si>
    <t>수궁동</t>
  </si>
  <si>
    <t>수동면</t>
  </si>
  <si>
    <t>수유2동</t>
  </si>
  <si>
    <t>수유3동</t>
  </si>
  <si>
    <t>수진1동</t>
  </si>
  <si>
    <t>수진2동</t>
  </si>
  <si>
    <t>수택1동</t>
  </si>
  <si>
    <t>수택2동</t>
  </si>
  <si>
    <t>수택3동</t>
  </si>
  <si>
    <t>시흥1동</t>
  </si>
  <si>
    <t>시흥3동</t>
  </si>
  <si>
    <t>시흥4동</t>
  </si>
  <si>
    <t>시흥5동</t>
  </si>
  <si>
    <t>신갈동</t>
  </si>
  <si>
    <t>신길6동</t>
  </si>
  <si>
    <t>신길7동</t>
  </si>
  <si>
    <t>신내1동</t>
  </si>
  <si>
    <t>신내2동</t>
  </si>
  <si>
    <t>신대방1동</t>
  </si>
  <si>
    <t>신대방2동</t>
  </si>
  <si>
    <t>신사1동</t>
  </si>
  <si>
    <t>신사2동</t>
  </si>
  <si>
    <t>신사동</t>
  </si>
  <si>
    <t>신월1동</t>
  </si>
  <si>
    <t>신월2동</t>
  </si>
  <si>
    <t>신월3동</t>
  </si>
  <si>
    <t>신월4동</t>
  </si>
  <si>
    <t>신월5동</t>
  </si>
  <si>
    <t>신월7동</t>
  </si>
  <si>
    <t>신장2동</t>
  </si>
  <si>
    <t>신정2동</t>
  </si>
  <si>
    <t>신정4동</t>
  </si>
  <si>
    <t>신정7동</t>
  </si>
  <si>
    <t>신촌동</t>
  </si>
  <si>
    <t>신현원창동</t>
  </si>
  <si>
    <t>신흥1동</t>
  </si>
  <si>
    <t>신흥3동</t>
  </si>
  <si>
    <t>신흥동</t>
  </si>
  <si>
    <t>심곡1동</t>
  </si>
  <si>
    <t>심곡2동</t>
  </si>
  <si>
    <t>심곡3동</t>
  </si>
  <si>
    <t>심곡본1동</t>
  </si>
  <si>
    <t>심곡본동</t>
  </si>
  <si>
    <t>십정1동</t>
  </si>
  <si>
    <t>십정2동</t>
  </si>
  <si>
    <t>쌍문1동</t>
  </si>
  <si>
    <t>쌍문2동</t>
  </si>
  <si>
    <t>쌍문3동</t>
  </si>
  <si>
    <t>쌍문4동</t>
  </si>
  <si>
    <t>안암동</t>
  </si>
  <si>
    <t>안양2동</t>
  </si>
  <si>
    <t>안양4동</t>
  </si>
  <si>
    <t>안양6동</t>
  </si>
  <si>
    <t>안양7동</t>
  </si>
  <si>
    <t>안양8동</t>
  </si>
  <si>
    <t>안양9동</t>
  </si>
  <si>
    <t>암사1동</t>
  </si>
  <si>
    <t>암사2동</t>
  </si>
  <si>
    <t>암사3동</t>
  </si>
  <si>
    <t>야탑3동</t>
  </si>
  <si>
    <t>양재1동</t>
  </si>
  <si>
    <t>양재2동</t>
  </si>
  <si>
    <t>양지동</t>
  </si>
  <si>
    <t>양지읍</t>
  </si>
  <si>
    <t>양촌읍</t>
  </si>
  <si>
    <t>양평1동</t>
  </si>
  <si>
    <t>양평2동</t>
  </si>
  <si>
    <t>역곡1동</t>
  </si>
  <si>
    <t>역곡2동</t>
  </si>
  <si>
    <t>역곡3동</t>
  </si>
  <si>
    <t>역촌동</t>
  </si>
  <si>
    <t>연수1동</t>
  </si>
  <si>
    <t>연수2동</t>
  </si>
  <si>
    <t>연수3동</t>
  </si>
  <si>
    <t>연안동</t>
  </si>
  <si>
    <t>연희동</t>
  </si>
  <si>
    <t>염창동</t>
  </si>
  <si>
    <t>영덕1동</t>
  </si>
  <si>
    <t>영등포본동</t>
  </si>
  <si>
    <t>영흥면</t>
  </si>
  <si>
    <t>옹진군</t>
  </si>
  <si>
    <t>오금동</t>
  </si>
  <si>
    <t>오남읍</t>
  </si>
  <si>
    <t>오류1동</t>
  </si>
  <si>
    <t>오류2동</t>
  </si>
  <si>
    <t>오류왕길동</t>
  </si>
  <si>
    <t>오정동</t>
  </si>
  <si>
    <t>옥길동</t>
  </si>
  <si>
    <t>옥련1동</t>
  </si>
  <si>
    <t>옥련2동</t>
  </si>
  <si>
    <t>와부읍</t>
  </si>
  <si>
    <t>왕십리2동</t>
  </si>
  <si>
    <t>용답동</t>
  </si>
  <si>
    <t>용현3동</t>
  </si>
  <si>
    <t>용현5동</t>
  </si>
  <si>
    <t>우이동</t>
  </si>
  <si>
    <t>우장산동</t>
  </si>
  <si>
    <t>원미1동</t>
  </si>
  <si>
    <t>원신동</t>
  </si>
  <si>
    <t>원종1동</t>
  </si>
  <si>
    <t>원종2동</t>
  </si>
  <si>
    <t>월계1동</t>
  </si>
  <si>
    <t>월계2동</t>
  </si>
  <si>
    <t>월계3동</t>
  </si>
  <si>
    <t>월곡1동</t>
  </si>
  <si>
    <t>월곶면</t>
  </si>
  <si>
    <t>유림1동</t>
  </si>
  <si>
    <t>유림2동</t>
  </si>
  <si>
    <t>은행1동</t>
  </si>
  <si>
    <t>은행2동</t>
  </si>
  <si>
    <t>응봉동</t>
  </si>
  <si>
    <t>응암1동</t>
  </si>
  <si>
    <t>응암3동</t>
  </si>
  <si>
    <t>이동읍</t>
  </si>
  <si>
    <t>이문1동</t>
  </si>
  <si>
    <t>이문2동</t>
  </si>
  <si>
    <t>이화동</t>
  </si>
  <si>
    <t>인덕원동</t>
  </si>
  <si>
    <t>인수동</t>
  </si>
  <si>
    <t>인창동</t>
  </si>
  <si>
    <t>인헌동</t>
  </si>
  <si>
    <t>일산1동</t>
  </si>
  <si>
    <t>일산2동</t>
  </si>
  <si>
    <t>일신동</t>
  </si>
  <si>
    <t>일원1동</t>
  </si>
  <si>
    <t>자양1동</t>
  </si>
  <si>
    <t>자양2동</t>
  </si>
  <si>
    <t>자양4동</t>
  </si>
  <si>
    <t>작전1동</t>
  </si>
  <si>
    <t>작전2동</t>
  </si>
  <si>
    <t>작전서운동</t>
  </si>
  <si>
    <t>장기본동</t>
  </si>
  <si>
    <t>장수서창동</t>
  </si>
  <si>
    <t>장안1동</t>
  </si>
  <si>
    <t>장안2동</t>
  </si>
  <si>
    <t>장위1동</t>
  </si>
  <si>
    <t>장위2동</t>
  </si>
  <si>
    <t>장지동</t>
  </si>
  <si>
    <t>전농1동</t>
  </si>
  <si>
    <t>전농2동</t>
  </si>
  <si>
    <t>정릉1동</t>
  </si>
  <si>
    <t>정릉3동</t>
  </si>
  <si>
    <t>정릉4동</t>
  </si>
  <si>
    <t>정발산동</t>
  </si>
  <si>
    <t>정자2동</t>
  </si>
  <si>
    <t>정자3동</t>
  </si>
  <si>
    <t>정자동</t>
  </si>
  <si>
    <t>제기동</t>
  </si>
  <si>
    <t>조원동</t>
  </si>
  <si>
    <t>종로5.6가동</t>
  </si>
  <si>
    <t>종암동</t>
  </si>
  <si>
    <t>주안1동</t>
  </si>
  <si>
    <t>주안2동</t>
  </si>
  <si>
    <t>주안4동</t>
  </si>
  <si>
    <t>주안8동</t>
  </si>
  <si>
    <t>주엽1동</t>
  </si>
  <si>
    <t>죽전3동</t>
  </si>
  <si>
    <t>중1동</t>
  </si>
  <si>
    <t>중계4동</t>
  </si>
  <si>
    <t>중계본동</t>
  </si>
  <si>
    <t>중곡3동</t>
  </si>
  <si>
    <t>중곡4동</t>
  </si>
  <si>
    <t>중동</t>
  </si>
  <si>
    <t>중앙동</t>
  </si>
  <si>
    <t>중화1동</t>
  </si>
  <si>
    <t>중화2동</t>
  </si>
  <si>
    <t>증산동</t>
  </si>
  <si>
    <t>진건읍</t>
  </si>
  <si>
    <t>진관동</t>
  </si>
  <si>
    <t>진접읍</t>
  </si>
  <si>
    <t>창2동</t>
  </si>
  <si>
    <t>창3동</t>
  </si>
  <si>
    <t>창4동</t>
  </si>
  <si>
    <t>창5동</t>
  </si>
  <si>
    <t>창신1동</t>
  </si>
  <si>
    <t>창신2동</t>
  </si>
  <si>
    <t>창신3동</t>
  </si>
  <si>
    <t>천연동</t>
  </si>
  <si>
    <t>천호1동</t>
  </si>
  <si>
    <t>천호2동</t>
  </si>
  <si>
    <t>천호3동</t>
  </si>
  <si>
    <t>철산2동</t>
  </si>
  <si>
    <t>철산4동</t>
  </si>
  <si>
    <t>청량리동</t>
  </si>
  <si>
    <t>청룡동</t>
  </si>
  <si>
    <t>청천2동</t>
  </si>
  <si>
    <t>청파동</t>
  </si>
  <si>
    <t>청학동</t>
  </si>
  <si>
    <t>춘의동</t>
  </si>
  <si>
    <t>충현동</t>
  </si>
  <si>
    <t>충훈동</t>
  </si>
  <si>
    <t>태평1동</t>
  </si>
  <si>
    <t>태평2동</t>
  </si>
  <si>
    <t>태평3동</t>
  </si>
  <si>
    <t>태평4동</t>
  </si>
  <si>
    <t>통진읍</t>
  </si>
  <si>
    <t>퇴계원읍</t>
  </si>
  <si>
    <t>평내동</t>
  </si>
  <si>
    <t>포곡읍</t>
  </si>
  <si>
    <t>풍납1동</t>
  </si>
  <si>
    <t>풍납2동</t>
  </si>
  <si>
    <t>풍덕천1동</t>
  </si>
  <si>
    <t>풍덕천2동</t>
  </si>
  <si>
    <t>풍무동</t>
  </si>
  <si>
    <t>풍산동</t>
  </si>
  <si>
    <t>하계1동</t>
  </si>
  <si>
    <t>하성면</t>
  </si>
  <si>
    <t>하안1동</t>
  </si>
  <si>
    <t>하안2동</t>
  </si>
  <si>
    <t>하안3동</t>
  </si>
  <si>
    <t>하점면</t>
  </si>
  <si>
    <t>학익1동</t>
  </si>
  <si>
    <t>합정동</t>
  </si>
  <si>
    <t>항동</t>
  </si>
  <si>
    <t>행당1동</t>
  </si>
  <si>
    <t>행신1동</t>
  </si>
  <si>
    <t>행신2동</t>
  </si>
  <si>
    <t>행신4동</t>
  </si>
  <si>
    <t>행운동</t>
  </si>
  <si>
    <t>행주동</t>
  </si>
  <si>
    <t>호계1동</t>
  </si>
  <si>
    <t>호계2동</t>
  </si>
  <si>
    <t>호계3동</t>
  </si>
  <si>
    <t>호평동</t>
  </si>
  <si>
    <t>홍제2동</t>
  </si>
  <si>
    <t>화곡1동</t>
  </si>
  <si>
    <t>화곡4동</t>
  </si>
  <si>
    <t>화곡6동</t>
  </si>
  <si>
    <t>화곡본동</t>
  </si>
  <si>
    <t>화도면</t>
  </si>
  <si>
    <t>화도읍</t>
  </si>
  <si>
    <t>화수2동</t>
  </si>
  <si>
    <t>효성1동</t>
  </si>
  <si>
    <t>효성2동</t>
  </si>
  <si>
    <t>효창동</t>
  </si>
  <si>
    <t>후암동</t>
  </si>
  <si>
    <t>휘경2동</t>
  </si>
  <si>
    <t>흑석동</t>
  </si>
  <si>
    <t>청운효자동</t>
  </si>
  <si>
    <t>사직동</t>
  </si>
  <si>
    <t>삼청동</t>
  </si>
  <si>
    <t>부암동</t>
  </si>
  <si>
    <t>평창동</t>
  </si>
  <si>
    <t>교남동</t>
  </si>
  <si>
    <t>가회동</t>
  </si>
  <si>
    <t>종로1.2.3.4가동</t>
  </si>
  <si>
    <t>혜화동</t>
  </si>
  <si>
    <t>숭인1동</t>
  </si>
  <si>
    <t>숭인2동</t>
  </si>
  <si>
    <t>소공동</t>
  </si>
  <si>
    <t>회현동</t>
  </si>
  <si>
    <t>필동</t>
  </si>
  <si>
    <t>장충동</t>
  </si>
  <si>
    <t>광희동</t>
  </si>
  <si>
    <t>을지로동</t>
  </si>
  <si>
    <t>신당동</t>
  </si>
  <si>
    <t>약수동</t>
  </si>
  <si>
    <t>청구동</t>
  </si>
  <si>
    <t>신당5동</t>
  </si>
  <si>
    <t>동화동</t>
  </si>
  <si>
    <t>황학동</t>
  </si>
  <si>
    <t>중림동</t>
  </si>
  <si>
    <t>용산2가동</t>
  </si>
  <si>
    <t>원효로1동</t>
  </si>
  <si>
    <t>원효로2동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</si>
  <si>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</si>
  <si>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</si>
  <si>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</si>
  <si>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</si>
  <si>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</si>
  <si>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</si>
  <si>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</si>
  <si>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</si>
  <si>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왕십리도선동</t>
  </si>
  <si>
    <t>사근동</t>
  </si>
  <si>
    <t>행당2동</t>
  </si>
  <si>
    <t>금호1가동</t>
  </si>
  <si>
    <t>금호4가동</t>
  </si>
  <si>
    <t>옥수동</t>
  </si>
  <si>
    <t>성수2가1동</t>
  </si>
  <si>
    <t>성수2가3동</t>
  </si>
  <si>
    <t>화양동</t>
  </si>
  <si>
    <t>중곡1동</t>
  </si>
  <si>
    <t>중곡2동</t>
  </si>
  <si>
    <t>능동</t>
  </si>
  <si>
    <t>광장동</t>
  </si>
  <si>
    <t>자양3동</t>
  </si>
  <si>
    <t>구의3동</t>
  </si>
  <si>
    <t>신설동</t>
  </si>
  <si>
    <t>용두동</t>
  </si>
  <si>
    <t>회기동</t>
  </si>
  <si>
    <t>휘경1동</t>
  </si>
  <si>
    <t>면목7동</t>
  </si>
  <si>
    <t>묵2동</t>
  </si>
  <si>
    <t>돈암2동</t>
  </si>
  <si>
    <t>보문동</t>
  </si>
  <si>
    <t>정릉2동</t>
  </si>
  <si>
    <t>길음2동</t>
  </si>
  <si>
    <t>월곡2동</t>
  </si>
  <si>
    <t>장위3동</t>
  </si>
  <si>
    <t>미아동</t>
  </si>
  <si>
    <t>삼각산동</t>
  </si>
  <si>
    <t>수유1동</t>
  </si>
  <si>
    <t>창1동</t>
  </si>
  <si>
    <t>도봉2동</t>
  </si>
  <si>
    <t>공릉2동</t>
  </si>
  <si>
    <t>하계2동</t>
  </si>
  <si>
    <t>중계1동</t>
  </si>
  <si>
    <t>중계2.3동</t>
  </si>
  <si>
    <t>상계9동</t>
  </si>
  <si>
    <t>상계10동</t>
  </si>
  <si>
    <t>응암2동</t>
  </si>
  <si>
    <t>수색동</t>
  </si>
  <si>
    <t>북아현동</t>
  </si>
  <si>
    <t>홍제1동</t>
  </si>
  <si>
    <t>홍제3동</t>
  </si>
  <si>
    <t>홍은1동</t>
  </si>
  <si>
    <t>홍은2동</t>
  </si>
  <si>
    <t>남가좌1동</t>
  </si>
  <si>
    <t>북가좌2동</t>
  </si>
  <si>
    <t>아현동</t>
  </si>
  <si>
    <t>공덕동</t>
  </si>
  <si>
    <t>용강동</t>
  </si>
  <si>
    <t>대흥동</t>
  </si>
  <si>
    <t>염리동</t>
  </si>
  <si>
    <t>신수동</t>
  </si>
  <si>
    <t>서강동</t>
  </si>
  <si>
    <t>망원1동</t>
  </si>
  <si>
    <t>연남동</t>
  </si>
  <si>
    <t>성산1동</t>
  </si>
  <si>
    <t>목1동</t>
  </si>
  <si>
    <t>목5동</t>
  </si>
  <si>
    <t>신월6동</t>
  </si>
  <si>
    <t>신정1동</t>
  </si>
  <si>
    <t>신정3동</t>
  </si>
  <si>
    <t>신정6동</t>
  </si>
  <si>
    <t>등촌1동</t>
  </si>
  <si>
    <t>등촌2동</t>
  </si>
  <si>
    <t>화곡2동</t>
  </si>
  <si>
    <t>화곡3동</t>
  </si>
  <si>
    <t>화곡8동</t>
  </si>
  <si>
    <t>가양1동</t>
  </si>
  <si>
    <t>가양2동</t>
  </si>
  <si>
    <t>가양3동</t>
  </si>
  <si>
    <t>방화3동</t>
  </si>
  <si>
    <t>신도림동</t>
  </si>
  <si>
    <t>구로1동</t>
  </si>
  <si>
    <t>시흥2동</t>
  </si>
  <si>
    <t>영등포동</t>
  </si>
  <si>
    <t>여의동</t>
  </si>
  <si>
    <t>문래동</t>
  </si>
  <si>
    <t>신길1동</t>
  </si>
  <si>
    <t>신길3동</t>
  </si>
  <si>
    <t>신길4동</t>
  </si>
  <si>
    <t>신길5동</t>
  </si>
  <si>
    <t>상도1동</t>
  </si>
  <si>
    <t>상도2동</t>
  </si>
  <si>
    <t>상도3동</t>
  </si>
  <si>
    <t>사당3동</t>
  </si>
  <si>
    <t>청림동</t>
  </si>
  <si>
    <t>낙성대동</t>
  </si>
  <si>
    <t>은천동</t>
  </si>
  <si>
    <t>남현동</t>
  </si>
  <si>
    <t>신원동</t>
  </si>
  <si>
    <t>신림동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</si>
  <si>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</si>
  <si>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</si>
  <si>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</si>
  <si>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</si>
  <si>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</si>
  <si>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</si>
  <si>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</si>
  <si>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</si>
  <si>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</si>
  <si>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</si>
  <si>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</si>
  <si>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방배3동</t>
  </si>
  <si>
    <t>내곡동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</si>
  <si>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</si>
  <si>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</si>
  <si>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</si>
  <si>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</si>
  <si>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</si>
  <si>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</si>
  <si>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</si>
  <si>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</si>
  <si>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</si>
  <si>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</si>
  <si>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</si>
  <si>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</si>
  <si>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</si>
  <si>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</si>
  <si>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일원본동</t>
  </si>
  <si>
    <t>수서동</t>
  </si>
  <si>
    <t>방이1동</t>
  </si>
  <si>
    <t>방이2동</t>
  </si>
  <si>
    <t>오륜동</t>
  </si>
  <si>
    <t>송파1동</t>
  </si>
  <si>
    <t>송파2동</t>
  </si>
  <si>
    <t>가락본동</t>
  </si>
  <si>
    <t>가락1동</t>
  </si>
  <si>
    <t>가락2동</t>
  </si>
  <si>
    <t>문정2동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</si>
  <si>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</si>
  <si>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</si>
  <si>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</si>
  <si>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</si>
  <si>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</si>
  <si>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</si>
  <si>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</si>
  <si>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상일1동</t>
  </si>
  <si>
    <t>명일2동</t>
  </si>
  <si>
    <t>성내1동</t>
  </si>
  <si>
    <t>둔촌1동</t>
  </si>
  <si>
    <t>둔촌2동</t>
  </si>
  <si>
    <t>신흥2동</t>
  </si>
  <si>
    <t>산성동</t>
  </si>
  <si>
    <t>복정동</t>
  </si>
  <si>
    <t>고등동</t>
  </si>
  <si>
    <t>시흥동</t>
  </si>
  <si>
    <t>상대원2동</t>
  </si>
  <si>
    <t>하대원동</t>
  </si>
  <si>
    <t>수내1동</t>
  </si>
  <si>
    <t>수내2동</t>
  </si>
  <si>
    <t>수내3동</t>
  </si>
  <si>
    <t>정자1동</t>
  </si>
  <si>
    <t>서현1동</t>
  </si>
  <si>
    <t>서현2동</t>
  </si>
  <si>
    <t>이매1동</t>
  </si>
  <si>
    <t>이매2동</t>
  </si>
  <si>
    <t>야탑1동</t>
  </si>
  <si>
    <t>야탑2동</t>
  </si>
  <si>
    <t>판교동</t>
  </si>
  <si>
    <t>구미1동</t>
  </si>
  <si>
    <t>운중동</t>
  </si>
  <si>
    <t>안양1동</t>
  </si>
  <si>
    <t>안양3동</t>
  </si>
  <si>
    <t>안양5동</t>
  </si>
  <si>
    <t>석수1동</t>
  </si>
  <si>
    <t>호현동</t>
  </si>
  <si>
    <t>비산1동</t>
  </si>
  <si>
    <t>비산2동</t>
  </si>
  <si>
    <t>부흥동</t>
  </si>
  <si>
    <t>달안동</t>
  </si>
  <si>
    <t>부림동</t>
  </si>
  <si>
    <t>평촌동</t>
  </si>
  <si>
    <t>평안동</t>
  </si>
  <si>
    <t>귀인동</t>
  </si>
  <si>
    <t>범계동</t>
  </si>
  <si>
    <t>갈산동</t>
  </si>
  <si>
    <t>원미2동</t>
  </si>
  <si>
    <t>소사동</t>
  </si>
  <si>
    <t>약대동</t>
  </si>
  <si>
    <t>중2동</t>
  </si>
  <si>
    <t>중3동</t>
  </si>
  <si>
    <t>중4동</t>
  </si>
  <si>
    <t>상1동</t>
  </si>
  <si>
    <t>상2동</t>
  </si>
  <si>
    <t>상3동</t>
  </si>
  <si>
    <t>소사본동</t>
  </si>
  <si>
    <t>범박동</t>
  </si>
  <si>
    <t>광명1동</t>
  </si>
  <si>
    <t>광명4동</t>
  </si>
  <si>
    <t>철산1동</t>
  </si>
  <si>
    <t>철산3동</t>
  </si>
  <si>
    <t>하안4동</t>
  </si>
  <si>
    <t>일직동</t>
  </si>
  <si>
    <t>학온동</t>
  </si>
  <si>
    <t>주교동</t>
  </si>
  <si>
    <t>흥도동</t>
  </si>
  <si>
    <t>효자동</t>
  </si>
  <si>
    <t>삼송1동</t>
  </si>
  <si>
    <t>삼송2동</t>
  </si>
  <si>
    <t>창릉동</t>
  </si>
  <si>
    <t>화정1동</t>
  </si>
  <si>
    <t>화정2동</t>
  </si>
  <si>
    <t>행신3동</t>
  </si>
  <si>
    <t>화전동</t>
  </si>
  <si>
    <t>대덕동</t>
  </si>
  <si>
    <t>식사동</t>
  </si>
  <si>
    <t>중산1동</t>
  </si>
  <si>
    <t>중산2동</t>
  </si>
  <si>
    <t>백석1동</t>
  </si>
  <si>
    <t>마두2동</t>
  </si>
  <si>
    <t>장항1동</t>
  </si>
  <si>
    <t>장항2동</t>
  </si>
  <si>
    <t>일산3동</t>
  </si>
  <si>
    <t>탄현1동</t>
  </si>
  <si>
    <t>탄현2동</t>
  </si>
  <si>
    <t>주엽2동</t>
  </si>
  <si>
    <t>송포동</t>
  </si>
  <si>
    <t>화도읍동부출장소</t>
  </si>
  <si>
    <t>화도읍남부출장소</t>
  </si>
  <si>
    <t>조안면</t>
  </si>
  <si>
    <t>양정동</t>
  </si>
  <si>
    <t>천현동</t>
  </si>
  <si>
    <t>신장1동</t>
  </si>
  <si>
    <t>감북동</t>
  </si>
  <si>
    <t>감일동</t>
  </si>
  <si>
    <t>춘궁동</t>
  </si>
  <si>
    <t>초이동</t>
  </si>
  <si>
    <t>미사1동</t>
  </si>
  <si>
    <t>남사읍</t>
  </si>
  <si>
    <t>원삼면</t>
  </si>
  <si>
    <t>역북동</t>
  </si>
  <si>
    <t>삼가동</t>
  </si>
  <si>
    <t>영덕2동</t>
  </si>
  <si>
    <t>보라동</t>
  </si>
  <si>
    <t>마북동</t>
  </si>
  <si>
    <t>동백3동</t>
  </si>
  <si>
    <t>보정동</t>
  </si>
  <si>
    <t>신봉동</t>
  </si>
  <si>
    <t>죽전1동</t>
  </si>
  <si>
    <t>죽전2동</t>
  </si>
  <si>
    <t>동천동</t>
  </si>
  <si>
    <t>상현1동</t>
  </si>
  <si>
    <t>상현2동</t>
  </si>
  <si>
    <t>성복동</t>
  </si>
  <si>
    <t>고촌읍</t>
  </si>
  <si>
    <t>장기동</t>
  </si>
  <si>
    <t>마산동</t>
  </si>
  <si>
    <t>운양동</t>
  </si>
  <si>
    <t>신포동</t>
  </si>
  <si>
    <t>도원동</t>
  </si>
  <si>
    <t>율목동</t>
  </si>
  <si>
    <t>영종동</t>
  </si>
  <si>
    <t>영종1동</t>
  </si>
  <si>
    <t>영종2동</t>
  </si>
  <si>
    <t>용유동</t>
  </si>
  <si>
    <t>운서1동</t>
  </si>
  <si>
    <t>운서2동</t>
  </si>
  <si>
    <t>만석동</t>
  </si>
  <si>
    <t>화수1.화평동</t>
  </si>
  <si>
    <t>송현3동</t>
  </si>
  <si>
    <t>송림1동</t>
  </si>
  <si>
    <t>송림3.5동</t>
  </si>
  <si>
    <t>송림4동</t>
  </si>
  <si>
    <t>숭의2동</t>
  </si>
  <si>
    <t>숭의1.3동</t>
  </si>
  <si>
    <t>숭의4동</t>
  </si>
  <si>
    <t>용현1.4동</t>
  </si>
  <si>
    <t>용현2동</t>
  </si>
  <si>
    <t>학익2동</t>
  </si>
  <si>
    <t>주안3동</t>
  </si>
  <si>
    <t>주안5동</t>
  </si>
  <si>
    <t>주안6동</t>
  </si>
  <si>
    <t>주안7동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</si>
  <si>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</si>
  <si>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</si>
  <si>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</si>
  <si>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</si>
  <si>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</si>
  <si>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</si>
  <si>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</si>
  <si>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</si>
  <si>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부평1동</t>
  </si>
  <si>
    <t>부평6동</t>
  </si>
  <si>
    <t>산곡2동</t>
  </si>
  <si>
    <t>청천1동</t>
  </si>
  <si>
    <t>삼산2동</t>
  </si>
  <si>
    <t>부개3동</t>
  </si>
  <si>
    <t>계산3동</t>
  </si>
  <si>
    <t>계산4동</t>
  </si>
  <si>
    <t>계양3동</t>
  </si>
  <si>
    <t>검암경서동</t>
  </si>
  <si>
    <t>청라1동</t>
  </si>
  <si>
    <t>청라2동</t>
  </si>
  <si>
    <t>청라3동</t>
  </si>
  <si>
    <t>가정2동</t>
  </si>
  <si>
    <t>가정3동</t>
  </si>
  <si>
    <t>석남2동</t>
  </si>
  <si>
    <t>불로대곡동</t>
  </si>
  <si>
    <t>원당동</t>
  </si>
  <si>
    <t>당하동</t>
  </si>
  <si>
    <t>아라1동</t>
  </si>
  <si>
    <t>아라2동</t>
  </si>
  <si>
    <t>선원면</t>
  </si>
  <si>
    <t>불은면</t>
  </si>
  <si>
    <t>양도면</t>
  </si>
  <si>
    <t>내가면</t>
  </si>
  <si>
    <t>양사면</t>
  </si>
  <si>
    <t>송해면</t>
  </si>
  <si>
    <t>교동면</t>
  </si>
  <si>
    <t>삼산면</t>
  </si>
  <si>
    <t>서도면</t>
  </si>
  <si>
    <t>서도면볼음출장소</t>
  </si>
  <si>
    <t>북도면</t>
  </si>
  <si>
    <t>북도면장봉출장소</t>
  </si>
  <si>
    <t>백령면</t>
  </si>
  <si>
    <t>대청면</t>
  </si>
  <si>
    <t>대청면소청출장소</t>
  </si>
  <si>
    <t>덕적면</t>
  </si>
  <si>
    <t>자월면</t>
  </si>
  <si>
    <t>자월면이작출장소</t>
  </si>
  <si>
    <t>연평면</t>
  </si>
  <si>
    <t>최종</t>
    <phoneticPr fontId="2" type="noConversion"/>
  </si>
  <si>
    <t>0세남자</t>
  </si>
  <si>
    <t>1세남자</t>
  </si>
  <si>
    <t>2세남자</t>
  </si>
  <si>
    <t>3세남자</t>
  </si>
  <si>
    <t>4세남자</t>
  </si>
  <si>
    <t>5세남자</t>
  </si>
  <si>
    <t>6세남자</t>
  </si>
  <si>
    <t>7세남자</t>
  </si>
  <si>
    <t>8세남자</t>
  </si>
  <si>
    <t>9세남자</t>
  </si>
  <si>
    <t>10세남자</t>
  </si>
  <si>
    <t>11세남자</t>
  </si>
  <si>
    <t>12세남자</t>
  </si>
  <si>
    <t>13세남자</t>
  </si>
  <si>
    <t>14세남자</t>
  </si>
  <si>
    <t>15세남자</t>
  </si>
  <si>
    <t>16세남자</t>
  </si>
  <si>
    <t>17세남자</t>
  </si>
  <si>
    <t>18세남자</t>
  </si>
  <si>
    <t>0세여자</t>
  </si>
  <si>
    <t>1세여자</t>
  </si>
  <si>
    <t>2세여자</t>
  </si>
  <si>
    <t>3세여자</t>
  </si>
  <si>
    <t>4세여자</t>
  </si>
  <si>
    <t>5세여자</t>
  </si>
  <si>
    <t>6세여자</t>
  </si>
  <si>
    <t>7세여자</t>
  </si>
  <si>
    <t>8세여자</t>
  </si>
  <si>
    <t>9세여자</t>
  </si>
  <si>
    <t>10세여자</t>
  </si>
  <si>
    <t>11세여자</t>
  </si>
  <si>
    <t>12세여자</t>
  </si>
  <si>
    <t>13세여자</t>
  </si>
  <si>
    <t>14세여자</t>
  </si>
  <si>
    <t>15세여자</t>
  </si>
  <si>
    <t>16세여자</t>
  </si>
  <si>
    <t>17세여자</t>
  </si>
  <si>
    <t>18세여자</t>
  </si>
  <si>
    <t>센터지수(정규화전)</t>
  </si>
  <si>
    <t>센터지수(정규화후)</t>
  </si>
  <si>
    <t>가중치 적용</t>
  </si>
  <si>
    <t>진짜최종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</si>
</sst>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4"/>
  <sheetViews>
    <sheetView tabSelected="1" workbookViewId="0">
      <selection activeCell="R1" sqref="R1"/>
    </sheetView>
  </sheetViews>
  <sheetFormatPr defaultRowHeight="16.5" x14ac:dyDescent="0.3"/>
  <cols>
    <col min="8" max="8" width="17.125" customWidth="1"/>
    <col min="9" max="9" width="19.5" customWidth="1"/>
    <col min="10" max="10" width="19.375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P1" t="s">
        <v>917</v>
      </c>
      <c r="R1" t="s">
        <v>959</v>
      </c>
    </row>
    <row r="2" spans="1:18" x14ac:dyDescent="0.3">
      <c r="A2" s="1">
        <v>0</v>
      </c>
      <c r="B2">
        <v>0</v>
      </c>
      <c r="C2" t="s">
        <v>10</v>
      </c>
      <c r="D2" t="s">
        <v>11</v>
      </c>
      <c r="E2">
        <v>1</v>
      </c>
      <c r="F2" t="s">
        <v>12</v>
      </c>
      <c r="G2">
        <v>8746</v>
      </c>
      <c r="H2">
        <v>0.1143379830779785</v>
      </c>
      <c r="I2">
        <v>0.11361029106703691</v>
      </c>
      <c r="J2">
        <v>5.0215748651630003E-3</v>
      </c>
      <c r="K2">
        <v>11.36102910670369</v>
      </c>
      <c r="L2">
        <f>MAX(H:H)</f>
        <v>0.4</v>
      </c>
      <c r="M2">
        <f>MIN(H:H)</f>
        <v>0</v>
      </c>
      <c r="N2">
        <f>(H2-M2)/(L2-M2)</f>
        <v>0.28584495769494622</v>
      </c>
      <c r="O2">
        <f>N2*0.0442</f>
        <v>1.2634347130116625E-2</v>
      </c>
      <c r="P2">
        <f>O2*100</f>
        <v>1.2634347130116625</v>
      </c>
      <c r="Q2">
        <f>VLOOKUP(C2,Sheet2!A:AU,47,0)</f>
        <v>7.6674184132125385</v>
      </c>
      <c r="R2">
        <f>IFERROR((P2+Q2),0)</f>
        <v>8.9308531262242017</v>
      </c>
    </row>
    <row r="3" spans="1:18" x14ac:dyDescent="0.3">
      <c r="A3" s="1">
        <v>1</v>
      </c>
      <c r="B3">
        <v>1</v>
      </c>
      <c r="C3" t="s">
        <v>13</v>
      </c>
      <c r="D3" t="s">
        <v>14</v>
      </c>
      <c r="E3">
        <v>1</v>
      </c>
      <c r="F3" t="s">
        <v>12</v>
      </c>
      <c r="G3">
        <v>25415</v>
      </c>
      <c r="H3">
        <v>3.9346842415896102E-2</v>
      </c>
      <c r="I3">
        <v>2.6299457705320699E-2</v>
      </c>
      <c r="J3">
        <v>1.1624360305750999E-3</v>
      </c>
      <c r="K3">
        <v>2.6299457705320788</v>
      </c>
      <c r="L3">
        <f t="shared" ref="L3:L66" si="0">MAX(H:H)</f>
        <v>0.4</v>
      </c>
      <c r="M3">
        <f t="shared" ref="M3:M66" si="1">MIN(H:H)</f>
        <v>0</v>
      </c>
      <c r="N3">
        <f t="shared" ref="N3:N66" si="2">(H3-M3)/(L3-M3)</f>
        <v>9.8367106039740249E-2</v>
      </c>
      <c r="O3">
        <f t="shared" ref="O3:O66" si="3">N3*0.0442</f>
        <v>4.3478260869565192E-3</v>
      </c>
      <c r="P3">
        <f t="shared" ref="P3:P66" si="4">O3*100</f>
        <v>0.43478260869565194</v>
      </c>
      <c r="Q3">
        <f>VLOOKUP(C3,Sheet2!A:AU,47,0)</f>
        <v>2.4984920484981821</v>
      </c>
      <c r="R3">
        <f t="shared" ref="R3:R66" si="5">IFERROR((P3+Q3),0)</f>
        <v>2.933274657193834</v>
      </c>
    </row>
    <row r="4" spans="1:18" x14ac:dyDescent="0.3">
      <c r="A4" s="1">
        <v>2</v>
      </c>
      <c r="B4">
        <v>2</v>
      </c>
      <c r="C4" t="s">
        <v>15</v>
      </c>
      <c r="D4" t="s">
        <v>16</v>
      </c>
      <c r="E4">
        <v>1</v>
      </c>
      <c r="F4" t="s">
        <v>17</v>
      </c>
      <c r="G4">
        <v>41263</v>
      </c>
      <c r="H4">
        <v>2.4234786612703799E-2</v>
      </c>
      <c r="I4">
        <v>8.7047635276307003E-3</v>
      </c>
      <c r="J4">
        <v>3.847505479212E-4</v>
      </c>
      <c r="K4">
        <v>0.87047635276307744</v>
      </c>
      <c r="L4">
        <f t="shared" si="0"/>
        <v>0.4</v>
      </c>
      <c r="M4">
        <f t="shared" si="1"/>
        <v>0</v>
      </c>
      <c r="N4">
        <f t="shared" si="2"/>
        <v>6.0586966531759497E-2</v>
      </c>
      <c r="O4">
        <f t="shared" si="3"/>
        <v>2.6779439207037701E-3</v>
      </c>
      <c r="P4">
        <f t="shared" si="4"/>
        <v>0.26779439207037703</v>
      </c>
      <c r="Q4">
        <f>VLOOKUP(C4,Sheet2!A:AU,47,0)</f>
        <v>7.5092069707299758E-2</v>
      </c>
      <c r="R4">
        <f t="shared" si="5"/>
        <v>0.34288646177767679</v>
      </c>
    </row>
    <row r="5" spans="1:18" x14ac:dyDescent="0.3">
      <c r="A5" s="1">
        <v>3</v>
      </c>
      <c r="B5">
        <v>3</v>
      </c>
      <c r="C5" t="s">
        <v>18</v>
      </c>
      <c r="D5" t="s">
        <v>16</v>
      </c>
      <c r="E5">
        <v>3</v>
      </c>
      <c r="F5" t="s">
        <v>17</v>
      </c>
      <c r="G5">
        <v>12291</v>
      </c>
      <c r="H5">
        <v>0.2440810349035879</v>
      </c>
      <c r="I5">
        <v>0.26466778769628913</v>
      </c>
      <c r="J5">
        <v>1.16983162161759E-2</v>
      </c>
      <c r="K5">
        <v>26.46677876962892</v>
      </c>
      <c r="L5">
        <f t="shared" si="0"/>
        <v>0.4</v>
      </c>
      <c r="M5">
        <f t="shared" si="1"/>
        <v>0</v>
      </c>
      <c r="N5">
        <f t="shared" si="2"/>
        <v>0.6102025872589697</v>
      </c>
      <c r="O5">
        <f t="shared" si="3"/>
        <v>2.6970954356846464E-2</v>
      </c>
      <c r="P5">
        <f t="shared" si="4"/>
        <v>2.6970954356846466</v>
      </c>
      <c r="Q5">
        <f>VLOOKUP(C5,Sheet2!A:AU,47,0)</f>
        <v>7.0592417827478116</v>
      </c>
      <c r="R5">
        <f t="shared" si="5"/>
        <v>9.7563372184324582</v>
      </c>
    </row>
    <row r="6" spans="1:18" x14ac:dyDescent="0.3">
      <c r="A6" s="1">
        <v>4</v>
      </c>
      <c r="B6">
        <v>4</v>
      </c>
      <c r="C6" t="s">
        <v>19</v>
      </c>
      <c r="D6" t="s">
        <v>16</v>
      </c>
      <c r="E6">
        <v>2</v>
      </c>
      <c r="F6" t="s">
        <v>17</v>
      </c>
      <c r="G6">
        <v>18007</v>
      </c>
      <c r="H6">
        <v>0.11106791803187641</v>
      </c>
      <c r="I6">
        <v>0.10980301327660121</v>
      </c>
      <c r="J6">
        <v>4.8532931868256997E-3</v>
      </c>
      <c r="K6">
        <v>10.98030132766012</v>
      </c>
      <c r="L6">
        <f t="shared" si="0"/>
        <v>0.4</v>
      </c>
      <c r="M6">
        <f t="shared" si="1"/>
        <v>0</v>
      </c>
      <c r="N6">
        <f t="shared" si="2"/>
        <v>0.27766979507969097</v>
      </c>
      <c r="O6">
        <f t="shared" si="3"/>
        <v>1.2273004942522342E-2</v>
      </c>
      <c r="P6">
        <f t="shared" si="4"/>
        <v>1.2273004942522343</v>
      </c>
      <c r="Q6">
        <f>VLOOKUP(C6,Sheet2!A:AU,47,0)</f>
        <v>2.3233592587029963</v>
      </c>
      <c r="R6">
        <f t="shared" si="5"/>
        <v>3.5506597529552306</v>
      </c>
    </row>
    <row r="7" spans="1:18" x14ac:dyDescent="0.3">
      <c r="A7" s="1">
        <v>5</v>
      </c>
      <c r="B7">
        <v>5</v>
      </c>
      <c r="C7" t="s">
        <v>20</v>
      </c>
      <c r="D7" t="s">
        <v>16</v>
      </c>
      <c r="E7">
        <v>3</v>
      </c>
      <c r="F7" t="s">
        <v>17</v>
      </c>
      <c r="G7">
        <v>14862</v>
      </c>
      <c r="H7">
        <v>0.20185708518368989</v>
      </c>
      <c r="I7">
        <v>0.21550720412176089</v>
      </c>
      <c r="J7">
        <v>9.5254184221818007E-3</v>
      </c>
      <c r="K7">
        <v>21.550720412176091</v>
      </c>
      <c r="L7">
        <f t="shared" si="0"/>
        <v>0.4</v>
      </c>
      <c r="M7">
        <f t="shared" si="1"/>
        <v>0</v>
      </c>
      <c r="N7">
        <f t="shared" si="2"/>
        <v>0.50464271295922469</v>
      </c>
      <c r="O7">
        <f t="shared" si="3"/>
        <v>2.2305207912797734E-2</v>
      </c>
      <c r="P7">
        <f t="shared" si="4"/>
        <v>2.2305207912797735</v>
      </c>
      <c r="Q7">
        <f>VLOOKUP(C7,Sheet2!A:AU,47,0)</f>
        <v>6.9826020845957295</v>
      </c>
      <c r="R7">
        <f t="shared" si="5"/>
        <v>9.2131228758755022</v>
      </c>
    </row>
    <row r="8" spans="1:18" x14ac:dyDescent="0.3">
      <c r="A8" s="1">
        <v>6</v>
      </c>
      <c r="B8">
        <v>6</v>
      </c>
      <c r="C8" t="s">
        <v>21</v>
      </c>
      <c r="D8" t="s">
        <v>16</v>
      </c>
      <c r="E8">
        <v>3</v>
      </c>
      <c r="F8" t="s">
        <v>17</v>
      </c>
      <c r="G8">
        <v>12134</v>
      </c>
      <c r="H8">
        <v>0.24723916268336901</v>
      </c>
      <c r="I8">
        <v>0.26834473894521038</v>
      </c>
      <c r="J8">
        <v>1.1860837461378299E-2</v>
      </c>
      <c r="K8">
        <v>26.834473894521039</v>
      </c>
      <c r="L8">
        <f t="shared" si="0"/>
        <v>0.4</v>
      </c>
      <c r="M8">
        <f t="shared" si="1"/>
        <v>0</v>
      </c>
      <c r="N8">
        <f t="shared" si="2"/>
        <v>0.61809790670842246</v>
      </c>
      <c r="O8">
        <f t="shared" si="3"/>
        <v>2.7319927476512275E-2</v>
      </c>
      <c r="P8">
        <f t="shared" si="4"/>
        <v>2.7319927476512276</v>
      </c>
      <c r="Q8">
        <f>VLOOKUP(C8,Sheet2!A:AU,47,0)</f>
        <v>5.310519327865614</v>
      </c>
      <c r="R8">
        <f t="shared" si="5"/>
        <v>8.0425120755168411</v>
      </c>
    </row>
    <row r="9" spans="1:18" x14ac:dyDescent="0.3">
      <c r="A9" s="1">
        <v>7</v>
      </c>
      <c r="B9">
        <v>7</v>
      </c>
      <c r="C9" t="s">
        <v>22</v>
      </c>
      <c r="D9" t="s">
        <v>23</v>
      </c>
      <c r="E9">
        <v>1</v>
      </c>
      <c r="F9" t="s">
        <v>24</v>
      </c>
      <c r="G9">
        <v>18108</v>
      </c>
      <c r="H9">
        <v>5.5224210293792798E-2</v>
      </c>
      <c r="I9">
        <v>4.4785190936881498E-2</v>
      </c>
      <c r="J9">
        <v>1.9795054394101002E-3</v>
      </c>
      <c r="K9">
        <v>4.4785190936881509</v>
      </c>
      <c r="L9">
        <f t="shared" si="0"/>
        <v>0.4</v>
      </c>
      <c r="M9">
        <f t="shared" si="1"/>
        <v>0</v>
      </c>
      <c r="N9">
        <f t="shared" si="2"/>
        <v>0.13806052573448199</v>
      </c>
      <c r="O9">
        <f t="shared" si="3"/>
        <v>6.1022752374641047E-3</v>
      </c>
      <c r="P9">
        <f t="shared" si="4"/>
        <v>0.61022752374641043</v>
      </c>
      <c r="Q9">
        <f>VLOOKUP(C9,Sheet2!A:AU,47,0)</f>
        <v>0.83454003311324665</v>
      </c>
      <c r="R9">
        <f t="shared" si="5"/>
        <v>1.4447675568596572</v>
      </c>
    </row>
    <row r="10" spans="1:18" x14ac:dyDescent="0.3">
      <c r="A10" s="1">
        <v>8</v>
      </c>
      <c r="B10">
        <v>8</v>
      </c>
      <c r="C10" t="s">
        <v>25</v>
      </c>
      <c r="D10" t="s">
        <v>26</v>
      </c>
      <c r="E10">
        <v>2</v>
      </c>
      <c r="F10" t="s">
        <v>17</v>
      </c>
      <c r="G10">
        <v>18135</v>
      </c>
      <c r="H10">
        <v>0.1102839812517231</v>
      </c>
      <c r="I10">
        <v>0.1088902898138856</v>
      </c>
      <c r="J10">
        <v>4.8129508097737002E-3</v>
      </c>
      <c r="K10">
        <v>10.889028981388559</v>
      </c>
      <c r="L10">
        <f t="shared" si="0"/>
        <v>0.4</v>
      </c>
      <c r="M10">
        <f t="shared" si="1"/>
        <v>0</v>
      </c>
      <c r="N10">
        <f t="shared" si="2"/>
        <v>0.27570995312930774</v>
      </c>
      <c r="O10">
        <f t="shared" si="3"/>
        <v>1.2186379928315403E-2</v>
      </c>
      <c r="P10">
        <f t="shared" si="4"/>
        <v>1.2186379928315403</v>
      </c>
      <c r="Q10">
        <f>VLOOKUP(C10,Sheet2!A:AU,47,0)</f>
        <v>3.0614188728398513</v>
      </c>
      <c r="R10">
        <f t="shared" si="5"/>
        <v>4.2800568656713915</v>
      </c>
    </row>
    <row r="11" spans="1:18" x14ac:dyDescent="0.3">
      <c r="A11" s="1">
        <v>9</v>
      </c>
      <c r="B11">
        <v>9</v>
      </c>
      <c r="C11" t="s">
        <v>27</v>
      </c>
      <c r="D11" t="s">
        <v>26</v>
      </c>
      <c r="E11">
        <v>2</v>
      </c>
      <c r="F11" t="s">
        <v>17</v>
      </c>
      <c r="G11">
        <v>20388</v>
      </c>
      <c r="H11">
        <v>9.8096919756719594E-2</v>
      </c>
      <c r="I11">
        <v>9.4701113786359703E-2</v>
      </c>
      <c r="J11">
        <v>4.1857892293570998E-3</v>
      </c>
      <c r="K11">
        <v>9.4701113786359716</v>
      </c>
      <c r="L11">
        <f t="shared" si="0"/>
        <v>0.4</v>
      </c>
      <c r="M11">
        <f t="shared" si="1"/>
        <v>0</v>
      </c>
      <c r="N11">
        <f t="shared" si="2"/>
        <v>0.24524229939179898</v>
      </c>
      <c r="O11">
        <f t="shared" si="3"/>
        <v>1.0839709633117516E-2</v>
      </c>
      <c r="P11">
        <f t="shared" si="4"/>
        <v>1.0839709633117516</v>
      </c>
      <c r="Q11">
        <f>VLOOKUP(C11,Sheet2!A:AU,47,0)</f>
        <v>1.7994110957085605</v>
      </c>
      <c r="R11">
        <f t="shared" si="5"/>
        <v>2.8833820590203123</v>
      </c>
    </row>
    <row r="12" spans="1:18" x14ac:dyDescent="0.3">
      <c r="A12" s="1">
        <v>10</v>
      </c>
      <c r="B12">
        <v>10</v>
      </c>
      <c r="C12" t="s">
        <v>28</v>
      </c>
      <c r="D12" t="s">
        <v>26</v>
      </c>
      <c r="E12">
        <v>1</v>
      </c>
      <c r="F12" t="s">
        <v>17</v>
      </c>
      <c r="G12">
        <v>24734</v>
      </c>
      <c r="H12">
        <v>4.0430177084175602E-2</v>
      </c>
      <c r="I12">
        <v>2.7560764732551299E-2</v>
      </c>
      <c r="J12">
        <v>1.2181858011787001E-3</v>
      </c>
      <c r="K12">
        <v>2.756076473255137</v>
      </c>
      <c r="L12">
        <f t="shared" si="0"/>
        <v>0.4</v>
      </c>
      <c r="M12">
        <f t="shared" si="1"/>
        <v>0</v>
      </c>
      <c r="N12">
        <f t="shared" si="2"/>
        <v>0.101075442710439</v>
      </c>
      <c r="O12">
        <f t="shared" si="3"/>
        <v>4.4675345678014044E-3</v>
      </c>
      <c r="P12">
        <f t="shared" si="4"/>
        <v>0.44675345678014045</v>
      </c>
      <c r="Q12">
        <f>VLOOKUP(C12,Sheet2!A:AU,47,0)</f>
        <v>0.88338055285706407</v>
      </c>
      <c r="R12">
        <f t="shared" si="5"/>
        <v>1.3301340096372045</v>
      </c>
    </row>
    <row r="13" spans="1:18" x14ac:dyDescent="0.3">
      <c r="A13" s="1">
        <v>11</v>
      </c>
      <c r="B13">
        <v>11</v>
      </c>
      <c r="C13" t="s">
        <v>29</v>
      </c>
      <c r="D13" t="s">
        <v>26</v>
      </c>
      <c r="E13">
        <v>3</v>
      </c>
      <c r="F13" t="s">
        <v>17</v>
      </c>
      <c r="G13">
        <v>27702</v>
      </c>
      <c r="H13">
        <v>0.1082954299328568</v>
      </c>
      <c r="I13">
        <v>0.1065750553568566</v>
      </c>
      <c r="J13">
        <v>4.7106174467729999E-3</v>
      </c>
      <c r="K13">
        <v>10.65750553568567</v>
      </c>
      <c r="L13">
        <f t="shared" si="0"/>
        <v>0.4</v>
      </c>
      <c r="M13">
        <f t="shared" si="1"/>
        <v>0</v>
      </c>
      <c r="N13">
        <f t="shared" si="2"/>
        <v>0.27073857483214198</v>
      </c>
      <c r="O13">
        <f t="shared" si="3"/>
        <v>1.1966645007580675E-2</v>
      </c>
      <c r="P13">
        <f t="shared" si="4"/>
        <v>1.1966645007580676</v>
      </c>
      <c r="Q13">
        <f>VLOOKUP(C13,Sheet2!A:AU,47,0)</f>
        <v>2.5309540358467353</v>
      </c>
      <c r="R13">
        <f t="shared" si="5"/>
        <v>3.7276185366048029</v>
      </c>
    </row>
    <row r="14" spans="1:18" x14ac:dyDescent="0.3">
      <c r="A14" s="1">
        <v>12</v>
      </c>
      <c r="B14">
        <v>12</v>
      </c>
      <c r="C14" t="s">
        <v>30</v>
      </c>
      <c r="D14" t="s">
        <v>31</v>
      </c>
      <c r="E14">
        <v>1</v>
      </c>
      <c r="F14" t="s">
        <v>24</v>
      </c>
      <c r="G14">
        <v>30447</v>
      </c>
      <c r="H14">
        <v>3.2843958353860801E-2</v>
      </c>
      <c r="I14">
        <v>1.87282670060172E-2</v>
      </c>
      <c r="J14">
        <v>8.2778940166589998E-4</v>
      </c>
      <c r="K14">
        <v>1.8728267006017201</v>
      </c>
      <c r="L14">
        <f t="shared" si="0"/>
        <v>0.4</v>
      </c>
      <c r="M14">
        <f t="shared" si="1"/>
        <v>0</v>
      </c>
      <c r="N14">
        <f t="shared" si="2"/>
        <v>8.2109895884651993E-2</v>
      </c>
      <c r="O14">
        <f t="shared" si="3"/>
        <v>3.6292573981016184E-3</v>
      </c>
      <c r="P14">
        <f t="shared" si="4"/>
        <v>0.36292573981016185</v>
      </c>
      <c r="Q14">
        <f>VLOOKUP(C14,Sheet2!A:AU,47,0)</f>
        <v>0.20071602683546011</v>
      </c>
      <c r="R14">
        <f t="shared" si="5"/>
        <v>0.56364176664562193</v>
      </c>
    </row>
    <row r="15" spans="1:18" x14ac:dyDescent="0.3">
      <c r="A15" s="1">
        <v>13</v>
      </c>
      <c r="B15">
        <v>13</v>
      </c>
      <c r="C15" t="s">
        <v>32</v>
      </c>
      <c r="D15" t="s">
        <v>33</v>
      </c>
      <c r="E15">
        <v>2</v>
      </c>
      <c r="F15" t="s">
        <v>17</v>
      </c>
      <c r="G15">
        <v>13986</v>
      </c>
      <c r="H15">
        <v>0.14300014300014299</v>
      </c>
      <c r="I15">
        <v>0.14698112723057191</v>
      </c>
      <c r="J15">
        <v>6.4965658235911997E-3</v>
      </c>
      <c r="K15">
        <v>14.6981127230572</v>
      </c>
      <c r="L15">
        <f t="shared" si="0"/>
        <v>0.4</v>
      </c>
      <c r="M15">
        <f t="shared" si="1"/>
        <v>0</v>
      </c>
      <c r="N15">
        <f t="shared" si="2"/>
        <v>0.35750035750035747</v>
      </c>
      <c r="O15">
        <f t="shared" si="3"/>
        <v>1.58015158015158E-2</v>
      </c>
      <c r="P15">
        <f t="shared" si="4"/>
        <v>1.58015158015158</v>
      </c>
      <c r="Q15">
        <f>VLOOKUP(C15,Sheet2!A:AU,47,0)</f>
        <v>4.18808704586709</v>
      </c>
      <c r="R15">
        <f t="shared" si="5"/>
        <v>5.76823862601867</v>
      </c>
    </row>
    <row r="16" spans="1:18" x14ac:dyDescent="0.3">
      <c r="A16" s="1">
        <v>14</v>
      </c>
      <c r="B16">
        <v>14</v>
      </c>
      <c r="C16" t="s">
        <v>34</v>
      </c>
      <c r="D16" t="s">
        <v>33</v>
      </c>
      <c r="E16">
        <v>2</v>
      </c>
      <c r="F16" t="s">
        <v>17</v>
      </c>
      <c r="G16">
        <v>17053</v>
      </c>
      <c r="H16">
        <v>0.1172814167595144</v>
      </c>
      <c r="I16">
        <v>0.1170372778472205</v>
      </c>
      <c r="J16">
        <v>5.1730476808471001E-3</v>
      </c>
      <c r="K16">
        <v>11.70372778472205</v>
      </c>
      <c r="L16">
        <f t="shared" si="0"/>
        <v>0.4</v>
      </c>
      <c r="M16">
        <f t="shared" si="1"/>
        <v>0</v>
      </c>
      <c r="N16">
        <f t="shared" si="2"/>
        <v>0.29320354189878595</v>
      </c>
      <c r="O16">
        <f t="shared" si="3"/>
        <v>1.295959655192634E-2</v>
      </c>
      <c r="P16">
        <f t="shared" si="4"/>
        <v>1.295959655192634</v>
      </c>
      <c r="Q16">
        <f>VLOOKUP(C16,Sheet2!A:AU,47,0)</f>
        <v>3.0997334429726373</v>
      </c>
      <c r="R16">
        <f t="shared" si="5"/>
        <v>4.3956930981652711</v>
      </c>
    </row>
    <row r="17" spans="1:18" x14ac:dyDescent="0.3">
      <c r="A17" s="1">
        <v>15</v>
      </c>
      <c r="B17">
        <v>15</v>
      </c>
      <c r="C17" t="s">
        <v>35</v>
      </c>
      <c r="D17" t="s">
        <v>36</v>
      </c>
      <c r="E17">
        <v>2</v>
      </c>
      <c r="F17" t="s">
        <v>12</v>
      </c>
      <c r="G17">
        <v>14003</v>
      </c>
      <c r="H17">
        <v>0.1428265371706062</v>
      </c>
      <c r="I17">
        <v>0.1467790010924778</v>
      </c>
      <c r="J17">
        <v>6.4876318482874999E-3</v>
      </c>
      <c r="K17">
        <v>14.67790010924778</v>
      </c>
      <c r="L17">
        <f t="shared" si="0"/>
        <v>0.4</v>
      </c>
      <c r="M17">
        <f t="shared" si="1"/>
        <v>0</v>
      </c>
      <c r="N17">
        <f t="shared" si="2"/>
        <v>0.35706634292651546</v>
      </c>
      <c r="O17">
        <f t="shared" si="3"/>
        <v>1.5782332357351984E-2</v>
      </c>
      <c r="P17">
        <f t="shared" si="4"/>
        <v>1.5782332357351985</v>
      </c>
      <c r="Q17">
        <f>VLOOKUP(C17,Sheet2!A:AU,47,0)</f>
        <v>4.6673393244368242</v>
      </c>
      <c r="R17">
        <f t="shared" si="5"/>
        <v>6.2455725601720227</v>
      </c>
    </row>
    <row r="18" spans="1:18" x14ac:dyDescent="0.3">
      <c r="A18" s="1">
        <v>16</v>
      </c>
      <c r="B18">
        <v>16</v>
      </c>
      <c r="C18" t="s">
        <v>37</v>
      </c>
      <c r="D18" t="s">
        <v>36</v>
      </c>
      <c r="E18">
        <v>3</v>
      </c>
      <c r="F18" t="s">
        <v>12</v>
      </c>
      <c r="G18">
        <v>26729</v>
      </c>
      <c r="H18">
        <v>0.11223764450596729</v>
      </c>
      <c r="I18">
        <v>0.1111649047261304</v>
      </c>
      <c r="J18">
        <v>4.9134887888948996E-3</v>
      </c>
      <c r="K18">
        <v>11.116490472613039</v>
      </c>
      <c r="L18">
        <f t="shared" si="0"/>
        <v>0.4</v>
      </c>
      <c r="M18">
        <f t="shared" si="1"/>
        <v>0</v>
      </c>
      <c r="N18">
        <f t="shared" si="2"/>
        <v>0.28059411126491823</v>
      </c>
      <c r="O18">
        <f t="shared" si="3"/>
        <v>1.2402259717909387E-2</v>
      </c>
      <c r="P18">
        <f t="shared" si="4"/>
        <v>1.2402259717909387</v>
      </c>
      <c r="Q18">
        <f>VLOOKUP(C18,Sheet2!A:AU,47,0)</f>
        <v>2.9822792774958788</v>
      </c>
      <c r="R18">
        <f t="shared" si="5"/>
        <v>4.2225052492868178</v>
      </c>
    </row>
    <row r="19" spans="1:18" x14ac:dyDescent="0.3">
      <c r="A19" s="1">
        <v>17</v>
      </c>
      <c r="B19">
        <v>17</v>
      </c>
      <c r="C19" t="s">
        <v>38</v>
      </c>
      <c r="D19" t="s">
        <v>39</v>
      </c>
      <c r="E19">
        <v>2</v>
      </c>
      <c r="F19" t="s">
        <v>12</v>
      </c>
      <c r="G19">
        <v>34257</v>
      </c>
      <c r="H19">
        <v>5.8382228449659901E-2</v>
      </c>
      <c r="I19">
        <v>4.8462014552655697E-2</v>
      </c>
      <c r="J19">
        <v>2.1420210432272998E-3</v>
      </c>
      <c r="K19">
        <v>4.846201455265569</v>
      </c>
      <c r="L19">
        <f t="shared" si="0"/>
        <v>0.4</v>
      </c>
      <c r="M19">
        <f t="shared" si="1"/>
        <v>0</v>
      </c>
      <c r="N19">
        <f t="shared" si="2"/>
        <v>0.14595557112414975</v>
      </c>
      <c r="O19">
        <f t="shared" si="3"/>
        <v>6.4512362436874192E-3</v>
      </c>
      <c r="P19">
        <f t="shared" si="4"/>
        <v>0.64512362436874193</v>
      </c>
      <c r="Q19">
        <f>VLOOKUP(C19,Sheet2!A:AU,47,0)</f>
        <v>0.62490163691572376</v>
      </c>
      <c r="R19">
        <f t="shared" si="5"/>
        <v>1.2700252612844656</v>
      </c>
    </row>
    <row r="20" spans="1:18" x14ac:dyDescent="0.3">
      <c r="A20" s="1">
        <v>18</v>
      </c>
      <c r="B20">
        <v>18</v>
      </c>
      <c r="C20" t="s">
        <v>40</v>
      </c>
      <c r="D20" t="s">
        <v>41</v>
      </c>
      <c r="E20">
        <v>6</v>
      </c>
      <c r="F20" t="s">
        <v>17</v>
      </c>
      <c r="G20">
        <v>21470</v>
      </c>
      <c r="H20">
        <v>0.27945971122496499</v>
      </c>
      <c r="I20">
        <v>0.30585854283859221</v>
      </c>
      <c r="J20">
        <v>1.35189475934657E-2</v>
      </c>
      <c r="K20">
        <v>30.585854283859231</v>
      </c>
      <c r="L20">
        <f t="shared" si="0"/>
        <v>0.4</v>
      </c>
      <c r="M20">
        <f t="shared" si="1"/>
        <v>0</v>
      </c>
      <c r="N20">
        <f t="shared" si="2"/>
        <v>0.69864927806241239</v>
      </c>
      <c r="O20">
        <f t="shared" si="3"/>
        <v>3.0880298090358631E-2</v>
      </c>
      <c r="P20">
        <f t="shared" si="4"/>
        <v>3.0880298090358629</v>
      </c>
      <c r="Q20">
        <f>VLOOKUP(C20,Sheet2!A:AU,47,0)</f>
        <v>5.8206263533822442</v>
      </c>
      <c r="R20">
        <f t="shared" si="5"/>
        <v>8.908656162418108</v>
      </c>
    </row>
    <row r="21" spans="1:18" x14ac:dyDescent="0.3">
      <c r="A21" s="1">
        <v>19</v>
      </c>
      <c r="B21">
        <v>19</v>
      </c>
      <c r="C21" t="s">
        <v>42</v>
      </c>
      <c r="D21" t="s">
        <v>11</v>
      </c>
      <c r="E21">
        <v>2</v>
      </c>
      <c r="F21" t="s">
        <v>12</v>
      </c>
      <c r="G21">
        <v>33099</v>
      </c>
      <c r="H21">
        <v>6.0424786247318597E-2</v>
      </c>
      <c r="I21">
        <v>5.08401277794788E-2</v>
      </c>
      <c r="J21">
        <v>2.2471336478528999E-3</v>
      </c>
      <c r="K21">
        <v>5.084012777947887</v>
      </c>
      <c r="L21">
        <f t="shared" si="0"/>
        <v>0.4</v>
      </c>
      <c r="M21">
        <f t="shared" si="1"/>
        <v>0</v>
      </c>
      <c r="N21">
        <f t="shared" si="2"/>
        <v>0.15106196561829649</v>
      </c>
      <c r="O21">
        <f t="shared" si="3"/>
        <v>6.6769388803287052E-3</v>
      </c>
      <c r="P21">
        <f t="shared" si="4"/>
        <v>0.66769388803287055</v>
      </c>
      <c r="Q21">
        <f>VLOOKUP(C21,Sheet2!A:AU,47,0)</f>
        <v>1.220416239824327</v>
      </c>
      <c r="R21">
        <f t="shared" si="5"/>
        <v>1.8881101278571975</v>
      </c>
    </row>
    <row r="22" spans="1:18" x14ac:dyDescent="0.3">
      <c r="A22" s="1">
        <v>20</v>
      </c>
      <c r="B22">
        <v>20</v>
      </c>
      <c r="C22" t="s">
        <v>43</v>
      </c>
      <c r="D22" t="s">
        <v>11</v>
      </c>
      <c r="E22">
        <v>2</v>
      </c>
      <c r="F22" t="s">
        <v>12</v>
      </c>
      <c r="G22">
        <v>29119</v>
      </c>
      <c r="H22">
        <v>6.8683677324083897E-2</v>
      </c>
      <c r="I22">
        <v>6.0455805794103597E-2</v>
      </c>
      <c r="J22">
        <v>2.6721466160992999E-3</v>
      </c>
      <c r="K22">
        <v>6.0455805794103634</v>
      </c>
      <c r="L22">
        <f t="shared" si="0"/>
        <v>0.4</v>
      </c>
      <c r="M22">
        <f t="shared" si="1"/>
        <v>0</v>
      </c>
      <c r="N22">
        <f t="shared" si="2"/>
        <v>0.17170919331020973</v>
      </c>
      <c r="O22">
        <f t="shared" si="3"/>
        <v>7.5895463443112704E-3</v>
      </c>
      <c r="P22">
        <f t="shared" si="4"/>
        <v>0.7589546344311271</v>
      </c>
      <c r="Q22">
        <f>VLOOKUP(C22,Sheet2!A:AU,47,0)</f>
        <v>1.5567077094157322</v>
      </c>
      <c r="R22">
        <f t="shared" si="5"/>
        <v>2.3156623438468591</v>
      </c>
    </row>
    <row r="23" spans="1:18" x14ac:dyDescent="0.3">
      <c r="A23" s="1">
        <v>21</v>
      </c>
      <c r="B23">
        <v>21</v>
      </c>
      <c r="C23" t="s">
        <v>44</v>
      </c>
      <c r="D23" t="s">
        <v>11</v>
      </c>
      <c r="E23">
        <v>1</v>
      </c>
      <c r="F23" t="s">
        <v>12</v>
      </c>
      <c r="G23">
        <v>18606</v>
      </c>
      <c r="H23">
        <v>5.3746103407502903E-2</v>
      </c>
      <c r="I23">
        <v>4.30642577319688E-2</v>
      </c>
      <c r="J23">
        <v>1.9034401917529999E-3</v>
      </c>
      <c r="K23">
        <v>4.3064257731968798</v>
      </c>
      <c r="L23">
        <f t="shared" si="0"/>
        <v>0.4</v>
      </c>
      <c r="M23">
        <f t="shared" si="1"/>
        <v>0</v>
      </c>
      <c r="N23">
        <f t="shared" si="2"/>
        <v>0.13436525851875725</v>
      </c>
      <c r="O23">
        <f t="shared" si="3"/>
        <v>5.9389444265290706E-3</v>
      </c>
      <c r="P23">
        <f t="shared" si="4"/>
        <v>0.59389444265290703</v>
      </c>
      <c r="Q23">
        <f>VLOOKUP(C23,Sheet2!A:AU,47,0)</f>
        <v>1.3486485531728432</v>
      </c>
      <c r="R23">
        <f t="shared" si="5"/>
        <v>1.9425429958257503</v>
      </c>
    </row>
    <row r="24" spans="1:18" x14ac:dyDescent="0.3">
      <c r="A24" s="1">
        <v>22</v>
      </c>
      <c r="B24">
        <v>22</v>
      </c>
      <c r="C24" t="s">
        <v>45</v>
      </c>
      <c r="D24" t="s">
        <v>46</v>
      </c>
      <c r="E24">
        <v>1</v>
      </c>
      <c r="F24" t="s">
        <v>12</v>
      </c>
      <c r="G24">
        <v>22959</v>
      </c>
      <c r="H24">
        <v>4.3555904002787499E-2</v>
      </c>
      <c r="I24">
        <v>3.11999922428371E-2</v>
      </c>
      <c r="J24">
        <v>1.3790396571334001E-3</v>
      </c>
      <c r="K24">
        <v>3.119999224283712</v>
      </c>
      <c r="L24">
        <f t="shared" si="0"/>
        <v>0.4</v>
      </c>
      <c r="M24">
        <f t="shared" si="1"/>
        <v>0</v>
      </c>
      <c r="N24">
        <f t="shared" si="2"/>
        <v>0.10888976000696875</v>
      </c>
      <c r="O24">
        <f t="shared" si="3"/>
        <v>4.8129273923080192E-3</v>
      </c>
      <c r="P24">
        <f t="shared" si="4"/>
        <v>0.4812927392308019</v>
      </c>
      <c r="Q24">
        <f>VLOOKUP(C24,Sheet2!A:AU,47,0)</f>
        <v>0.57021855509619368</v>
      </c>
      <c r="R24">
        <f t="shared" si="5"/>
        <v>1.0515112943269955</v>
      </c>
    </row>
    <row r="25" spans="1:18" x14ac:dyDescent="0.3">
      <c r="A25" s="1">
        <v>23</v>
      </c>
      <c r="B25">
        <v>23</v>
      </c>
      <c r="C25" t="s">
        <v>47</v>
      </c>
      <c r="D25" t="s">
        <v>48</v>
      </c>
      <c r="E25">
        <v>1</v>
      </c>
      <c r="F25" t="s">
        <v>17</v>
      </c>
      <c r="G25">
        <v>6449</v>
      </c>
      <c r="H25">
        <v>0.15506280043417581</v>
      </c>
      <c r="I25">
        <v>0.16102546185228589</v>
      </c>
      <c r="J25">
        <v>7.1173254138709998E-3</v>
      </c>
      <c r="K25">
        <v>16.10254618522859</v>
      </c>
      <c r="L25">
        <f t="shared" si="0"/>
        <v>0.4</v>
      </c>
      <c r="M25">
        <f t="shared" si="1"/>
        <v>0</v>
      </c>
      <c r="N25">
        <f t="shared" si="2"/>
        <v>0.38765700108543949</v>
      </c>
      <c r="O25">
        <f t="shared" si="3"/>
        <v>1.7134439447976428E-2</v>
      </c>
      <c r="P25">
        <f t="shared" si="4"/>
        <v>1.7134439447976428</v>
      </c>
      <c r="Q25">
        <f>VLOOKUP(C25,Sheet2!A:AU,47,0)</f>
        <v>7.1772916403852918</v>
      </c>
      <c r="R25">
        <f t="shared" si="5"/>
        <v>8.8907355851829344</v>
      </c>
    </row>
    <row r="26" spans="1:18" x14ac:dyDescent="0.3">
      <c r="A26" s="1">
        <v>24</v>
      </c>
      <c r="B26">
        <v>24</v>
      </c>
      <c r="C26" t="s">
        <v>49</v>
      </c>
      <c r="D26" t="s">
        <v>50</v>
      </c>
      <c r="E26">
        <v>2</v>
      </c>
      <c r="F26" t="s">
        <v>12</v>
      </c>
      <c r="G26">
        <v>11757</v>
      </c>
      <c r="H26">
        <v>0.1701114229820532</v>
      </c>
      <c r="I26">
        <v>0.17854630183419379</v>
      </c>
      <c r="J26">
        <v>7.8917465410713004E-3</v>
      </c>
      <c r="K26">
        <v>17.854630183419381</v>
      </c>
      <c r="L26">
        <f t="shared" si="0"/>
        <v>0.4</v>
      </c>
      <c r="M26">
        <f t="shared" si="1"/>
        <v>0</v>
      </c>
      <c r="N26">
        <f t="shared" si="2"/>
        <v>0.42527855745513299</v>
      </c>
      <c r="O26">
        <f t="shared" si="3"/>
        <v>1.8797312239516879E-2</v>
      </c>
      <c r="P26">
        <f t="shared" si="4"/>
        <v>1.8797312239516879</v>
      </c>
      <c r="Q26">
        <f>VLOOKUP(C26,Sheet2!A:AU,47,0)</f>
        <v>5.0098962541611458</v>
      </c>
      <c r="R26">
        <f t="shared" si="5"/>
        <v>6.8896274781128337</v>
      </c>
    </row>
    <row r="27" spans="1:18" x14ac:dyDescent="0.3">
      <c r="A27" s="1">
        <v>25</v>
      </c>
      <c r="B27">
        <v>25</v>
      </c>
      <c r="C27" t="s">
        <v>51</v>
      </c>
      <c r="D27" t="s">
        <v>50</v>
      </c>
      <c r="E27">
        <v>1</v>
      </c>
      <c r="F27" t="s">
        <v>12</v>
      </c>
      <c r="G27">
        <v>22945</v>
      </c>
      <c r="H27">
        <v>4.3582479843102997E-2</v>
      </c>
      <c r="I27">
        <v>3.1230934014688402E-2</v>
      </c>
      <c r="J27">
        <v>1.3804072834492E-3</v>
      </c>
      <c r="K27">
        <v>3.1230934014688398</v>
      </c>
      <c r="L27">
        <f t="shared" si="0"/>
        <v>0.4</v>
      </c>
      <c r="M27">
        <f t="shared" si="1"/>
        <v>0</v>
      </c>
      <c r="N27">
        <f t="shared" si="2"/>
        <v>0.10895619960775749</v>
      </c>
      <c r="O27">
        <f t="shared" si="3"/>
        <v>4.8158640226628815E-3</v>
      </c>
      <c r="P27">
        <f t="shared" si="4"/>
        <v>0.48158640226628813</v>
      </c>
      <c r="Q27">
        <f>VLOOKUP(C27,Sheet2!A:AU,47,0)</f>
        <v>0.66854539566427473</v>
      </c>
      <c r="R27">
        <f t="shared" si="5"/>
        <v>1.150131797930563</v>
      </c>
    </row>
    <row r="28" spans="1:18" x14ac:dyDescent="0.3">
      <c r="A28" s="1">
        <v>26</v>
      </c>
      <c r="B28">
        <v>26</v>
      </c>
      <c r="C28" t="s">
        <v>52</v>
      </c>
      <c r="D28" t="s">
        <v>16</v>
      </c>
      <c r="E28">
        <v>3</v>
      </c>
      <c r="F28" t="s">
        <v>17</v>
      </c>
      <c r="G28">
        <v>32148</v>
      </c>
      <c r="H28">
        <v>9.3318402388951102E-2</v>
      </c>
      <c r="I28">
        <v>8.9137572147577004E-2</v>
      </c>
      <c r="J28">
        <v>3.9398806889229003E-3</v>
      </c>
      <c r="K28">
        <v>8.9137572147577071</v>
      </c>
      <c r="L28">
        <f t="shared" si="0"/>
        <v>0.4</v>
      </c>
      <c r="M28">
        <f t="shared" si="1"/>
        <v>0</v>
      </c>
      <c r="N28">
        <f t="shared" si="2"/>
        <v>0.23329600597237773</v>
      </c>
      <c r="O28">
        <f t="shared" si="3"/>
        <v>1.0311683463979097E-2</v>
      </c>
      <c r="P28">
        <f t="shared" si="4"/>
        <v>1.0311683463979098</v>
      </c>
      <c r="Q28">
        <f>VLOOKUP(C28,Sheet2!A:AU,47,0)</f>
        <v>1.6565323665031557</v>
      </c>
      <c r="R28">
        <f t="shared" si="5"/>
        <v>2.6877007129010657</v>
      </c>
    </row>
    <row r="29" spans="1:18" x14ac:dyDescent="0.3">
      <c r="A29" s="1">
        <v>27</v>
      </c>
      <c r="B29">
        <v>27</v>
      </c>
      <c r="C29" t="s">
        <v>53</v>
      </c>
      <c r="D29" t="s">
        <v>54</v>
      </c>
      <c r="E29">
        <v>2</v>
      </c>
      <c r="F29" t="s">
        <v>17</v>
      </c>
      <c r="G29">
        <v>17252</v>
      </c>
      <c r="H29">
        <v>0.1159285879897982</v>
      </c>
      <c r="I29">
        <v>0.1154622036953034</v>
      </c>
      <c r="J29">
        <v>5.1034294033324001E-3</v>
      </c>
      <c r="K29">
        <v>11.546220369530349</v>
      </c>
      <c r="L29">
        <f t="shared" si="0"/>
        <v>0.4</v>
      </c>
      <c r="M29">
        <f t="shared" si="1"/>
        <v>0</v>
      </c>
      <c r="N29">
        <f t="shared" si="2"/>
        <v>0.28982146997449548</v>
      </c>
      <c r="O29">
        <f t="shared" si="3"/>
        <v>1.2810108972872701E-2</v>
      </c>
      <c r="P29">
        <f t="shared" si="4"/>
        <v>1.2810108972872702</v>
      </c>
      <c r="Q29">
        <f>VLOOKUP(C29,Sheet2!A:AU,47,0)</f>
        <v>4.5391384038328475</v>
      </c>
      <c r="R29">
        <f t="shared" si="5"/>
        <v>5.820149301120118</v>
      </c>
    </row>
    <row r="30" spans="1:18" x14ac:dyDescent="0.3">
      <c r="A30" s="1">
        <v>28</v>
      </c>
      <c r="B30">
        <v>28</v>
      </c>
      <c r="C30" t="s">
        <v>55</v>
      </c>
      <c r="D30" t="s">
        <v>54</v>
      </c>
      <c r="E30">
        <v>3</v>
      </c>
      <c r="F30" t="s">
        <v>17</v>
      </c>
      <c r="G30">
        <v>13780</v>
      </c>
      <c r="H30">
        <v>0.2177068214804064</v>
      </c>
      <c r="I30">
        <v>0.2339607664014112</v>
      </c>
      <c r="J30">
        <v>1.0341065874942299E-2</v>
      </c>
      <c r="K30">
        <v>23.396076640141128</v>
      </c>
      <c r="L30">
        <f t="shared" si="0"/>
        <v>0.4</v>
      </c>
      <c r="M30">
        <f t="shared" si="1"/>
        <v>0</v>
      </c>
      <c r="N30">
        <f t="shared" si="2"/>
        <v>0.54426705370101602</v>
      </c>
      <c r="O30">
        <f t="shared" si="3"/>
        <v>2.4056603773584911E-2</v>
      </c>
      <c r="P30">
        <f t="shared" si="4"/>
        <v>2.4056603773584913</v>
      </c>
      <c r="Q30">
        <f>VLOOKUP(C30,Sheet2!A:AU,47,0)</f>
        <v>8.0399999999999991</v>
      </c>
      <c r="R30">
        <f t="shared" si="5"/>
        <v>10.44566037735849</v>
      </c>
    </row>
    <row r="31" spans="1:18" x14ac:dyDescent="0.3">
      <c r="A31" s="1">
        <v>29</v>
      </c>
      <c r="B31">
        <v>29</v>
      </c>
      <c r="C31" t="s">
        <v>56</v>
      </c>
      <c r="D31" t="s">
        <v>54</v>
      </c>
      <c r="E31">
        <v>2</v>
      </c>
      <c r="F31" t="s">
        <v>17</v>
      </c>
      <c r="G31">
        <v>18527</v>
      </c>
      <c r="H31">
        <v>0.1079505586441409</v>
      </c>
      <c r="I31">
        <v>0.1061735279316906</v>
      </c>
      <c r="J31">
        <v>4.6928699345806998E-3</v>
      </c>
      <c r="K31">
        <v>10.61735279316906</v>
      </c>
      <c r="L31">
        <f t="shared" si="0"/>
        <v>0.4</v>
      </c>
      <c r="M31">
        <f t="shared" si="1"/>
        <v>0</v>
      </c>
      <c r="N31">
        <f t="shared" si="2"/>
        <v>0.26987639661035223</v>
      </c>
      <c r="O31">
        <f t="shared" si="3"/>
        <v>1.1928536730177569E-2</v>
      </c>
      <c r="P31">
        <f t="shared" si="4"/>
        <v>1.192853673017757</v>
      </c>
      <c r="Q31">
        <f>VLOOKUP(C31,Sheet2!A:AU,47,0)</f>
        <v>2.5546129323084399</v>
      </c>
      <c r="R31">
        <f t="shared" si="5"/>
        <v>3.7474666053261969</v>
      </c>
    </row>
    <row r="32" spans="1:18" x14ac:dyDescent="0.3">
      <c r="A32" s="1">
        <v>30</v>
      </c>
      <c r="B32">
        <v>30</v>
      </c>
      <c r="C32" t="s">
        <v>57</v>
      </c>
      <c r="D32" t="s">
        <v>54</v>
      </c>
      <c r="E32">
        <v>2</v>
      </c>
      <c r="F32" t="s">
        <v>17</v>
      </c>
      <c r="G32">
        <v>30345</v>
      </c>
      <c r="H32">
        <v>6.5908716427747496E-2</v>
      </c>
      <c r="I32">
        <v>5.7224968841015203E-2</v>
      </c>
      <c r="J32">
        <v>2.5293436227728002E-3</v>
      </c>
      <c r="K32">
        <v>5.7224968841015267</v>
      </c>
      <c r="L32">
        <f t="shared" si="0"/>
        <v>0.4</v>
      </c>
      <c r="M32">
        <f t="shared" si="1"/>
        <v>0</v>
      </c>
      <c r="N32">
        <f t="shared" si="2"/>
        <v>0.16477179106936873</v>
      </c>
      <c r="O32">
        <f t="shared" si="3"/>
        <v>7.2829131652660988E-3</v>
      </c>
      <c r="P32">
        <f t="shared" si="4"/>
        <v>0.72829131652660983</v>
      </c>
      <c r="Q32">
        <f>VLOOKUP(C32,Sheet2!A:AU,47,0)</f>
        <v>1.8384566111898755</v>
      </c>
      <c r="R32">
        <f t="shared" si="5"/>
        <v>2.5667479277164853</v>
      </c>
    </row>
    <row r="33" spans="1:18" x14ac:dyDescent="0.3">
      <c r="A33" s="1">
        <v>31</v>
      </c>
      <c r="B33">
        <v>31</v>
      </c>
      <c r="C33" t="s">
        <v>58</v>
      </c>
      <c r="D33" t="s">
        <v>59</v>
      </c>
      <c r="E33">
        <v>3</v>
      </c>
      <c r="F33" t="s">
        <v>24</v>
      </c>
      <c r="G33">
        <v>12066</v>
      </c>
      <c r="H33">
        <v>0.24863252113376419</v>
      </c>
      <c r="I33">
        <v>0.26996700107379679</v>
      </c>
      <c r="J33">
        <v>1.19325414474618E-2</v>
      </c>
      <c r="K33">
        <v>26.996700107379681</v>
      </c>
      <c r="L33">
        <f t="shared" si="0"/>
        <v>0.4</v>
      </c>
      <c r="M33">
        <f t="shared" si="1"/>
        <v>0</v>
      </c>
      <c r="N33">
        <f t="shared" si="2"/>
        <v>0.62158130283441049</v>
      </c>
      <c r="O33">
        <f t="shared" si="3"/>
        <v>2.7473893585280944E-2</v>
      </c>
      <c r="P33">
        <f t="shared" si="4"/>
        <v>2.7473893585280944</v>
      </c>
      <c r="Q33">
        <f>VLOOKUP(C33,Sheet2!A:AU,47,0)</f>
        <v>7.782640328968184</v>
      </c>
      <c r="R33">
        <f t="shared" si="5"/>
        <v>10.530029687496278</v>
      </c>
    </row>
    <row r="34" spans="1:18" x14ac:dyDescent="0.3">
      <c r="A34" s="1">
        <v>32</v>
      </c>
      <c r="B34">
        <v>32</v>
      </c>
      <c r="C34" t="s">
        <v>60</v>
      </c>
      <c r="D34" t="s">
        <v>59</v>
      </c>
      <c r="E34">
        <v>3</v>
      </c>
      <c r="F34" t="s">
        <v>24</v>
      </c>
      <c r="G34">
        <v>24725</v>
      </c>
      <c r="H34">
        <v>0.121334681496461</v>
      </c>
      <c r="I34">
        <v>0.12175642092057561</v>
      </c>
      <c r="J34">
        <v>5.3816338046894004E-3</v>
      </c>
      <c r="K34">
        <v>12.17564209205757</v>
      </c>
      <c r="L34">
        <f t="shared" si="0"/>
        <v>0.4</v>
      </c>
      <c r="M34">
        <f t="shared" si="1"/>
        <v>0</v>
      </c>
      <c r="N34">
        <f t="shared" si="2"/>
        <v>0.30333670374115246</v>
      </c>
      <c r="O34">
        <f t="shared" si="3"/>
        <v>1.340748230535894E-2</v>
      </c>
      <c r="P34">
        <f t="shared" si="4"/>
        <v>1.340748230535894</v>
      </c>
      <c r="Q34">
        <f>VLOOKUP(C34,Sheet2!A:AU,47,0)</f>
        <v>3.5145250479579735</v>
      </c>
      <c r="R34">
        <f t="shared" si="5"/>
        <v>4.8552732784938675</v>
      </c>
    </row>
    <row r="35" spans="1:18" x14ac:dyDescent="0.3">
      <c r="A35" s="1">
        <v>33</v>
      </c>
      <c r="B35">
        <v>33</v>
      </c>
      <c r="C35" t="s">
        <v>61</v>
      </c>
      <c r="D35" t="s">
        <v>39</v>
      </c>
      <c r="E35">
        <v>1</v>
      </c>
      <c r="F35" t="s">
        <v>12</v>
      </c>
      <c r="G35">
        <v>23691</v>
      </c>
      <c r="H35">
        <v>4.2210121987252498E-2</v>
      </c>
      <c r="I35">
        <v>2.9633122499795699E-2</v>
      </c>
      <c r="J35">
        <v>1.3097840144909001E-3</v>
      </c>
      <c r="K35">
        <v>2.963312249979579</v>
      </c>
      <c r="L35">
        <f t="shared" si="0"/>
        <v>0.4</v>
      </c>
      <c r="M35">
        <f t="shared" si="1"/>
        <v>0</v>
      </c>
      <c r="N35">
        <f t="shared" si="2"/>
        <v>0.10552530496813124</v>
      </c>
      <c r="O35">
        <f t="shared" si="3"/>
        <v>4.6642184795914017E-3</v>
      </c>
      <c r="P35">
        <f t="shared" si="4"/>
        <v>0.46642184795914016</v>
      </c>
      <c r="Q35">
        <f>VLOOKUP(C35,Sheet2!A:AU,47,0)</f>
        <v>0.21996615962150937</v>
      </c>
      <c r="R35">
        <f t="shared" si="5"/>
        <v>0.68638800758064955</v>
      </c>
    </row>
    <row r="36" spans="1:18" x14ac:dyDescent="0.3">
      <c r="A36" s="1">
        <v>34</v>
      </c>
      <c r="B36">
        <v>34</v>
      </c>
      <c r="C36" t="s">
        <v>62</v>
      </c>
      <c r="D36" t="s">
        <v>39</v>
      </c>
      <c r="E36">
        <v>2</v>
      </c>
      <c r="F36" t="s">
        <v>12</v>
      </c>
      <c r="G36">
        <v>26205</v>
      </c>
      <c r="H36">
        <v>7.6321312726578897E-2</v>
      </c>
      <c r="I36">
        <v>6.9348167025274396E-2</v>
      </c>
      <c r="J36">
        <v>3.0651889825171002E-3</v>
      </c>
      <c r="K36">
        <v>6.9348167025274483</v>
      </c>
      <c r="L36">
        <f t="shared" si="0"/>
        <v>0.4</v>
      </c>
      <c r="M36">
        <f t="shared" si="1"/>
        <v>0</v>
      </c>
      <c r="N36">
        <f t="shared" si="2"/>
        <v>0.19080328181644723</v>
      </c>
      <c r="O36">
        <f t="shared" si="3"/>
        <v>8.433505056286969E-3</v>
      </c>
      <c r="P36">
        <f t="shared" si="4"/>
        <v>0.84335050562869696</v>
      </c>
      <c r="Q36">
        <f>VLOOKUP(C36,Sheet2!A:AU,47,0)</f>
        <v>0.75226564986494293</v>
      </c>
      <c r="R36">
        <f t="shared" si="5"/>
        <v>1.5956161554936399</v>
      </c>
    </row>
    <row r="37" spans="1:18" x14ac:dyDescent="0.3">
      <c r="A37" s="1">
        <v>35</v>
      </c>
      <c r="B37">
        <v>35</v>
      </c>
      <c r="C37" t="s">
        <v>63</v>
      </c>
      <c r="D37" t="s">
        <v>64</v>
      </c>
      <c r="E37">
        <v>2</v>
      </c>
      <c r="F37" t="s">
        <v>24</v>
      </c>
      <c r="G37">
        <v>20836</v>
      </c>
      <c r="H37">
        <v>9.5987713572662697E-2</v>
      </c>
      <c r="I37">
        <v>9.2245403044586602E-2</v>
      </c>
      <c r="J37">
        <v>4.0772468145706996E-3</v>
      </c>
      <c r="K37">
        <v>9.2245403044586602</v>
      </c>
      <c r="L37">
        <f t="shared" si="0"/>
        <v>0.4</v>
      </c>
      <c r="M37">
        <f t="shared" si="1"/>
        <v>0</v>
      </c>
      <c r="N37">
        <f t="shared" si="2"/>
        <v>0.23996928393165673</v>
      </c>
      <c r="O37">
        <f t="shared" si="3"/>
        <v>1.0606642349779228E-2</v>
      </c>
      <c r="P37">
        <f t="shared" si="4"/>
        <v>1.0606642349779227</v>
      </c>
      <c r="Q37">
        <f>VLOOKUP(C37,Sheet2!A:AU,47,0)</f>
        <v>2.641688588869521</v>
      </c>
      <c r="R37">
        <f t="shared" si="5"/>
        <v>3.7023528238474439</v>
      </c>
    </row>
    <row r="38" spans="1:18" x14ac:dyDescent="0.3">
      <c r="A38" s="1">
        <v>36</v>
      </c>
      <c r="B38">
        <v>36</v>
      </c>
      <c r="C38" t="s">
        <v>65</v>
      </c>
      <c r="D38" t="s">
        <v>66</v>
      </c>
      <c r="E38">
        <v>1</v>
      </c>
      <c r="F38" t="s">
        <v>24</v>
      </c>
      <c r="G38">
        <v>27072</v>
      </c>
      <c r="H38">
        <v>3.6938534278959802E-2</v>
      </c>
      <c r="I38">
        <v>2.34955079511062E-2</v>
      </c>
      <c r="J38">
        <v>1.0385014514388E-3</v>
      </c>
      <c r="K38">
        <v>2.3495507951106278</v>
      </c>
      <c r="L38">
        <f t="shared" si="0"/>
        <v>0.4</v>
      </c>
      <c r="M38">
        <f t="shared" si="1"/>
        <v>0</v>
      </c>
      <c r="N38">
        <f t="shared" si="2"/>
        <v>9.2346335697399501E-2</v>
      </c>
      <c r="O38">
        <f t="shared" si="3"/>
        <v>4.0817080378250581E-3</v>
      </c>
      <c r="P38">
        <f t="shared" si="4"/>
        <v>0.40817080378250581</v>
      </c>
      <c r="Q38">
        <f>VLOOKUP(C38,Sheet2!A:AU,47,0)</f>
        <v>0.58055658236859919</v>
      </c>
      <c r="R38">
        <f t="shared" si="5"/>
        <v>0.988727386151105</v>
      </c>
    </row>
    <row r="39" spans="1:18" x14ac:dyDescent="0.3">
      <c r="A39" s="1">
        <v>37</v>
      </c>
      <c r="B39">
        <v>37</v>
      </c>
      <c r="C39" t="s">
        <v>67</v>
      </c>
      <c r="D39" t="s">
        <v>11</v>
      </c>
      <c r="E39">
        <v>2</v>
      </c>
      <c r="F39" t="s">
        <v>12</v>
      </c>
      <c r="G39">
        <v>26107</v>
      </c>
      <c r="H39">
        <v>7.6607806335465503E-2</v>
      </c>
      <c r="I39">
        <v>6.9681726370069794E-2</v>
      </c>
      <c r="J39">
        <v>3.0799323055569999E-3</v>
      </c>
      <c r="K39">
        <v>6.968172637006985</v>
      </c>
      <c r="L39">
        <f t="shared" si="0"/>
        <v>0.4</v>
      </c>
      <c r="M39">
        <f t="shared" si="1"/>
        <v>0</v>
      </c>
      <c r="N39">
        <f t="shared" si="2"/>
        <v>0.19151951583866375</v>
      </c>
      <c r="O39">
        <f t="shared" si="3"/>
        <v>8.465162600068939E-3</v>
      </c>
      <c r="P39">
        <f t="shared" si="4"/>
        <v>0.84651626000689395</v>
      </c>
      <c r="Q39">
        <f>VLOOKUP(C39,Sheet2!A:AU,47,0)</f>
        <v>1.4240315974114677</v>
      </c>
      <c r="R39">
        <f t="shared" si="5"/>
        <v>2.2705478574183617</v>
      </c>
    </row>
    <row r="40" spans="1:18" x14ac:dyDescent="0.3">
      <c r="A40" s="1">
        <v>38</v>
      </c>
      <c r="B40">
        <v>38</v>
      </c>
      <c r="C40" t="s">
        <v>68</v>
      </c>
      <c r="D40" t="s">
        <v>11</v>
      </c>
      <c r="E40">
        <v>1</v>
      </c>
      <c r="F40" t="s">
        <v>12</v>
      </c>
      <c r="G40">
        <v>24885</v>
      </c>
      <c r="H40">
        <v>4.0184850311432499E-2</v>
      </c>
      <c r="I40">
        <v>2.7275135193048101E-2</v>
      </c>
      <c r="J40">
        <v>1.2055609755327E-3</v>
      </c>
      <c r="K40">
        <v>2.7275135193048108</v>
      </c>
      <c r="L40">
        <f t="shared" si="0"/>
        <v>0.4</v>
      </c>
      <c r="M40">
        <f t="shared" si="1"/>
        <v>0</v>
      </c>
      <c r="N40">
        <f t="shared" si="2"/>
        <v>0.10046212577858124</v>
      </c>
      <c r="O40">
        <f t="shared" si="3"/>
        <v>4.4404259594132914E-3</v>
      </c>
      <c r="P40">
        <f t="shared" si="4"/>
        <v>0.44404259594132917</v>
      </c>
      <c r="Q40">
        <f>VLOOKUP(C40,Sheet2!A:AU,47,0)</f>
        <v>0.73176941337884494</v>
      </c>
      <c r="R40">
        <f t="shared" si="5"/>
        <v>1.175812009320174</v>
      </c>
    </row>
    <row r="41" spans="1:18" x14ac:dyDescent="0.3">
      <c r="A41" s="1">
        <v>39</v>
      </c>
      <c r="B41">
        <v>39</v>
      </c>
      <c r="C41" t="s">
        <v>69</v>
      </c>
      <c r="D41" t="s">
        <v>70</v>
      </c>
      <c r="E41">
        <v>3</v>
      </c>
      <c r="F41" t="s">
        <v>12</v>
      </c>
      <c r="G41">
        <v>35202</v>
      </c>
      <c r="H41">
        <v>8.5222430543719099E-2</v>
      </c>
      <c r="I41">
        <v>7.9711578057616403E-2</v>
      </c>
      <c r="J41">
        <v>3.5232517501466E-3</v>
      </c>
      <c r="K41">
        <v>7.9711578057616421</v>
      </c>
      <c r="L41">
        <f t="shared" si="0"/>
        <v>0.4</v>
      </c>
      <c r="M41">
        <f t="shared" si="1"/>
        <v>0</v>
      </c>
      <c r="N41">
        <f t="shared" si="2"/>
        <v>0.21305607635929774</v>
      </c>
      <c r="O41">
        <f t="shared" si="3"/>
        <v>9.4170785750809609E-3</v>
      </c>
      <c r="P41">
        <f t="shared" si="4"/>
        <v>0.94170785750809605</v>
      </c>
      <c r="Q41">
        <f>VLOOKUP(C41,Sheet2!A:AU,47,0)</f>
        <v>2.3583996283962443</v>
      </c>
      <c r="R41">
        <f t="shared" si="5"/>
        <v>3.3001074859043404</v>
      </c>
    </row>
    <row r="42" spans="1:18" x14ac:dyDescent="0.3">
      <c r="A42" s="1">
        <v>40</v>
      </c>
      <c r="B42">
        <v>40</v>
      </c>
      <c r="C42" t="s">
        <v>71</v>
      </c>
      <c r="D42" t="s">
        <v>72</v>
      </c>
      <c r="E42">
        <v>3</v>
      </c>
      <c r="F42" t="s">
        <v>12</v>
      </c>
      <c r="G42">
        <v>28555</v>
      </c>
      <c r="H42">
        <v>0.1050604097355979</v>
      </c>
      <c r="I42">
        <v>0.1028085796522475</v>
      </c>
      <c r="J42">
        <v>4.5441392206293004E-3</v>
      </c>
      <c r="K42">
        <v>10.28085796522476</v>
      </c>
      <c r="L42">
        <f t="shared" si="0"/>
        <v>0.4</v>
      </c>
      <c r="M42">
        <f t="shared" si="1"/>
        <v>0</v>
      </c>
      <c r="N42">
        <f t="shared" si="2"/>
        <v>0.26265102433899473</v>
      </c>
      <c r="O42">
        <f t="shared" si="3"/>
        <v>1.1609175275783567E-2</v>
      </c>
      <c r="P42">
        <f t="shared" si="4"/>
        <v>1.1609175275783568</v>
      </c>
      <c r="Q42">
        <f>VLOOKUP(C42,Sheet2!A:AU,47,0)</f>
        <v>1.5739662059487074</v>
      </c>
      <c r="R42">
        <f t="shared" si="5"/>
        <v>2.7348837335270639</v>
      </c>
    </row>
    <row r="43" spans="1:18" x14ac:dyDescent="0.3">
      <c r="A43" s="1">
        <v>41</v>
      </c>
      <c r="B43">
        <v>41</v>
      </c>
      <c r="C43" t="s">
        <v>73</v>
      </c>
      <c r="D43" t="s">
        <v>74</v>
      </c>
      <c r="E43">
        <v>1</v>
      </c>
      <c r="F43" t="s">
        <v>17</v>
      </c>
      <c r="G43">
        <v>13791</v>
      </c>
      <c r="H43">
        <v>7.2511057936335194E-2</v>
      </c>
      <c r="I43">
        <v>6.49119560526248E-2</v>
      </c>
      <c r="J43">
        <v>2.8691084575260001E-3</v>
      </c>
      <c r="K43">
        <v>6.4911956052624866</v>
      </c>
      <c r="L43">
        <f t="shared" si="0"/>
        <v>0.4</v>
      </c>
      <c r="M43">
        <f t="shared" si="1"/>
        <v>0</v>
      </c>
      <c r="N43">
        <f t="shared" si="2"/>
        <v>0.18127764484083797</v>
      </c>
      <c r="O43">
        <f t="shared" si="3"/>
        <v>8.0124719019650393E-3</v>
      </c>
      <c r="P43">
        <f t="shared" si="4"/>
        <v>0.80124719019650392</v>
      </c>
      <c r="Q43">
        <f>VLOOKUP(C43,Sheet2!A:AU,47,0)</f>
        <v>1.5747769113407164</v>
      </c>
      <c r="R43">
        <f t="shared" si="5"/>
        <v>2.3760241015372205</v>
      </c>
    </row>
    <row r="44" spans="1:18" x14ac:dyDescent="0.3">
      <c r="A44" s="1">
        <v>42</v>
      </c>
      <c r="B44">
        <v>42</v>
      </c>
      <c r="C44" t="s">
        <v>75</v>
      </c>
      <c r="D44" t="s">
        <v>66</v>
      </c>
      <c r="E44">
        <v>1</v>
      </c>
      <c r="F44" t="s">
        <v>24</v>
      </c>
      <c r="G44">
        <v>33060</v>
      </c>
      <c r="H44">
        <v>3.0248033877797901E-2</v>
      </c>
      <c r="I44">
        <v>1.5705878929931701E-2</v>
      </c>
      <c r="J44">
        <v>6.941998487029E-4</v>
      </c>
      <c r="K44">
        <v>1.570587892993174</v>
      </c>
      <c r="L44">
        <f t="shared" si="0"/>
        <v>0.4</v>
      </c>
      <c r="M44">
        <f t="shared" si="1"/>
        <v>0</v>
      </c>
      <c r="N44">
        <f t="shared" si="2"/>
        <v>7.5620084694494744E-2</v>
      </c>
      <c r="O44">
        <f t="shared" si="3"/>
        <v>3.3424077434966678E-3</v>
      </c>
      <c r="P44">
        <f t="shared" si="4"/>
        <v>0.33424077434966676</v>
      </c>
      <c r="Q44">
        <f>VLOOKUP(C44,Sheet2!A:AU,47,0)</f>
        <v>0.64074190596619385</v>
      </c>
      <c r="R44">
        <f t="shared" si="5"/>
        <v>0.97498268031586055</v>
      </c>
    </row>
    <row r="45" spans="1:18" x14ac:dyDescent="0.3">
      <c r="A45" s="1">
        <v>43</v>
      </c>
      <c r="B45">
        <v>43</v>
      </c>
      <c r="C45" t="s">
        <v>76</v>
      </c>
      <c r="D45" t="s">
        <v>77</v>
      </c>
      <c r="E45">
        <v>3</v>
      </c>
      <c r="F45" t="s">
        <v>24</v>
      </c>
      <c r="G45">
        <v>32075</v>
      </c>
      <c r="H45">
        <v>9.3530787217458999E-2</v>
      </c>
      <c r="I45">
        <v>8.9384847975184104E-2</v>
      </c>
      <c r="J45">
        <v>3.9508102805030998E-3</v>
      </c>
      <c r="K45">
        <v>8.9384847975184147</v>
      </c>
      <c r="L45">
        <f t="shared" si="0"/>
        <v>0.4</v>
      </c>
      <c r="M45">
        <f t="shared" si="1"/>
        <v>0</v>
      </c>
      <c r="N45">
        <f t="shared" si="2"/>
        <v>0.2338269680436475</v>
      </c>
      <c r="O45">
        <f t="shared" si="3"/>
        <v>1.0335151987529221E-2</v>
      </c>
      <c r="P45">
        <f t="shared" si="4"/>
        <v>1.0335151987529221</v>
      </c>
      <c r="Q45">
        <f>VLOOKUP(C45,Sheet2!A:AU,47,0)</f>
        <v>2.6411815042872688</v>
      </c>
      <c r="R45">
        <f t="shared" si="5"/>
        <v>3.6746967030401909</v>
      </c>
    </row>
    <row r="46" spans="1:18" x14ac:dyDescent="0.3">
      <c r="A46" s="1">
        <v>44</v>
      </c>
      <c r="B46">
        <v>44</v>
      </c>
      <c r="C46" t="s">
        <v>78</v>
      </c>
      <c r="D46" t="s">
        <v>79</v>
      </c>
      <c r="E46">
        <v>1</v>
      </c>
      <c r="F46" t="s">
        <v>24</v>
      </c>
      <c r="G46">
        <v>6709</v>
      </c>
      <c r="H46">
        <v>0.14905351021016541</v>
      </c>
      <c r="I46">
        <v>0.15402895356159321</v>
      </c>
      <c r="J46">
        <v>6.8080797474223999E-3</v>
      </c>
      <c r="K46">
        <v>15.40289535615932</v>
      </c>
      <c r="L46">
        <f t="shared" si="0"/>
        <v>0.4</v>
      </c>
      <c r="M46">
        <f t="shared" si="1"/>
        <v>0</v>
      </c>
      <c r="N46">
        <f t="shared" si="2"/>
        <v>0.37263377552541349</v>
      </c>
      <c r="O46">
        <f t="shared" si="3"/>
        <v>1.6470412878223279E-2</v>
      </c>
      <c r="P46">
        <f t="shared" si="4"/>
        <v>1.6470412878223279</v>
      </c>
      <c r="Q46">
        <f>VLOOKUP(C46,Sheet2!A:AU,47,0)</f>
        <v>3.4191618640005985</v>
      </c>
      <c r="R46">
        <f t="shared" si="5"/>
        <v>5.0662031518229265</v>
      </c>
    </row>
    <row r="47" spans="1:18" x14ac:dyDescent="0.3">
      <c r="A47" s="1">
        <v>45</v>
      </c>
      <c r="B47">
        <v>45</v>
      </c>
      <c r="C47" t="s">
        <v>80</v>
      </c>
      <c r="D47" t="s">
        <v>79</v>
      </c>
      <c r="E47">
        <v>3</v>
      </c>
      <c r="F47" t="s">
        <v>24</v>
      </c>
      <c r="G47">
        <v>9004</v>
      </c>
      <c r="H47">
        <v>0.3331852509995557</v>
      </c>
      <c r="I47">
        <v>0.36841022039827698</v>
      </c>
      <c r="J47">
        <v>1.6283731741603798E-2</v>
      </c>
      <c r="K47">
        <v>36.841022039827699</v>
      </c>
      <c r="L47">
        <f t="shared" si="0"/>
        <v>0.4</v>
      </c>
      <c r="M47">
        <f t="shared" si="1"/>
        <v>0</v>
      </c>
      <c r="N47">
        <f t="shared" si="2"/>
        <v>0.83296312749888923</v>
      </c>
      <c r="O47">
        <f t="shared" si="3"/>
        <v>3.6816970235450906E-2</v>
      </c>
      <c r="P47">
        <f t="shared" si="4"/>
        <v>3.6816970235450905</v>
      </c>
      <c r="Q47">
        <f>VLOOKUP(C47,Sheet2!A:AU,47,0)</f>
        <v>8.0399999999999991</v>
      </c>
      <c r="R47">
        <f t="shared" si="5"/>
        <v>11.72169702354509</v>
      </c>
    </row>
    <row r="48" spans="1:18" x14ac:dyDescent="0.3">
      <c r="A48" s="1">
        <v>46</v>
      </c>
      <c r="B48">
        <v>46</v>
      </c>
      <c r="C48" t="s">
        <v>81</v>
      </c>
      <c r="D48" t="s">
        <v>79</v>
      </c>
      <c r="E48">
        <v>3</v>
      </c>
      <c r="F48" t="s">
        <v>24</v>
      </c>
      <c r="G48">
        <v>11313</v>
      </c>
      <c r="H48">
        <v>0.26518164942985939</v>
      </c>
      <c r="I48">
        <v>0.28923485285182182</v>
      </c>
      <c r="J48">
        <v>1.27841804960505E-2</v>
      </c>
      <c r="K48">
        <v>28.923485285182181</v>
      </c>
      <c r="L48">
        <f t="shared" si="0"/>
        <v>0.4</v>
      </c>
      <c r="M48">
        <f t="shared" si="1"/>
        <v>0</v>
      </c>
      <c r="N48">
        <f t="shared" si="2"/>
        <v>0.66295412357464845</v>
      </c>
      <c r="O48">
        <f t="shared" si="3"/>
        <v>2.9302572261999463E-2</v>
      </c>
      <c r="P48">
        <f t="shared" si="4"/>
        <v>2.9302572261999464</v>
      </c>
      <c r="Q48">
        <f>VLOOKUP(C48,Sheet2!A:AU,47,0)</f>
        <v>6.3960041703916035</v>
      </c>
      <c r="R48">
        <f t="shared" si="5"/>
        <v>9.3262613965915495</v>
      </c>
    </row>
    <row r="49" spans="1:18" x14ac:dyDescent="0.3">
      <c r="A49" s="1">
        <v>47</v>
      </c>
      <c r="B49">
        <v>47</v>
      </c>
      <c r="C49" t="s">
        <v>82</v>
      </c>
      <c r="D49" t="s">
        <v>79</v>
      </c>
      <c r="E49">
        <v>2</v>
      </c>
      <c r="F49" t="s">
        <v>24</v>
      </c>
      <c r="G49">
        <v>12467</v>
      </c>
      <c r="H49">
        <v>0.1604235180877516</v>
      </c>
      <c r="I49">
        <v>0.16726684878970621</v>
      </c>
      <c r="J49">
        <v>7.3931947165049999E-3</v>
      </c>
      <c r="K49">
        <v>16.72668487897062</v>
      </c>
      <c r="L49">
        <f t="shared" si="0"/>
        <v>0.4</v>
      </c>
      <c r="M49">
        <f t="shared" si="1"/>
        <v>0</v>
      </c>
      <c r="N49">
        <f t="shared" si="2"/>
        <v>0.40105879521937898</v>
      </c>
      <c r="O49">
        <f t="shared" si="3"/>
        <v>1.7726798748696551E-2</v>
      </c>
      <c r="P49">
        <f t="shared" si="4"/>
        <v>1.7726798748696551</v>
      </c>
      <c r="Q49">
        <f>VLOOKUP(C49,Sheet2!A:AU,47,0)</f>
        <v>2.6026611768308339</v>
      </c>
      <c r="R49">
        <f t="shared" si="5"/>
        <v>4.3753410517004889</v>
      </c>
    </row>
    <row r="50" spans="1:18" x14ac:dyDescent="0.3">
      <c r="A50" s="1">
        <v>48</v>
      </c>
      <c r="B50">
        <v>48</v>
      </c>
      <c r="C50" t="s">
        <v>83</v>
      </c>
      <c r="D50" t="s">
        <v>79</v>
      </c>
      <c r="E50">
        <v>6</v>
      </c>
      <c r="F50" t="s">
        <v>24</v>
      </c>
      <c r="G50">
        <v>25238</v>
      </c>
      <c r="H50">
        <v>0.23773674617640059</v>
      </c>
      <c r="I50">
        <v>0.2572812466866769</v>
      </c>
      <c r="J50">
        <v>1.1371831103551101E-2</v>
      </c>
      <c r="K50">
        <v>25.7281246686677</v>
      </c>
      <c r="L50">
        <f t="shared" si="0"/>
        <v>0.4</v>
      </c>
      <c r="M50">
        <f t="shared" si="1"/>
        <v>0</v>
      </c>
      <c r="N50">
        <f t="shared" si="2"/>
        <v>0.59434186544100143</v>
      </c>
      <c r="O50">
        <f t="shared" si="3"/>
        <v>2.6269910452492266E-2</v>
      </c>
      <c r="P50">
        <f t="shared" si="4"/>
        <v>2.6269910452492264</v>
      </c>
      <c r="Q50">
        <f>VLOOKUP(C50,Sheet2!A:AU,47,0)</f>
        <v>4.4240385272691487</v>
      </c>
      <c r="R50">
        <f t="shared" si="5"/>
        <v>7.0510295725183756</v>
      </c>
    </row>
    <row r="51" spans="1:18" x14ac:dyDescent="0.3">
      <c r="A51" s="1">
        <v>49</v>
      </c>
      <c r="B51">
        <v>49</v>
      </c>
      <c r="C51" t="s">
        <v>84</v>
      </c>
      <c r="D51" t="s">
        <v>85</v>
      </c>
      <c r="E51">
        <v>2</v>
      </c>
      <c r="F51" t="s">
        <v>24</v>
      </c>
      <c r="G51">
        <v>18029</v>
      </c>
      <c r="H51">
        <v>0.11093238671029999</v>
      </c>
      <c r="I51">
        <v>0.10964521660183429</v>
      </c>
      <c r="J51">
        <v>4.8463185738010003E-3</v>
      </c>
      <c r="K51">
        <v>10.964521660183429</v>
      </c>
      <c r="L51">
        <f t="shared" si="0"/>
        <v>0.4</v>
      </c>
      <c r="M51">
        <f t="shared" si="1"/>
        <v>0</v>
      </c>
      <c r="N51">
        <f t="shared" si="2"/>
        <v>0.27733096677574998</v>
      </c>
      <c r="O51">
        <f t="shared" si="3"/>
        <v>1.225802873148815E-2</v>
      </c>
      <c r="P51">
        <f t="shared" si="4"/>
        <v>1.2258028731488151</v>
      </c>
      <c r="Q51">
        <f>VLOOKUP(C51,Sheet2!A:AU,47,0)</f>
        <v>2.8244498997390557</v>
      </c>
      <c r="R51">
        <f t="shared" si="5"/>
        <v>4.0502527728878706</v>
      </c>
    </row>
    <row r="52" spans="1:18" x14ac:dyDescent="0.3">
      <c r="A52" s="1">
        <v>50</v>
      </c>
      <c r="B52">
        <v>50</v>
      </c>
      <c r="C52" t="s">
        <v>86</v>
      </c>
      <c r="D52" t="s">
        <v>31</v>
      </c>
      <c r="E52">
        <v>4</v>
      </c>
      <c r="F52" t="s">
        <v>24</v>
      </c>
      <c r="G52">
        <v>14580</v>
      </c>
      <c r="H52">
        <v>0.2743484224965706</v>
      </c>
      <c r="I52">
        <v>0.29990756150281811</v>
      </c>
      <c r="J52">
        <v>1.32559142184245E-2</v>
      </c>
      <c r="K52">
        <v>29.990756150281818</v>
      </c>
      <c r="L52">
        <f t="shared" si="0"/>
        <v>0.4</v>
      </c>
      <c r="M52">
        <f t="shared" si="1"/>
        <v>0</v>
      </c>
      <c r="N52">
        <f t="shared" si="2"/>
        <v>0.68587105624142641</v>
      </c>
      <c r="O52">
        <f t="shared" si="3"/>
        <v>3.031550068587105E-2</v>
      </c>
      <c r="P52">
        <f t="shared" si="4"/>
        <v>3.0315500685871051</v>
      </c>
      <c r="Q52">
        <f>VLOOKUP(C52,Sheet2!A:AU,47,0)</f>
        <v>8.0399999999999991</v>
      </c>
      <c r="R52">
        <f t="shared" si="5"/>
        <v>11.071550068587104</v>
      </c>
    </row>
    <row r="53" spans="1:18" x14ac:dyDescent="0.3">
      <c r="A53" s="1">
        <v>51</v>
      </c>
      <c r="B53">
        <v>51</v>
      </c>
      <c r="C53" t="s">
        <v>87</v>
      </c>
      <c r="D53" t="s">
        <v>31</v>
      </c>
      <c r="E53">
        <v>1</v>
      </c>
      <c r="F53" t="s">
        <v>24</v>
      </c>
      <c r="G53">
        <v>20571</v>
      </c>
      <c r="H53">
        <v>4.8612123863691598E-2</v>
      </c>
      <c r="I53">
        <v>3.7086857888805398E-2</v>
      </c>
      <c r="J53">
        <v>1.6392391186851999E-3</v>
      </c>
      <c r="K53">
        <v>3.708685788880544</v>
      </c>
      <c r="L53">
        <f t="shared" si="0"/>
        <v>0.4</v>
      </c>
      <c r="M53">
        <f t="shared" si="1"/>
        <v>0</v>
      </c>
      <c r="N53">
        <f t="shared" si="2"/>
        <v>0.12153030965922899</v>
      </c>
      <c r="O53">
        <f t="shared" si="3"/>
        <v>5.3716396869379216E-3</v>
      </c>
      <c r="P53">
        <f t="shared" si="4"/>
        <v>0.53716396869379213</v>
      </c>
      <c r="Q53">
        <f>VLOOKUP(C53,Sheet2!A:AU,47,0)</f>
        <v>0.64694066612076162</v>
      </c>
      <c r="R53">
        <f t="shared" si="5"/>
        <v>1.1841046348145539</v>
      </c>
    </row>
    <row r="54" spans="1:18" x14ac:dyDescent="0.3">
      <c r="A54" s="1">
        <v>52</v>
      </c>
      <c r="B54">
        <v>52</v>
      </c>
      <c r="C54" t="s">
        <v>88</v>
      </c>
      <c r="D54" t="s">
        <v>89</v>
      </c>
      <c r="E54">
        <v>1</v>
      </c>
      <c r="F54" t="s">
        <v>24</v>
      </c>
      <c r="G54">
        <v>39803</v>
      </c>
      <c r="H54">
        <v>2.5123734391879999E-2</v>
      </c>
      <c r="I54">
        <v>9.7397494036911003E-3</v>
      </c>
      <c r="J54">
        <v>4.3049692364309998E-4</v>
      </c>
      <c r="K54">
        <v>0.97397494036911858</v>
      </c>
      <c r="L54">
        <f t="shared" si="0"/>
        <v>0.4</v>
      </c>
      <c r="M54">
        <f t="shared" si="1"/>
        <v>0</v>
      </c>
      <c r="N54">
        <f t="shared" si="2"/>
        <v>6.2809335979699996E-2</v>
      </c>
      <c r="O54">
        <f t="shared" si="3"/>
        <v>2.77617265030274E-3</v>
      </c>
      <c r="P54">
        <f t="shared" si="4"/>
        <v>0.27761726503027401</v>
      </c>
      <c r="Q54">
        <f>VLOOKUP(C54,Sheet2!A:AU,47,0)</f>
        <v>0.23251872874562979</v>
      </c>
      <c r="R54">
        <f t="shared" si="5"/>
        <v>0.5101359937759038</v>
      </c>
    </row>
    <row r="55" spans="1:18" x14ac:dyDescent="0.3">
      <c r="A55" s="1">
        <v>53</v>
      </c>
      <c r="B55">
        <v>53</v>
      </c>
      <c r="C55" t="s">
        <v>90</v>
      </c>
      <c r="D55" t="s">
        <v>91</v>
      </c>
      <c r="E55">
        <v>1</v>
      </c>
      <c r="F55" t="s">
        <v>24</v>
      </c>
      <c r="G55">
        <v>45630</v>
      </c>
      <c r="H55">
        <v>2.19154065307911E-2</v>
      </c>
      <c r="I55">
        <v>6.0043511049568997E-3</v>
      </c>
      <c r="J55">
        <v>2.65392318839E-4</v>
      </c>
      <c r="K55">
        <v>0.6004351104956972</v>
      </c>
      <c r="L55">
        <f t="shared" si="0"/>
        <v>0.4</v>
      </c>
      <c r="M55">
        <f t="shared" si="1"/>
        <v>0</v>
      </c>
      <c r="N55">
        <f t="shared" si="2"/>
        <v>5.4788516326977746E-2</v>
      </c>
      <c r="O55">
        <f t="shared" si="3"/>
        <v>2.4216524216524164E-3</v>
      </c>
      <c r="P55">
        <f t="shared" si="4"/>
        <v>0.24216524216524163</v>
      </c>
      <c r="Q55">
        <f>VLOOKUP(C55,Sheet2!A:AU,47,0)</f>
        <v>3.9827435869587369E-2</v>
      </c>
      <c r="R55">
        <f t="shared" si="5"/>
        <v>0.28199267803482897</v>
      </c>
    </row>
    <row r="56" spans="1:18" x14ac:dyDescent="0.3">
      <c r="A56" s="1">
        <v>54</v>
      </c>
      <c r="B56">
        <v>54</v>
      </c>
      <c r="C56" t="s">
        <v>92</v>
      </c>
      <c r="D56" t="s">
        <v>11</v>
      </c>
      <c r="E56">
        <v>1</v>
      </c>
      <c r="F56" t="s">
        <v>12</v>
      </c>
      <c r="G56">
        <v>21691</v>
      </c>
      <c r="H56">
        <v>4.6102069982942202E-2</v>
      </c>
      <c r="I56">
        <v>3.4164447399030698E-2</v>
      </c>
      <c r="J56">
        <v>1.5100685750371E-3</v>
      </c>
      <c r="K56">
        <v>3.4164447399030768</v>
      </c>
      <c r="L56">
        <f t="shared" si="0"/>
        <v>0.4</v>
      </c>
      <c r="M56">
        <f t="shared" si="1"/>
        <v>0</v>
      </c>
      <c r="N56">
        <f t="shared" si="2"/>
        <v>0.1152551749573555</v>
      </c>
      <c r="O56">
        <f t="shared" si="3"/>
        <v>5.0942787331151136E-3</v>
      </c>
      <c r="P56">
        <f t="shared" si="4"/>
        <v>0.5094278733115114</v>
      </c>
      <c r="Q56">
        <f>VLOOKUP(C56,Sheet2!A:AU,47,0)</f>
        <v>1.6170952928006674</v>
      </c>
      <c r="R56">
        <f t="shared" si="5"/>
        <v>2.1265231661121788</v>
      </c>
    </row>
    <row r="57" spans="1:18" x14ac:dyDescent="0.3">
      <c r="A57" s="1">
        <v>55</v>
      </c>
      <c r="B57">
        <v>55</v>
      </c>
      <c r="C57" t="s">
        <v>93</v>
      </c>
      <c r="D57" t="s">
        <v>11</v>
      </c>
      <c r="E57">
        <v>1</v>
      </c>
      <c r="F57" t="s">
        <v>12</v>
      </c>
      <c r="G57">
        <v>22661</v>
      </c>
      <c r="H57">
        <v>4.4128679228630598E-2</v>
      </c>
      <c r="I57">
        <v>3.1866864114044602E-2</v>
      </c>
      <c r="J57">
        <v>1.4085153938407E-3</v>
      </c>
      <c r="K57">
        <v>3.1866864114044611</v>
      </c>
      <c r="L57">
        <f t="shared" si="0"/>
        <v>0.4</v>
      </c>
      <c r="M57">
        <f t="shared" si="1"/>
        <v>0</v>
      </c>
      <c r="N57">
        <f t="shared" si="2"/>
        <v>0.11032169807157649</v>
      </c>
      <c r="O57">
        <f t="shared" si="3"/>
        <v>4.8762190547636816E-3</v>
      </c>
      <c r="P57">
        <f t="shared" si="4"/>
        <v>0.48762190547636819</v>
      </c>
      <c r="Q57">
        <f>VLOOKUP(C57,Sheet2!A:AU,47,0)</f>
        <v>1.2478435049144692</v>
      </c>
      <c r="R57">
        <f t="shared" si="5"/>
        <v>1.7354654103908373</v>
      </c>
    </row>
    <row r="58" spans="1:18" x14ac:dyDescent="0.3">
      <c r="A58" s="1">
        <v>56</v>
      </c>
      <c r="B58">
        <v>56</v>
      </c>
      <c r="C58" t="s">
        <v>94</v>
      </c>
      <c r="D58" t="s">
        <v>11</v>
      </c>
      <c r="E58">
        <v>3</v>
      </c>
      <c r="F58" t="s">
        <v>12</v>
      </c>
      <c r="G58">
        <v>17688</v>
      </c>
      <c r="H58">
        <v>0.1696065128900949</v>
      </c>
      <c r="I58">
        <v>0.17795844411510309</v>
      </c>
      <c r="J58">
        <v>7.8657632298874992E-3</v>
      </c>
      <c r="K58">
        <v>17.795844411510309</v>
      </c>
      <c r="L58">
        <f t="shared" si="0"/>
        <v>0.4</v>
      </c>
      <c r="M58">
        <f t="shared" si="1"/>
        <v>0</v>
      </c>
      <c r="N58">
        <f t="shared" si="2"/>
        <v>0.42401628222523724</v>
      </c>
      <c r="O58">
        <f t="shared" si="3"/>
        <v>1.8741519674355486E-2</v>
      </c>
      <c r="P58">
        <f t="shared" si="4"/>
        <v>1.8741519674355487</v>
      </c>
      <c r="Q58">
        <f>VLOOKUP(C58,Sheet2!A:AU,47,0)</f>
        <v>7.1243582522631455</v>
      </c>
      <c r="R58">
        <f t="shared" si="5"/>
        <v>8.9985102196986944</v>
      </c>
    </row>
    <row r="59" spans="1:18" x14ac:dyDescent="0.3">
      <c r="A59" s="1">
        <v>57</v>
      </c>
      <c r="B59">
        <v>57</v>
      </c>
      <c r="C59" t="s">
        <v>95</v>
      </c>
      <c r="D59" t="s">
        <v>11</v>
      </c>
      <c r="E59">
        <v>2</v>
      </c>
      <c r="F59" t="s">
        <v>12</v>
      </c>
      <c r="G59">
        <v>28473</v>
      </c>
      <c r="H59">
        <v>7.0241983633617805E-2</v>
      </c>
      <c r="I59">
        <v>6.2270113741909203E-2</v>
      </c>
      <c r="J59">
        <v>2.7523390273923001E-3</v>
      </c>
      <c r="K59">
        <v>6.2270113741909228</v>
      </c>
      <c r="L59">
        <f t="shared" si="0"/>
        <v>0.4</v>
      </c>
      <c r="M59">
        <f t="shared" si="1"/>
        <v>0</v>
      </c>
      <c r="N59">
        <f t="shared" si="2"/>
        <v>0.1756049590840445</v>
      </c>
      <c r="O59">
        <f t="shared" si="3"/>
        <v>7.7617391915147677E-3</v>
      </c>
      <c r="P59">
        <f t="shared" si="4"/>
        <v>0.77617391915147682</v>
      </c>
      <c r="Q59">
        <f>VLOOKUP(C59,Sheet2!A:AU,47,0)</f>
        <v>1.9940133086879566</v>
      </c>
      <c r="R59">
        <f t="shared" si="5"/>
        <v>2.7701872278394335</v>
      </c>
    </row>
    <row r="60" spans="1:18" x14ac:dyDescent="0.3">
      <c r="A60" s="1">
        <v>58</v>
      </c>
      <c r="B60">
        <v>58</v>
      </c>
      <c r="C60" t="s">
        <v>96</v>
      </c>
      <c r="D60" t="s">
        <v>97</v>
      </c>
      <c r="E60">
        <v>1</v>
      </c>
      <c r="F60" t="s">
        <v>24</v>
      </c>
      <c r="G60">
        <v>27879</v>
      </c>
      <c r="H60">
        <v>3.5869292298862897E-2</v>
      </c>
      <c r="I60">
        <v>2.2250608786706799E-2</v>
      </c>
      <c r="J60">
        <v>9.8347690837239992E-4</v>
      </c>
      <c r="K60">
        <v>2.2250608786706811</v>
      </c>
      <c r="L60">
        <f t="shared" si="0"/>
        <v>0.4</v>
      </c>
      <c r="M60">
        <f t="shared" si="1"/>
        <v>0</v>
      </c>
      <c r="N60">
        <f t="shared" si="2"/>
        <v>8.9673230747157232E-2</v>
      </c>
      <c r="O60">
        <f t="shared" si="3"/>
        <v>3.9635567990243502E-3</v>
      </c>
      <c r="P60">
        <f t="shared" si="4"/>
        <v>0.39635567990243503</v>
      </c>
      <c r="Q60">
        <f>VLOOKUP(C60,Sheet2!A:AU,47,0)</f>
        <v>0.55529983243909187</v>
      </c>
      <c r="R60">
        <f t="shared" si="5"/>
        <v>0.9516555123415269</v>
      </c>
    </row>
    <row r="61" spans="1:18" x14ac:dyDescent="0.3">
      <c r="A61" s="1">
        <v>59</v>
      </c>
      <c r="B61">
        <v>59</v>
      </c>
      <c r="C61" t="s">
        <v>98</v>
      </c>
      <c r="D61" t="s">
        <v>36</v>
      </c>
      <c r="E61">
        <v>2</v>
      </c>
      <c r="F61" t="s">
        <v>12</v>
      </c>
      <c r="G61">
        <v>30587</v>
      </c>
      <c r="H61">
        <v>6.5387256023800897E-2</v>
      </c>
      <c r="I61">
        <v>5.6617841891995001E-2</v>
      </c>
      <c r="J61">
        <v>2.5025086116261001E-3</v>
      </c>
      <c r="K61">
        <v>5.661784189199504</v>
      </c>
      <c r="L61">
        <f t="shared" si="0"/>
        <v>0.4</v>
      </c>
      <c r="M61">
        <f t="shared" si="1"/>
        <v>0</v>
      </c>
      <c r="N61">
        <f t="shared" si="2"/>
        <v>0.16346814005950222</v>
      </c>
      <c r="O61">
        <f t="shared" si="3"/>
        <v>7.225291790629999E-3</v>
      </c>
      <c r="P61">
        <f t="shared" si="4"/>
        <v>0.72252917906299985</v>
      </c>
      <c r="Q61">
        <f>VLOOKUP(C61,Sheet2!A:AU,47,0)</f>
        <v>1.5549203459193153</v>
      </c>
      <c r="R61">
        <f t="shared" si="5"/>
        <v>2.2774495249823152</v>
      </c>
    </row>
    <row r="62" spans="1:18" x14ac:dyDescent="0.3">
      <c r="A62" s="1">
        <v>60</v>
      </c>
      <c r="B62">
        <v>60</v>
      </c>
      <c r="C62" t="s">
        <v>99</v>
      </c>
      <c r="D62" t="s">
        <v>89</v>
      </c>
      <c r="E62">
        <v>1</v>
      </c>
      <c r="F62" t="s">
        <v>24</v>
      </c>
      <c r="G62">
        <v>38324</v>
      </c>
      <c r="H62">
        <v>2.60933096753992E-2</v>
      </c>
      <c r="I62">
        <v>1.0868608429751901E-2</v>
      </c>
      <c r="J62">
        <v>4.80392492595E-4</v>
      </c>
      <c r="K62">
        <v>1.0868608429751969</v>
      </c>
      <c r="L62">
        <f t="shared" si="0"/>
        <v>0.4</v>
      </c>
      <c r="M62">
        <f t="shared" si="1"/>
        <v>0</v>
      </c>
      <c r="N62">
        <f t="shared" si="2"/>
        <v>6.5233274188498003E-2</v>
      </c>
      <c r="O62">
        <f t="shared" si="3"/>
        <v>2.8833107191316119E-3</v>
      </c>
      <c r="P62">
        <f t="shared" si="4"/>
        <v>0.28833107191316121</v>
      </c>
      <c r="Q62">
        <f>VLOOKUP(C62,Sheet2!A:AU,47,0)</f>
        <v>0.21822499380876559</v>
      </c>
      <c r="R62">
        <f t="shared" si="5"/>
        <v>0.5065560657219268</v>
      </c>
    </row>
    <row r="63" spans="1:18" x14ac:dyDescent="0.3">
      <c r="A63" s="1">
        <v>61</v>
      </c>
      <c r="B63">
        <v>61</v>
      </c>
      <c r="C63" t="s">
        <v>100</v>
      </c>
      <c r="D63" t="s">
        <v>26</v>
      </c>
      <c r="E63">
        <v>2</v>
      </c>
      <c r="F63" t="s">
        <v>17</v>
      </c>
      <c r="G63">
        <v>30213</v>
      </c>
      <c r="H63">
        <v>6.6196670307483496E-2</v>
      </c>
      <c r="I63">
        <v>5.7560228352839103E-2</v>
      </c>
      <c r="J63">
        <v>2.5441620931954002E-3</v>
      </c>
      <c r="K63">
        <v>5.7560228352839156</v>
      </c>
      <c r="L63">
        <f t="shared" si="0"/>
        <v>0.4</v>
      </c>
      <c r="M63">
        <f t="shared" si="1"/>
        <v>0</v>
      </c>
      <c r="N63">
        <f t="shared" si="2"/>
        <v>0.16549167576870874</v>
      </c>
      <c r="O63">
        <f t="shared" si="3"/>
        <v>7.3147320689769266E-3</v>
      </c>
      <c r="P63">
        <f t="shared" si="4"/>
        <v>0.73147320689769268</v>
      </c>
      <c r="Q63">
        <f>VLOOKUP(C63,Sheet2!A:AU,47,0)</f>
        <v>0.95171901894242095</v>
      </c>
      <c r="R63">
        <f t="shared" si="5"/>
        <v>1.6831922258401137</v>
      </c>
    </row>
    <row r="64" spans="1:18" x14ac:dyDescent="0.3">
      <c r="A64" s="1">
        <v>62</v>
      </c>
      <c r="B64">
        <v>62</v>
      </c>
      <c r="C64" t="s">
        <v>101</v>
      </c>
      <c r="D64" t="s">
        <v>26</v>
      </c>
      <c r="E64">
        <v>3</v>
      </c>
      <c r="F64" t="s">
        <v>17</v>
      </c>
      <c r="G64">
        <v>36606</v>
      </c>
      <c r="H64">
        <v>8.1953778069168898E-2</v>
      </c>
      <c r="I64">
        <v>7.5905944898777E-2</v>
      </c>
      <c r="J64">
        <v>3.3550427645259E-3</v>
      </c>
      <c r="K64">
        <v>7.5905944898777058</v>
      </c>
      <c r="L64">
        <f t="shared" si="0"/>
        <v>0.4</v>
      </c>
      <c r="M64">
        <f t="shared" si="1"/>
        <v>0</v>
      </c>
      <c r="N64">
        <f t="shared" si="2"/>
        <v>0.20488444517292223</v>
      </c>
      <c r="O64">
        <f t="shared" si="3"/>
        <v>9.0558924766431636E-3</v>
      </c>
      <c r="P64">
        <f t="shared" si="4"/>
        <v>0.90558924766431637</v>
      </c>
      <c r="Q64">
        <f>VLOOKUP(C64,Sheet2!A:AU,47,0)</f>
        <v>0.99523141835390161</v>
      </c>
      <c r="R64">
        <f t="shared" si="5"/>
        <v>1.9008206660182179</v>
      </c>
    </row>
    <row r="65" spans="1:18" x14ac:dyDescent="0.3">
      <c r="A65" s="1">
        <v>63</v>
      </c>
      <c r="B65">
        <v>63</v>
      </c>
      <c r="C65" t="s">
        <v>102</v>
      </c>
      <c r="D65" t="s">
        <v>26</v>
      </c>
      <c r="E65">
        <v>2</v>
      </c>
      <c r="F65" t="s">
        <v>17</v>
      </c>
      <c r="G65">
        <v>27759</v>
      </c>
      <c r="H65">
        <v>7.2048704924528903E-2</v>
      </c>
      <c r="I65">
        <v>6.4373646774866095E-2</v>
      </c>
      <c r="J65">
        <v>2.8453151874490001E-3</v>
      </c>
      <c r="K65">
        <v>6.4373646774866149</v>
      </c>
      <c r="L65">
        <f t="shared" si="0"/>
        <v>0.4</v>
      </c>
      <c r="M65">
        <f t="shared" si="1"/>
        <v>0</v>
      </c>
      <c r="N65">
        <f t="shared" si="2"/>
        <v>0.18012176231132224</v>
      </c>
      <c r="O65">
        <f t="shared" si="3"/>
        <v>7.9613818941604436E-3</v>
      </c>
      <c r="P65">
        <f t="shared" si="4"/>
        <v>0.79613818941604442</v>
      </c>
      <c r="Q65">
        <f>VLOOKUP(C65,Sheet2!A:AU,47,0)</f>
        <v>2.2214209801585341</v>
      </c>
      <c r="R65">
        <f t="shared" si="5"/>
        <v>3.0175591695745787</v>
      </c>
    </row>
    <row r="66" spans="1:18" x14ac:dyDescent="0.3">
      <c r="A66" s="1">
        <v>64</v>
      </c>
      <c r="B66">
        <v>64</v>
      </c>
      <c r="C66" t="s">
        <v>103</v>
      </c>
      <c r="D66" t="s">
        <v>26</v>
      </c>
      <c r="E66">
        <v>3</v>
      </c>
      <c r="F66" t="s">
        <v>17</v>
      </c>
      <c r="G66">
        <v>12687</v>
      </c>
      <c r="H66">
        <v>0.2364625206904705</v>
      </c>
      <c r="I66">
        <v>0.2557976889212521</v>
      </c>
      <c r="J66">
        <v>1.1306257850319299E-2</v>
      </c>
      <c r="K66">
        <v>25.57976889212522</v>
      </c>
      <c r="L66">
        <f t="shared" si="0"/>
        <v>0.4</v>
      </c>
      <c r="M66">
        <f t="shared" si="1"/>
        <v>0</v>
      </c>
      <c r="N66">
        <f t="shared" si="2"/>
        <v>0.59115630172617617</v>
      </c>
      <c r="O66">
        <f t="shared" si="3"/>
        <v>2.6129108536296988E-2</v>
      </c>
      <c r="P66">
        <f t="shared" si="4"/>
        <v>2.6129108536296988</v>
      </c>
      <c r="Q66">
        <f>VLOOKUP(C66,Sheet2!A:AU,47,0)</f>
        <v>8.0399999999999991</v>
      </c>
      <c r="R66">
        <f t="shared" si="5"/>
        <v>10.652910853629699</v>
      </c>
    </row>
    <row r="67" spans="1:18" x14ac:dyDescent="0.3">
      <c r="A67" s="1">
        <v>65</v>
      </c>
      <c r="B67">
        <v>65</v>
      </c>
      <c r="C67" t="s">
        <v>104</v>
      </c>
      <c r="D67" t="s">
        <v>105</v>
      </c>
      <c r="E67">
        <v>1</v>
      </c>
      <c r="F67" t="s">
        <v>12</v>
      </c>
      <c r="G67">
        <v>22830</v>
      </c>
      <c r="H67">
        <v>4.3802014892685003E-2</v>
      </c>
      <c r="I67">
        <v>3.1486534715809603E-2</v>
      </c>
      <c r="J67">
        <v>1.3917048344386999E-3</v>
      </c>
      <c r="K67">
        <v>3.148653471580964</v>
      </c>
      <c r="L67">
        <f t="shared" ref="L67:L130" si="6">MAX(H:H)</f>
        <v>0.4</v>
      </c>
      <c r="M67">
        <f t="shared" ref="M67:M130" si="7">MIN(H:H)</f>
        <v>0</v>
      </c>
      <c r="N67">
        <f t="shared" ref="N67:N130" si="8">(H67-M67)/(L67-M67)</f>
        <v>0.1095050372317125</v>
      </c>
      <c r="O67">
        <f t="shared" ref="O67:O130" si="9">N67*0.0442</f>
        <v>4.8401226456416925E-3</v>
      </c>
      <c r="P67">
        <f t="shared" ref="P67:P130" si="10">O67*100</f>
        <v>0.48401226456416924</v>
      </c>
      <c r="Q67">
        <f>VLOOKUP(C67,Sheet2!A:AU,47,0)</f>
        <v>1.3675720583957702</v>
      </c>
      <c r="R67">
        <f t="shared" ref="R67:R130" si="11">IFERROR((P67+Q67),0)</f>
        <v>1.8515843229599396</v>
      </c>
    </row>
    <row r="68" spans="1:18" x14ac:dyDescent="0.3">
      <c r="A68" s="1">
        <v>66</v>
      </c>
      <c r="B68">
        <v>66</v>
      </c>
      <c r="C68" t="s">
        <v>106</v>
      </c>
      <c r="D68" t="s">
        <v>105</v>
      </c>
      <c r="E68">
        <v>1</v>
      </c>
      <c r="F68" t="s">
        <v>12</v>
      </c>
      <c r="G68">
        <v>24787</v>
      </c>
      <c r="H68">
        <v>4.0343728567394099E-2</v>
      </c>
      <c r="I68">
        <v>2.7460114282692401E-2</v>
      </c>
      <c r="J68">
        <v>1.213737051295E-3</v>
      </c>
      <c r="K68">
        <v>2.746011428269246</v>
      </c>
      <c r="L68">
        <f t="shared" si="6"/>
        <v>0.4</v>
      </c>
      <c r="M68">
        <f t="shared" si="7"/>
        <v>0</v>
      </c>
      <c r="N68">
        <f t="shared" si="8"/>
        <v>0.10085932141848525</v>
      </c>
      <c r="O68">
        <f t="shared" si="9"/>
        <v>4.4579820066970484E-3</v>
      </c>
      <c r="P68">
        <f t="shared" si="10"/>
        <v>0.44579820066970482</v>
      </c>
      <c r="Q68">
        <f>VLOOKUP(C68,Sheet2!A:AU,47,0)</f>
        <v>0.72787515888198562</v>
      </c>
      <c r="R68">
        <f t="shared" si="11"/>
        <v>1.1736733595516904</v>
      </c>
    </row>
    <row r="69" spans="1:18" x14ac:dyDescent="0.3">
      <c r="A69" s="1">
        <v>67</v>
      </c>
      <c r="B69">
        <v>67</v>
      </c>
      <c r="C69" t="s">
        <v>107</v>
      </c>
      <c r="D69" t="s">
        <v>105</v>
      </c>
      <c r="E69">
        <v>1</v>
      </c>
      <c r="F69" t="s">
        <v>12</v>
      </c>
      <c r="G69">
        <v>18460</v>
      </c>
      <c r="H69">
        <v>5.4171180931744299E-2</v>
      </c>
      <c r="I69">
        <v>4.3559167831444201E-2</v>
      </c>
      <c r="J69">
        <v>1.9253152181498E-3</v>
      </c>
      <c r="K69">
        <v>4.3559167831444237</v>
      </c>
      <c r="L69">
        <f t="shared" si="6"/>
        <v>0.4</v>
      </c>
      <c r="M69">
        <f t="shared" si="7"/>
        <v>0</v>
      </c>
      <c r="N69">
        <f t="shared" si="8"/>
        <v>0.13542795232936075</v>
      </c>
      <c r="O69">
        <f t="shared" si="9"/>
        <v>5.9859154929577454E-3</v>
      </c>
      <c r="P69">
        <f t="shared" si="10"/>
        <v>0.59859154929577452</v>
      </c>
      <c r="Q69">
        <f>VLOOKUP(C69,Sheet2!A:AU,47,0)</f>
        <v>1.9203054268693953</v>
      </c>
      <c r="R69">
        <f t="shared" si="11"/>
        <v>2.5188969761651698</v>
      </c>
    </row>
    <row r="70" spans="1:18" x14ac:dyDescent="0.3">
      <c r="A70" s="1">
        <v>68</v>
      </c>
      <c r="B70">
        <v>68</v>
      </c>
      <c r="C70" t="s">
        <v>108</v>
      </c>
      <c r="D70" t="s">
        <v>109</v>
      </c>
      <c r="E70">
        <v>6</v>
      </c>
      <c r="F70" t="s">
        <v>24</v>
      </c>
      <c r="G70">
        <v>16899</v>
      </c>
      <c r="H70">
        <v>0.35505059470974609</v>
      </c>
      <c r="I70">
        <v>0.39386764595844531</v>
      </c>
      <c r="J70">
        <v>1.74089499513632E-2</v>
      </c>
      <c r="K70">
        <v>39.386764595844539</v>
      </c>
      <c r="L70">
        <f t="shared" si="6"/>
        <v>0.4</v>
      </c>
      <c r="M70">
        <f t="shared" si="7"/>
        <v>0</v>
      </c>
      <c r="N70">
        <f t="shared" si="8"/>
        <v>0.88762648677436518</v>
      </c>
      <c r="O70">
        <f t="shared" si="9"/>
        <v>3.9233090715426945E-2</v>
      </c>
      <c r="P70">
        <f t="shared" si="10"/>
        <v>3.9233090715426946</v>
      </c>
      <c r="Q70">
        <f>VLOOKUP(C70,Sheet2!A:AU,47,0)</f>
        <v>8.0399999999999991</v>
      </c>
      <c r="R70">
        <f t="shared" si="11"/>
        <v>11.963309071542694</v>
      </c>
    </row>
    <row r="71" spans="1:18" x14ac:dyDescent="0.3">
      <c r="A71" s="1">
        <v>69</v>
      </c>
      <c r="B71">
        <v>69</v>
      </c>
      <c r="C71" t="s">
        <v>108</v>
      </c>
      <c r="D71" t="s">
        <v>97</v>
      </c>
      <c r="E71">
        <v>1</v>
      </c>
      <c r="F71" t="s">
        <v>24</v>
      </c>
      <c r="G71">
        <v>26677</v>
      </c>
      <c r="H71">
        <v>3.7485474378678198E-2</v>
      </c>
      <c r="I71">
        <v>2.4132300450643501E-2</v>
      </c>
      <c r="J71">
        <v>1.0666476799184E-3</v>
      </c>
      <c r="K71">
        <v>2.4132300450643549</v>
      </c>
      <c r="L71">
        <f t="shared" si="6"/>
        <v>0.4</v>
      </c>
      <c r="M71">
        <f t="shared" si="7"/>
        <v>0</v>
      </c>
      <c r="N71">
        <f t="shared" si="8"/>
        <v>9.3713685946695491E-2</v>
      </c>
      <c r="O71">
        <f t="shared" si="9"/>
        <v>4.1421449188439414E-3</v>
      </c>
      <c r="P71">
        <f t="shared" si="10"/>
        <v>0.41421449188439413</v>
      </c>
      <c r="Q71">
        <f>VLOOKUP(C71,Sheet2!A:AU,47,0)</f>
        <v>8.0399999999999991</v>
      </c>
      <c r="R71">
        <f t="shared" si="11"/>
        <v>8.4542144918843931</v>
      </c>
    </row>
    <row r="72" spans="1:18" x14ac:dyDescent="0.3">
      <c r="A72" s="1">
        <v>70</v>
      </c>
      <c r="B72">
        <v>70</v>
      </c>
      <c r="C72" t="s">
        <v>110</v>
      </c>
      <c r="D72" t="s">
        <v>111</v>
      </c>
      <c r="E72">
        <v>2</v>
      </c>
      <c r="F72" t="s">
        <v>24</v>
      </c>
      <c r="G72">
        <v>19574</v>
      </c>
      <c r="H72">
        <v>0.1021763563911311</v>
      </c>
      <c r="I72">
        <v>9.9450728328186105E-2</v>
      </c>
      <c r="J72">
        <v>4.3957221921058004E-3</v>
      </c>
      <c r="K72">
        <v>9.9450728328186209</v>
      </c>
      <c r="L72">
        <f t="shared" si="6"/>
        <v>0.4</v>
      </c>
      <c r="M72">
        <f t="shared" si="7"/>
        <v>0</v>
      </c>
      <c r="N72">
        <f t="shared" si="8"/>
        <v>0.25544089097782774</v>
      </c>
      <c r="O72">
        <f t="shared" si="9"/>
        <v>1.1290487381219986E-2</v>
      </c>
      <c r="P72">
        <f t="shared" si="10"/>
        <v>1.1290487381219987</v>
      </c>
      <c r="Q72">
        <f>VLOOKUP(C72,Sheet2!A:AU,47,0)</f>
        <v>1.4495213003528287</v>
      </c>
      <c r="R72">
        <f t="shared" si="11"/>
        <v>2.5785700384748274</v>
      </c>
    </row>
    <row r="73" spans="1:18" x14ac:dyDescent="0.3">
      <c r="A73" s="1">
        <v>71</v>
      </c>
      <c r="B73">
        <v>71</v>
      </c>
      <c r="C73" t="s">
        <v>112</v>
      </c>
      <c r="D73" t="s">
        <v>111</v>
      </c>
      <c r="E73">
        <v>1</v>
      </c>
      <c r="F73" t="s">
        <v>24</v>
      </c>
      <c r="G73">
        <v>23318</v>
      </c>
      <c r="H73">
        <v>4.2885324641907502E-2</v>
      </c>
      <c r="I73">
        <v>3.0419248780120201E-2</v>
      </c>
      <c r="J73">
        <v>1.3445307960813001E-3</v>
      </c>
      <c r="K73">
        <v>3.0419248780120238</v>
      </c>
      <c r="L73">
        <f t="shared" si="6"/>
        <v>0.4</v>
      </c>
      <c r="M73">
        <f t="shared" si="7"/>
        <v>0</v>
      </c>
      <c r="N73">
        <f t="shared" si="8"/>
        <v>0.10721331160476875</v>
      </c>
      <c r="O73">
        <f t="shared" si="9"/>
        <v>4.7388283729307796E-3</v>
      </c>
      <c r="P73">
        <f t="shared" si="10"/>
        <v>0.47388283729307795</v>
      </c>
      <c r="Q73">
        <f>VLOOKUP(C73,Sheet2!A:AU,47,0)</f>
        <v>0.9965613556327253</v>
      </c>
      <c r="R73">
        <f t="shared" si="11"/>
        <v>1.4704441929258032</v>
      </c>
    </row>
    <row r="74" spans="1:18" x14ac:dyDescent="0.3">
      <c r="A74" s="1">
        <v>72</v>
      </c>
      <c r="B74">
        <v>72</v>
      </c>
      <c r="C74" t="s">
        <v>113</v>
      </c>
      <c r="D74" t="s">
        <v>114</v>
      </c>
      <c r="E74">
        <v>1</v>
      </c>
      <c r="F74" t="s">
        <v>17</v>
      </c>
      <c r="G74">
        <v>2129</v>
      </c>
      <c r="H74">
        <v>0.4</v>
      </c>
      <c r="I74">
        <v>0.52735663974033631</v>
      </c>
      <c r="J74">
        <v>2.3309163476522801E-2</v>
      </c>
      <c r="K74">
        <v>52.735663974033628</v>
      </c>
      <c r="L74">
        <f t="shared" si="6"/>
        <v>0.4</v>
      </c>
      <c r="M74">
        <f t="shared" si="7"/>
        <v>0</v>
      </c>
      <c r="N74">
        <f t="shared" si="8"/>
        <v>1</v>
      </c>
      <c r="O74">
        <f t="shared" si="9"/>
        <v>4.4200000000000003E-2</v>
      </c>
      <c r="P74">
        <f t="shared" si="10"/>
        <v>4.42</v>
      </c>
      <c r="Q74">
        <f>VLOOKUP(C74,Sheet2!A:AU,47,0)</f>
        <v>8.0399999999999991</v>
      </c>
      <c r="R74">
        <f t="shared" si="11"/>
        <v>12.459999999999999</v>
      </c>
    </row>
    <row r="75" spans="1:18" x14ac:dyDescent="0.3">
      <c r="A75" s="1">
        <v>73</v>
      </c>
      <c r="B75">
        <v>73</v>
      </c>
      <c r="C75" t="s">
        <v>115</v>
      </c>
      <c r="D75" t="s">
        <v>116</v>
      </c>
      <c r="E75">
        <v>1</v>
      </c>
      <c r="F75" t="s">
        <v>12</v>
      </c>
      <c r="G75">
        <v>20512</v>
      </c>
      <c r="H75">
        <v>4.8751950078003099E-2</v>
      </c>
      <c r="I75">
        <v>3.72496550297685E-2</v>
      </c>
      <c r="J75">
        <v>1.6464347523157E-3</v>
      </c>
      <c r="K75">
        <v>3.7249655029768589</v>
      </c>
      <c r="L75">
        <f t="shared" si="6"/>
        <v>0.4</v>
      </c>
      <c r="M75">
        <f t="shared" si="7"/>
        <v>0</v>
      </c>
      <c r="N75">
        <f t="shared" si="8"/>
        <v>0.12187987519500774</v>
      </c>
      <c r="O75">
        <f t="shared" si="9"/>
        <v>5.3870904836193431E-3</v>
      </c>
      <c r="P75">
        <f t="shared" si="10"/>
        <v>0.53870904836193434</v>
      </c>
      <c r="Q75">
        <f>VLOOKUP(C75,Sheet2!A:AU,47,0)</f>
        <v>0.92196029038248539</v>
      </c>
      <c r="R75">
        <f t="shared" si="11"/>
        <v>1.4606693387444198</v>
      </c>
    </row>
    <row r="76" spans="1:18" x14ac:dyDescent="0.3">
      <c r="A76" s="1">
        <v>74</v>
      </c>
      <c r="B76">
        <v>74</v>
      </c>
      <c r="C76" t="s">
        <v>117</v>
      </c>
      <c r="D76" t="s">
        <v>89</v>
      </c>
      <c r="E76">
        <v>1</v>
      </c>
      <c r="F76" t="s">
        <v>24</v>
      </c>
      <c r="G76">
        <v>20649</v>
      </c>
      <c r="H76">
        <v>4.8428495326650098E-2</v>
      </c>
      <c r="I76">
        <v>3.6873062493022302E-2</v>
      </c>
      <c r="J76">
        <v>1.6297893621915001E-3</v>
      </c>
      <c r="K76">
        <v>3.6873062493022322</v>
      </c>
      <c r="L76">
        <f t="shared" si="6"/>
        <v>0.4</v>
      </c>
      <c r="M76">
        <f t="shared" si="7"/>
        <v>0</v>
      </c>
      <c r="N76">
        <f t="shared" si="8"/>
        <v>0.12107123831662524</v>
      </c>
      <c r="O76">
        <f t="shared" si="9"/>
        <v>5.3513487335948356E-3</v>
      </c>
      <c r="P76">
        <f t="shared" si="10"/>
        <v>0.53513487335948351</v>
      </c>
      <c r="Q76">
        <f>VLOOKUP(C76,Sheet2!A:AU,47,0)</f>
        <v>0.75728901495635914</v>
      </c>
      <c r="R76">
        <f t="shared" si="11"/>
        <v>1.2924238883158425</v>
      </c>
    </row>
    <row r="77" spans="1:18" x14ac:dyDescent="0.3">
      <c r="A77" s="1">
        <v>75</v>
      </c>
      <c r="B77">
        <v>75</v>
      </c>
      <c r="C77" t="s">
        <v>118</v>
      </c>
      <c r="D77" t="s">
        <v>39</v>
      </c>
      <c r="E77">
        <v>4</v>
      </c>
      <c r="F77" t="s">
        <v>12</v>
      </c>
      <c r="G77">
        <v>48131</v>
      </c>
      <c r="H77">
        <v>8.3106521784297005E-2</v>
      </c>
      <c r="I77">
        <v>7.72480636281591E-2</v>
      </c>
      <c r="J77">
        <v>3.4143644123646E-3</v>
      </c>
      <c r="K77">
        <v>7.7248063628159187</v>
      </c>
      <c r="L77">
        <f t="shared" si="6"/>
        <v>0.4</v>
      </c>
      <c r="M77">
        <f t="shared" si="7"/>
        <v>0</v>
      </c>
      <c r="N77">
        <f t="shared" si="8"/>
        <v>0.20776630446074251</v>
      </c>
      <c r="O77">
        <f t="shared" si="9"/>
        <v>9.1832706571648194E-3</v>
      </c>
      <c r="P77">
        <f t="shared" si="10"/>
        <v>0.91832706571648193</v>
      </c>
      <c r="Q77">
        <f>VLOOKUP(C77,Sheet2!A:AU,47,0)</f>
        <v>2.1852380715236075</v>
      </c>
      <c r="R77">
        <f t="shared" si="11"/>
        <v>3.1035651372400892</v>
      </c>
    </row>
    <row r="78" spans="1:18" x14ac:dyDescent="0.3">
      <c r="A78" s="1">
        <v>76</v>
      </c>
      <c r="B78">
        <v>76</v>
      </c>
      <c r="C78" t="s">
        <v>119</v>
      </c>
      <c r="D78" t="s">
        <v>41</v>
      </c>
      <c r="E78">
        <v>1</v>
      </c>
      <c r="F78" t="s">
        <v>17</v>
      </c>
      <c r="G78">
        <v>7210</v>
      </c>
      <c r="H78">
        <v>0.13869625520110951</v>
      </c>
      <c r="I78">
        <v>0.14197018824349589</v>
      </c>
      <c r="J78">
        <v>6.2750823203625E-3</v>
      </c>
      <c r="K78">
        <v>14.197018824349589</v>
      </c>
      <c r="L78">
        <f t="shared" si="6"/>
        <v>0.4</v>
      </c>
      <c r="M78">
        <f t="shared" si="7"/>
        <v>0</v>
      </c>
      <c r="N78">
        <f t="shared" si="8"/>
        <v>0.34674063800277377</v>
      </c>
      <c r="O78">
        <f t="shared" si="9"/>
        <v>1.5325936199722601E-2</v>
      </c>
      <c r="P78">
        <f t="shared" si="10"/>
        <v>1.5325936199722601</v>
      </c>
      <c r="Q78">
        <f>VLOOKUP(C78,Sheet2!A:AU,47,0)</f>
        <v>4.7703623612094557</v>
      </c>
      <c r="R78">
        <f t="shared" si="11"/>
        <v>6.3029559811817162</v>
      </c>
    </row>
    <row r="79" spans="1:18" x14ac:dyDescent="0.3">
      <c r="A79" s="1">
        <v>77</v>
      </c>
      <c r="B79">
        <v>77</v>
      </c>
      <c r="C79" t="s">
        <v>120</v>
      </c>
      <c r="D79" t="s">
        <v>121</v>
      </c>
      <c r="E79">
        <v>1</v>
      </c>
      <c r="F79" t="s">
        <v>12</v>
      </c>
      <c r="G79">
        <v>35420</v>
      </c>
      <c r="H79">
        <v>2.82326369282891E-2</v>
      </c>
      <c r="I79">
        <v>1.3359388589036699E-2</v>
      </c>
      <c r="J79">
        <v>5.904849756354E-4</v>
      </c>
      <c r="K79">
        <v>1.3359388589036709</v>
      </c>
      <c r="L79">
        <f t="shared" si="6"/>
        <v>0.4</v>
      </c>
      <c r="M79">
        <f t="shared" si="7"/>
        <v>0</v>
      </c>
      <c r="N79">
        <f t="shared" si="8"/>
        <v>7.0581592320722752E-2</v>
      </c>
      <c r="O79">
        <f t="shared" si="9"/>
        <v>3.1197063805759461E-3</v>
      </c>
      <c r="P79">
        <f t="shared" si="10"/>
        <v>0.31197063805759462</v>
      </c>
      <c r="Q79">
        <f>VLOOKUP(C79,Sheet2!A:AU,47,0)</f>
        <v>0.11666346491154085</v>
      </c>
      <c r="R79">
        <f t="shared" si="11"/>
        <v>0.42863410296913546</v>
      </c>
    </row>
    <row r="80" spans="1:18" x14ac:dyDescent="0.3">
      <c r="A80" s="1">
        <v>78</v>
      </c>
      <c r="B80">
        <v>78</v>
      </c>
      <c r="C80" t="s">
        <v>122</v>
      </c>
      <c r="D80" t="s">
        <v>91</v>
      </c>
      <c r="E80">
        <v>2</v>
      </c>
      <c r="F80" t="s">
        <v>24</v>
      </c>
      <c r="G80">
        <v>56968</v>
      </c>
      <c r="H80">
        <v>3.5107428731919597E-2</v>
      </c>
      <c r="I80">
        <v>2.1363584768263201E-2</v>
      </c>
      <c r="J80">
        <v>9.4427044675720001E-4</v>
      </c>
      <c r="K80">
        <v>2.136358476826326</v>
      </c>
      <c r="L80">
        <f t="shared" si="6"/>
        <v>0.4</v>
      </c>
      <c r="M80">
        <f t="shared" si="7"/>
        <v>0</v>
      </c>
      <c r="N80">
        <f t="shared" si="8"/>
        <v>8.7768571829798983E-2</v>
      </c>
      <c r="O80">
        <f t="shared" si="9"/>
        <v>3.8793708748771152E-3</v>
      </c>
      <c r="P80">
        <f t="shared" si="10"/>
        <v>0.3879370874877115</v>
      </c>
      <c r="Q80">
        <f>VLOOKUP(C80,Sheet2!A:AU,47,0)</f>
        <v>0.34461127419931775</v>
      </c>
      <c r="R80">
        <f t="shared" si="11"/>
        <v>0.73254836168702919</v>
      </c>
    </row>
    <row r="81" spans="1:18" x14ac:dyDescent="0.3">
      <c r="A81" s="1">
        <v>79</v>
      </c>
      <c r="B81">
        <v>79</v>
      </c>
      <c r="C81" t="s">
        <v>123</v>
      </c>
      <c r="D81" t="s">
        <v>124</v>
      </c>
      <c r="E81">
        <v>2</v>
      </c>
      <c r="F81" t="s">
        <v>12</v>
      </c>
      <c r="G81">
        <v>24180</v>
      </c>
      <c r="H81">
        <v>8.2712985938792394E-2</v>
      </c>
      <c r="I81">
        <v>7.6789876936699905E-2</v>
      </c>
      <c r="J81">
        <v>3.3941125606020998E-3</v>
      </c>
      <c r="K81">
        <v>7.6789876936699901</v>
      </c>
      <c r="L81">
        <f t="shared" si="6"/>
        <v>0.4</v>
      </c>
      <c r="M81">
        <f t="shared" si="7"/>
        <v>0</v>
      </c>
      <c r="N81">
        <f t="shared" si="8"/>
        <v>0.20678246484698098</v>
      </c>
      <c r="O81">
        <f t="shared" si="9"/>
        <v>9.1397849462365593E-3</v>
      </c>
      <c r="P81">
        <f t="shared" si="10"/>
        <v>0.91397849462365599</v>
      </c>
      <c r="Q81">
        <f>VLOOKUP(C81,Sheet2!A:AU,47,0)</f>
        <v>2.6880637297269359</v>
      </c>
      <c r="R81">
        <f t="shared" si="11"/>
        <v>3.6020422243505918</v>
      </c>
    </row>
    <row r="82" spans="1:18" x14ac:dyDescent="0.3">
      <c r="A82" s="1">
        <v>80</v>
      </c>
      <c r="B82">
        <v>80</v>
      </c>
      <c r="C82" t="s">
        <v>125</v>
      </c>
      <c r="D82" t="s">
        <v>124</v>
      </c>
      <c r="E82">
        <v>2</v>
      </c>
      <c r="F82" t="s">
        <v>12</v>
      </c>
      <c r="G82">
        <v>14356</v>
      </c>
      <c r="H82">
        <v>0.139314572304263</v>
      </c>
      <c r="I82">
        <v>0.142690083701566</v>
      </c>
      <c r="J82">
        <v>6.3069016996091997E-3</v>
      </c>
      <c r="K82">
        <v>14.2690083701566</v>
      </c>
      <c r="L82">
        <f t="shared" si="6"/>
        <v>0.4</v>
      </c>
      <c r="M82">
        <f t="shared" si="7"/>
        <v>0</v>
      </c>
      <c r="N82">
        <f t="shared" si="8"/>
        <v>0.34828643076065746</v>
      </c>
      <c r="O82">
        <f t="shared" si="9"/>
        <v>1.5394260239621061E-2</v>
      </c>
      <c r="P82">
        <f t="shared" si="10"/>
        <v>1.539426023962106</v>
      </c>
      <c r="Q82">
        <f>VLOOKUP(C82,Sheet2!A:AU,47,0)</f>
        <v>2.672441508632589</v>
      </c>
      <c r="R82">
        <f t="shared" si="11"/>
        <v>4.2118675325946953</v>
      </c>
    </row>
    <row r="83" spans="1:18" x14ac:dyDescent="0.3">
      <c r="A83" s="1">
        <v>81</v>
      </c>
      <c r="B83">
        <v>81</v>
      </c>
      <c r="C83" t="s">
        <v>126</v>
      </c>
      <c r="D83" t="s">
        <v>127</v>
      </c>
      <c r="E83">
        <v>1</v>
      </c>
      <c r="F83" t="s">
        <v>12</v>
      </c>
      <c r="G83">
        <v>28413</v>
      </c>
      <c r="H83">
        <v>3.5195157146376603E-2</v>
      </c>
      <c r="I83">
        <v>2.1465725379915701E-2</v>
      </c>
      <c r="J83">
        <v>9.487850617922E-4</v>
      </c>
      <c r="K83">
        <v>2.146572537991573</v>
      </c>
      <c r="L83">
        <f t="shared" si="6"/>
        <v>0.4</v>
      </c>
      <c r="M83">
        <f t="shared" si="7"/>
        <v>0</v>
      </c>
      <c r="N83">
        <f t="shared" si="8"/>
        <v>8.7987892865941497E-2</v>
      </c>
      <c r="O83">
        <f t="shared" si="9"/>
        <v>3.8890648646746143E-3</v>
      </c>
      <c r="P83">
        <f t="shared" si="10"/>
        <v>0.3889064864674614</v>
      </c>
      <c r="Q83">
        <f>VLOOKUP(C83,Sheet2!A:AU,47,0)</f>
        <v>0.39808555894861997</v>
      </c>
      <c r="R83">
        <f t="shared" si="11"/>
        <v>0.78699204541608136</v>
      </c>
    </row>
    <row r="84" spans="1:18" x14ac:dyDescent="0.3">
      <c r="A84" s="1">
        <v>82</v>
      </c>
      <c r="B84">
        <v>82</v>
      </c>
      <c r="C84" t="s">
        <v>128</v>
      </c>
      <c r="D84" t="s">
        <v>129</v>
      </c>
      <c r="E84">
        <v>1</v>
      </c>
      <c r="F84" t="s">
        <v>12</v>
      </c>
      <c r="G84">
        <v>6999</v>
      </c>
      <c r="H84">
        <v>0.1428775539362766</v>
      </c>
      <c r="I84">
        <v>0.14683839899317341</v>
      </c>
      <c r="J84">
        <v>6.4902572354982001E-3</v>
      </c>
      <c r="K84">
        <v>14.68383989931734</v>
      </c>
      <c r="L84">
        <f t="shared" si="6"/>
        <v>0.4</v>
      </c>
      <c r="M84">
        <f t="shared" si="7"/>
        <v>0</v>
      </c>
      <c r="N84">
        <f t="shared" si="8"/>
        <v>0.35719388484069148</v>
      </c>
      <c r="O84">
        <f t="shared" si="9"/>
        <v>1.5787969709958563E-2</v>
      </c>
      <c r="P84">
        <f t="shared" si="10"/>
        <v>1.5787969709958563</v>
      </c>
      <c r="Q84">
        <f>VLOOKUP(C84,Sheet2!A:AU,47,0)</f>
        <v>8.0399999999999991</v>
      </c>
      <c r="R84">
        <f t="shared" si="11"/>
        <v>9.6187969709958558</v>
      </c>
    </row>
    <row r="85" spans="1:18" x14ac:dyDescent="0.3">
      <c r="A85" s="1">
        <v>83</v>
      </c>
      <c r="B85">
        <v>83</v>
      </c>
      <c r="C85" t="s">
        <v>130</v>
      </c>
      <c r="D85" t="s">
        <v>26</v>
      </c>
      <c r="E85">
        <v>2</v>
      </c>
      <c r="F85" t="s">
        <v>17</v>
      </c>
      <c r="G85">
        <v>18714</v>
      </c>
      <c r="H85">
        <v>0.10687186063909369</v>
      </c>
      <c r="I85">
        <v>0.10491761928788571</v>
      </c>
      <c r="J85">
        <v>4.6373587725245004E-3</v>
      </c>
      <c r="K85">
        <v>10.491761928788581</v>
      </c>
      <c r="L85">
        <f t="shared" si="6"/>
        <v>0.4</v>
      </c>
      <c r="M85">
        <f t="shared" si="7"/>
        <v>0</v>
      </c>
      <c r="N85">
        <f t="shared" si="8"/>
        <v>0.26717965159773421</v>
      </c>
      <c r="O85">
        <f t="shared" si="9"/>
        <v>1.1809340600619852E-2</v>
      </c>
      <c r="P85">
        <f t="shared" si="10"/>
        <v>1.1809340600619853</v>
      </c>
      <c r="Q85">
        <f>VLOOKUP(C85,Sheet2!A:AU,47,0)</f>
        <v>2.6539120242761371</v>
      </c>
      <c r="R85">
        <f t="shared" si="11"/>
        <v>3.8348460843381225</v>
      </c>
    </row>
    <row r="86" spans="1:18" x14ac:dyDescent="0.3">
      <c r="A86" s="1">
        <v>84</v>
      </c>
      <c r="B86">
        <v>84</v>
      </c>
      <c r="C86" t="s">
        <v>131</v>
      </c>
      <c r="D86" t="s">
        <v>132</v>
      </c>
      <c r="E86">
        <v>1</v>
      </c>
      <c r="F86" t="s">
        <v>12</v>
      </c>
      <c r="G86">
        <v>32739</v>
      </c>
      <c r="H86">
        <v>3.05446104034943E-2</v>
      </c>
      <c r="I86">
        <v>1.6051177633024601E-2</v>
      </c>
      <c r="J86">
        <v>7.0946205137960002E-4</v>
      </c>
      <c r="K86">
        <v>1.60511776330246</v>
      </c>
      <c r="L86">
        <f t="shared" si="6"/>
        <v>0.4</v>
      </c>
      <c r="M86">
        <f t="shared" si="7"/>
        <v>0</v>
      </c>
      <c r="N86">
        <f t="shared" si="8"/>
        <v>7.6361526008735747E-2</v>
      </c>
      <c r="O86">
        <f t="shared" si="9"/>
        <v>3.3751794495861204E-3</v>
      </c>
      <c r="P86">
        <f t="shared" si="10"/>
        <v>0.33751794495861204</v>
      </c>
      <c r="Q86">
        <f>VLOOKUP(C86,Sheet2!A:AU,47,0)</f>
        <v>0.70245198786470209</v>
      </c>
      <c r="R86">
        <f t="shared" si="11"/>
        <v>1.0399699328233141</v>
      </c>
    </row>
    <row r="87" spans="1:18" x14ac:dyDescent="0.3">
      <c r="A87" s="1">
        <v>85</v>
      </c>
      <c r="B87">
        <v>85</v>
      </c>
      <c r="C87" t="s">
        <v>133</v>
      </c>
      <c r="D87" t="s">
        <v>132</v>
      </c>
      <c r="E87">
        <v>1</v>
      </c>
      <c r="F87" t="s">
        <v>12</v>
      </c>
      <c r="G87">
        <v>7766</v>
      </c>
      <c r="H87">
        <v>0.128766417718259</v>
      </c>
      <c r="I87">
        <v>0.13040905744698231</v>
      </c>
      <c r="J87">
        <v>5.7640803391565999E-3</v>
      </c>
      <c r="K87">
        <v>13.040905744698239</v>
      </c>
      <c r="L87">
        <f t="shared" si="6"/>
        <v>0.4</v>
      </c>
      <c r="M87">
        <f t="shared" si="7"/>
        <v>0</v>
      </c>
      <c r="N87">
        <f t="shared" si="8"/>
        <v>0.32191604429564746</v>
      </c>
      <c r="O87">
        <f t="shared" si="9"/>
        <v>1.4228689157867619E-2</v>
      </c>
      <c r="P87">
        <f t="shared" si="10"/>
        <v>1.422868915786762</v>
      </c>
      <c r="Q87">
        <f>VLOOKUP(C87,Sheet2!A:AU,47,0)</f>
        <v>8.0399999999999991</v>
      </c>
      <c r="R87">
        <f t="shared" si="11"/>
        <v>9.4628689157867605</v>
      </c>
    </row>
    <row r="88" spans="1:18" x14ac:dyDescent="0.3">
      <c r="A88" s="1">
        <v>86</v>
      </c>
      <c r="B88">
        <v>86</v>
      </c>
      <c r="C88" t="s">
        <v>134</v>
      </c>
      <c r="D88" t="s">
        <v>36</v>
      </c>
      <c r="E88">
        <v>2</v>
      </c>
      <c r="F88" t="s">
        <v>12</v>
      </c>
      <c r="G88">
        <v>35111</v>
      </c>
      <c r="H88">
        <v>5.6962205576599902E-2</v>
      </c>
      <c r="I88">
        <v>4.6808707517385299E-2</v>
      </c>
      <c r="J88">
        <v>2.0689448722683999E-3</v>
      </c>
      <c r="K88">
        <v>4.6808707517385386</v>
      </c>
      <c r="L88">
        <f t="shared" si="6"/>
        <v>0.4</v>
      </c>
      <c r="M88">
        <f t="shared" si="7"/>
        <v>0</v>
      </c>
      <c r="N88">
        <f t="shared" si="8"/>
        <v>0.14240551394149975</v>
      </c>
      <c r="O88">
        <f t="shared" si="9"/>
        <v>6.2943237162142894E-3</v>
      </c>
      <c r="P88">
        <f t="shared" si="10"/>
        <v>0.62943237162142895</v>
      </c>
      <c r="Q88">
        <f>VLOOKUP(C88,Sheet2!A:AU,47,0)</f>
        <v>1.3356618339022066</v>
      </c>
      <c r="R88">
        <f t="shared" si="11"/>
        <v>1.9650942055236356</v>
      </c>
    </row>
    <row r="89" spans="1:18" x14ac:dyDescent="0.3">
      <c r="A89" s="1">
        <v>87</v>
      </c>
      <c r="B89">
        <v>87</v>
      </c>
      <c r="C89" t="s">
        <v>135</v>
      </c>
      <c r="D89" t="s">
        <v>26</v>
      </c>
      <c r="E89">
        <v>3</v>
      </c>
      <c r="F89" t="s">
        <v>17</v>
      </c>
      <c r="G89">
        <v>30871</v>
      </c>
      <c r="H89">
        <v>9.71785818405623E-2</v>
      </c>
      <c r="I89">
        <v>9.3631909503567701E-2</v>
      </c>
      <c r="J89">
        <v>4.1385304000576004E-3</v>
      </c>
      <c r="K89">
        <v>9.3631909503567776</v>
      </c>
      <c r="L89">
        <f t="shared" si="6"/>
        <v>0.4</v>
      </c>
      <c r="M89">
        <f t="shared" si="7"/>
        <v>0</v>
      </c>
      <c r="N89">
        <f t="shared" si="8"/>
        <v>0.24294645460140574</v>
      </c>
      <c r="O89">
        <f t="shared" si="9"/>
        <v>1.0738233293382134E-2</v>
      </c>
      <c r="P89">
        <f t="shared" si="10"/>
        <v>1.0738233293382133</v>
      </c>
      <c r="Q89">
        <f>VLOOKUP(C89,Sheet2!A:AU,47,0)</f>
        <v>1.5675062654934901</v>
      </c>
      <c r="R89">
        <f t="shared" si="11"/>
        <v>2.6413295948317037</v>
      </c>
    </row>
    <row r="90" spans="1:18" x14ac:dyDescent="0.3">
      <c r="A90" s="1">
        <v>88</v>
      </c>
      <c r="B90">
        <v>88</v>
      </c>
      <c r="C90" t="s">
        <v>136</v>
      </c>
      <c r="D90" t="s">
        <v>26</v>
      </c>
      <c r="E90">
        <v>1</v>
      </c>
      <c r="F90" t="s">
        <v>17</v>
      </c>
      <c r="G90">
        <v>30529</v>
      </c>
      <c r="H90">
        <v>3.2755740443512697E-2</v>
      </c>
      <c r="I90">
        <v>1.8625556483121801E-2</v>
      </c>
      <c r="J90">
        <v>8.2324959655389999E-4</v>
      </c>
      <c r="K90">
        <v>1.8625556483121859</v>
      </c>
      <c r="L90">
        <f t="shared" si="6"/>
        <v>0.4</v>
      </c>
      <c r="M90">
        <f t="shared" si="7"/>
        <v>0</v>
      </c>
      <c r="N90">
        <f t="shared" si="8"/>
        <v>8.1889351108781733E-2</v>
      </c>
      <c r="O90">
        <f t="shared" si="9"/>
        <v>3.6195093190081527E-3</v>
      </c>
      <c r="P90">
        <f t="shared" si="10"/>
        <v>0.36195093190081529</v>
      </c>
      <c r="Q90">
        <f>VLOOKUP(C90,Sheet2!A:AU,47,0)</f>
        <v>0.47732525979474993</v>
      </c>
      <c r="R90">
        <f t="shared" si="11"/>
        <v>0.83927619169556522</v>
      </c>
    </row>
    <row r="91" spans="1:18" x14ac:dyDescent="0.3">
      <c r="A91" s="1">
        <v>89</v>
      </c>
      <c r="B91">
        <v>89</v>
      </c>
      <c r="C91" t="s">
        <v>137</v>
      </c>
      <c r="D91" t="s">
        <v>26</v>
      </c>
      <c r="E91">
        <v>1</v>
      </c>
      <c r="F91" t="s">
        <v>17</v>
      </c>
      <c r="G91">
        <v>39253</v>
      </c>
      <c r="H91">
        <v>2.5475759814536401E-2</v>
      </c>
      <c r="I91">
        <v>1.01496062580514E-2</v>
      </c>
      <c r="J91">
        <v>4.4861259660580001E-4</v>
      </c>
      <c r="K91">
        <v>1.0149606258051409</v>
      </c>
      <c r="L91">
        <f t="shared" si="6"/>
        <v>0.4</v>
      </c>
      <c r="M91">
        <f t="shared" si="7"/>
        <v>0</v>
      </c>
      <c r="N91">
        <f t="shared" si="8"/>
        <v>6.3689399536340993E-2</v>
      </c>
      <c r="O91">
        <f t="shared" si="9"/>
        <v>2.8150714595062722E-3</v>
      </c>
      <c r="P91">
        <f t="shared" si="10"/>
        <v>0.2815071459506272</v>
      </c>
      <c r="Q91">
        <f>VLOOKUP(C91,Sheet2!A:AU,47,0)</f>
        <v>0.10790502416379137</v>
      </c>
      <c r="R91">
        <f t="shared" si="11"/>
        <v>0.38941217011441859</v>
      </c>
    </row>
    <row r="92" spans="1:18" x14ac:dyDescent="0.3">
      <c r="A92" s="1">
        <v>90</v>
      </c>
      <c r="B92">
        <v>90</v>
      </c>
      <c r="C92" t="s">
        <v>138</v>
      </c>
      <c r="D92" t="s">
        <v>66</v>
      </c>
      <c r="E92">
        <v>2</v>
      </c>
      <c r="F92" t="s">
        <v>24</v>
      </c>
      <c r="G92">
        <v>17027</v>
      </c>
      <c r="H92">
        <v>0.1174605039055617</v>
      </c>
      <c r="I92">
        <v>0.11724578578332751</v>
      </c>
      <c r="J92">
        <v>5.1822637316230004E-3</v>
      </c>
      <c r="K92">
        <v>11.72457857833275</v>
      </c>
      <c r="L92">
        <f t="shared" si="6"/>
        <v>0.4</v>
      </c>
      <c r="M92">
        <f t="shared" si="7"/>
        <v>0</v>
      </c>
      <c r="N92">
        <f t="shared" si="8"/>
        <v>0.29365125976390422</v>
      </c>
      <c r="O92">
        <f t="shared" si="9"/>
        <v>1.2979385681564566E-2</v>
      </c>
      <c r="P92">
        <f t="shared" si="10"/>
        <v>1.2979385681564566</v>
      </c>
      <c r="Q92">
        <f>VLOOKUP(C92,Sheet2!A:AU,47,0)</f>
        <v>2.4605207799142703</v>
      </c>
      <c r="R92">
        <f t="shared" si="11"/>
        <v>3.7584593480707271</v>
      </c>
    </row>
    <row r="93" spans="1:18" x14ac:dyDescent="0.3">
      <c r="A93" s="1">
        <v>91</v>
      </c>
      <c r="B93">
        <v>91</v>
      </c>
      <c r="C93" t="s">
        <v>139</v>
      </c>
      <c r="D93" t="s">
        <v>109</v>
      </c>
      <c r="E93">
        <v>3</v>
      </c>
      <c r="F93" t="s">
        <v>24</v>
      </c>
      <c r="G93">
        <v>105649</v>
      </c>
      <c r="H93">
        <v>2.8395914774394401E-2</v>
      </c>
      <c r="I93">
        <v>1.3549490042182999E-2</v>
      </c>
      <c r="J93">
        <v>5.9888745986440002E-4</v>
      </c>
      <c r="K93">
        <v>1.3549490042183061</v>
      </c>
      <c r="L93">
        <f t="shared" si="6"/>
        <v>0.4</v>
      </c>
      <c r="M93">
        <f t="shared" si="7"/>
        <v>0</v>
      </c>
      <c r="N93">
        <f t="shared" si="8"/>
        <v>7.0989786935985996E-2</v>
      </c>
      <c r="O93">
        <f t="shared" si="9"/>
        <v>3.1377485825705813E-3</v>
      </c>
      <c r="P93">
        <f t="shared" si="10"/>
        <v>0.31377485825705814</v>
      </c>
      <c r="Q93">
        <f>VLOOKUP(C93,Sheet2!A:AU,47,0)</f>
        <v>0.10555737997226791</v>
      </c>
      <c r="R93">
        <f t="shared" si="11"/>
        <v>0.41933223822932608</v>
      </c>
    </row>
    <row r="94" spans="1:18" x14ac:dyDescent="0.3">
      <c r="A94" s="1">
        <v>92</v>
      </c>
      <c r="B94">
        <v>92</v>
      </c>
      <c r="C94" t="s">
        <v>140</v>
      </c>
      <c r="D94" t="s">
        <v>109</v>
      </c>
      <c r="E94">
        <v>1</v>
      </c>
      <c r="F94" t="s">
        <v>24</v>
      </c>
      <c r="G94">
        <v>36550</v>
      </c>
      <c r="H94">
        <v>2.7359781121751001E-2</v>
      </c>
      <c r="I94">
        <v>1.23431383066618E-2</v>
      </c>
      <c r="J94">
        <v>5.4556671315440005E-4</v>
      </c>
      <c r="K94">
        <v>1.2343138306661869</v>
      </c>
      <c r="L94">
        <f t="shared" si="6"/>
        <v>0.4</v>
      </c>
      <c r="M94">
        <f t="shared" si="7"/>
        <v>0</v>
      </c>
      <c r="N94">
        <f t="shared" si="8"/>
        <v>6.8399452804377495E-2</v>
      </c>
      <c r="O94">
        <f t="shared" si="9"/>
        <v>3.0232558139534856E-3</v>
      </c>
      <c r="P94">
        <f t="shared" si="10"/>
        <v>0.30232558139534854</v>
      </c>
      <c r="Q94">
        <f>VLOOKUP(C94,Sheet2!A:AU,47,0)</f>
        <v>0.10913119919359862</v>
      </c>
      <c r="R94">
        <f t="shared" si="11"/>
        <v>0.41145678058894719</v>
      </c>
    </row>
    <row r="95" spans="1:18" x14ac:dyDescent="0.3">
      <c r="A95" s="1">
        <v>93</v>
      </c>
      <c r="B95">
        <v>93</v>
      </c>
      <c r="C95" t="s">
        <v>141</v>
      </c>
      <c r="D95" t="s">
        <v>48</v>
      </c>
      <c r="E95">
        <v>2</v>
      </c>
      <c r="F95" t="s">
        <v>12</v>
      </c>
      <c r="G95">
        <v>12982</v>
      </c>
      <c r="H95">
        <v>0.1540594669542443</v>
      </c>
      <c r="I95">
        <v>0.15985729876663199</v>
      </c>
      <c r="J95">
        <v>7.0656926054850997E-3</v>
      </c>
      <c r="K95">
        <v>15.9857298766632</v>
      </c>
      <c r="L95">
        <f t="shared" si="6"/>
        <v>0.4</v>
      </c>
      <c r="M95">
        <f t="shared" si="7"/>
        <v>0</v>
      </c>
      <c r="N95">
        <f t="shared" si="8"/>
        <v>0.38514866738561071</v>
      </c>
      <c r="O95">
        <f t="shared" si="9"/>
        <v>1.7023571098443994E-2</v>
      </c>
      <c r="P95">
        <f t="shared" si="10"/>
        <v>1.7023571098443995</v>
      </c>
      <c r="Q95">
        <f>VLOOKUP(C95,Sheet2!A:AU,47,0)</f>
        <v>5.5584817629400902</v>
      </c>
      <c r="R95">
        <f t="shared" si="11"/>
        <v>7.2608388727844897</v>
      </c>
    </row>
    <row r="96" spans="1:18" x14ac:dyDescent="0.3">
      <c r="A96" s="1">
        <v>94</v>
      </c>
      <c r="B96">
        <v>94</v>
      </c>
      <c r="C96" t="s">
        <v>142</v>
      </c>
      <c r="D96" t="s">
        <v>143</v>
      </c>
      <c r="E96">
        <v>1</v>
      </c>
      <c r="F96" t="s">
        <v>24</v>
      </c>
      <c r="G96">
        <v>14120</v>
      </c>
      <c r="H96">
        <v>7.0821529745042494E-2</v>
      </c>
      <c r="I96">
        <v>6.2944868833154394E-2</v>
      </c>
      <c r="J96">
        <v>2.7821632024254001E-3</v>
      </c>
      <c r="K96">
        <v>6.2944868833154493</v>
      </c>
      <c r="L96">
        <f t="shared" si="6"/>
        <v>0.4</v>
      </c>
      <c r="M96">
        <f t="shared" si="7"/>
        <v>0</v>
      </c>
      <c r="N96">
        <f t="shared" si="8"/>
        <v>0.17705382436260622</v>
      </c>
      <c r="O96">
        <f t="shared" si="9"/>
        <v>7.8257790368271955E-3</v>
      </c>
      <c r="P96">
        <f t="shared" si="10"/>
        <v>0.78257790368271951</v>
      </c>
      <c r="Q96">
        <f>VLOOKUP(C96,Sheet2!A:AU,47,0)</f>
        <v>1.5366548063616678</v>
      </c>
      <c r="R96">
        <f t="shared" si="11"/>
        <v>2.3192327100443872</v>
      </c>
    </row>
    <row r="97" spans="1:18" x14ac:dyDescent="0.3">
      <c r="A97" s="1">
        <v>95</v>
      </c>
      <c r="B97">
        <v>95</v>
      </c>
      <c r="C97" t="s">
        <v>144</v>
      </c>
      <c r="D97" t="s">
        <v>145</v>
      </c>
      <c r="E97">
        <v>1</v>
      </c>
      <c r="F97" t="s">
        <v>12</v>
      </c>
      <c r="G97">
        <v>27207</v>
      </c>
      <c r="H97">
        <v>3.6755246811482303E-2</v>
      </c>
      <c r="I97">
        <v>2.32821096564686E-2</v>
      </c>
      <c r="J97">
        <v>1.0290692468159E-3</v>
      </c>
      <c r="K97">
        <v>2.3282109656468681</v>
      </c>
      <c r="L97">
        <f t="shared" si="6"/>
        <v>0.4</v>
      </c>
      <c r="M97">
        <f t="shared" si="7"/>
        <v>0</v>
      </c>
      <c r="N97">
        <f t="shared" si="8"/>
        <v>9.1888117028705751E-2</v>
      </c>
      <c r="O97">
        <f t="shared" si="9"/>
        <v>4.0614547726687943E-3</v>
      </c>
      <c r="P97">
        <f t="shared" si="10"/>
        <v>0.40614547726687944</v>
      </c>
      <c r="Q97">
        <f>VLOOKUP(C97,Sheet2!A:AU,47,0)</f>
        <v>0.4888966074897711</v>
      </c>
      <c r="R97">
        <f t="shared" si="11"/>
        <v>0.89504208475665048</v>
      </c>
    </row>
    <row r="98" spans="1:18" x14ac:dyDescent="0.3">
      <c r="A98" s="1">
        <v>96</v>
      </c>
      <c r="B98">
        <v>96</v>
      </c>
      <c r="C98" t="s">
        <v>146</v>
      </c>
      <c r="D98" t="s">
        <v>145</v>
      </c>
      <c r="E98">
        <v>1</v>
      </c>
      <c r="F98" t="s">
        <v>12</v>
      </c>
      <c r="G98">
        <v>27265</v>
      </c>
      <c r="H98">
        <v>3.6677058499908301E-2</v>
      </c>
      <c r="I98">
        <v>2.3191076414642998E-2</v>
      </c>
      <c r="J98">
        <v>1.0250455775271999E-3</v>
      </c>
      <c r="K98">
        <v>2.319107641464301</v>
      </c>
      <c r="L98">
        <f t="shared" si="6"/>
        <v>0.4</v>
      </c>
      <c r="M98">
        <f t="shared" si="7"/>
        <v>0</v>
      </c>
      <c r="N98">
        <f t="shared" si="8"/>
        <v>9.1692646249770748E-2</v>
      </c>
      <c r="O98">
        <f t="shared" si="9"/>
        <v>4.0528149642398677E-3</v>
      </c>
      <c r="P98">
        <f t="shared" si="10"/>
        <v>0.40528149642398675</v>
      </c>
      <c r="Q98">
        <f>VLOOKUP(C98,Sheet2!A:AU,47,0)</f>
        <v>0.69646463051401675</v>
      </c>
      <c r="R98">
        <f t="shared" si="11"/>
        <v>1.1017461269380036</v>
      </c>
    </row>
    <row r="99" spans="1:18" x14ac:dyDescent="0.3">
      <c r="A99" s="1">
        <v>97</v>
      </c>
      <c r="B99">
        <v>97</v>
      </c>
      <c r="C99" t="s">
        <v>147</v>
      </c>
      <c r="D99" t="s">
        <v>148</v>
      </c>
      <c r="E99">
        <v>2</v>
      </c>
      <c r="F99" t="s">
        <v>12</v>
      </c>
      <c r="G99">
        <v>21095</v>
      </c>
      <c r="H99">
        <v>9.4809196492059697E-2</v>
      </c>
      <c r="I99">
        <v>9.0873276850345505E-2</v>
      </c>
      <c r="J99">
        <v>4.0165988367851999E-3</v>
      </c>
      <c r="K99">
        <v>9.0873276850345501</v>
      </c>
      <c r="L99">
        <f t="shared" si="6"/>
        <v>0.4</v>
      </c>
      <c r="M99">
        <f t="shared" si="7"/>
        <v>0</v>
      </c>
      <c r="N99">
        <f t="shared" si="8"/>
        <v>0.23702299123014922</v>
      </c>
      <c r="O99">
        <f t="shared" si="9"/>
        <v>1.0476416212372596E-2</v>
      </c>
      <c r="P99">
        <f t="shared" si="10"/>
        <v>1.0476416212372597</v>
      </c>
      <c r="Q99">
        <f>VLOOKUP(C99,Sheet2!A:AU,47,0)</f>
        <v>3.01619141868759</v>
      </c>
      <c r="R99">
        <f t="shared" si="11"/>
        <v>4.0638330399248499</v>
      </c>
    </row>
    <row r="100" spans="1:18" x14ac:dyDescent="0.3">
      <c r="A100" s="1">
        <v>98</v>
      </c>
      <c r="B100">
        <v>98</v>
      </c>
      <c r="C100" t="s">
        <v>149</v>
      </c>
      <c r="D100" t="s">
        <v>148</v>
      </c>
      <c r="E100">
        <v>2</v>
      </c>
      <c r="F100" t="s">
        <v>12</v>
      </c>
      <c r="G100">
        <v>36279</v>
      </c>
      <c r="H100">
        <v>5.5128311144188098E-2</v>
      </c>
      <c r="I100">
        <v>4.4673537285573599E-2</v>
      </c>
      <c r="J100">
        <v>1.9745703480222999E-3</v>
      </c>
      <c r="K100">
        <v>4.4673537285573612</v>
      </c>
      <c r="L100">
        <f t="shared" si="6"/>
        <v>0.4</v>
      </c>
      <c r="M100">
        <f t="shared" si="7"/>
        <v>0</v>
      </c>
      <c r="N100">
        <f t="shared" si="8"/>
        <v>0.13782077786047023</v>
      </c>
      <c r="O100">
        <f t="shared" si="9"/>
        <v>6.0916783814327843E-3</v>
      </c>
      <c r="P100">
        <f t="shared" si="10"/>
        <v>0.60916783814327846</v>
      </c>
      <c r="Q100">
        <f>VLOOKUP(C100,Sheet2!A:AU,47,0)</f>
        <v>1.0648412788874007</v>
      </c>
      <c r="R100">
        <f t="shared" si="11"/>
        <v>1.6740091170306792</v>
      </c>
    </row>
    <row r="101" spans="1:18" x14ac:dyDescent="0.3">
      <c r="A101" s="1">
        <v>99</v>
      </c>
      <c r="B101">
        <v>99</v>
      </c>
      <c r="C101" t="s">
        <v>150</v>
      </c>
      <c r="D101" t="s">
        <v>91</v>
      </c>
      <c r="E101">
        <v>1</v>
      </c>
      <c r="F101" t="s">
        <v>24</v>
      </c>
      <c r="G101">
        <v>8942</v>
      </c>
      <c r="H101">
        <v>0.1118318049653321</v>
      </c>
      <c r="I101">
        <v>0.110692393064204</v>
      </c>
      <c r="J101">
        <v>4.8926037734377996E-3</v>
      </c>
      <c r="K101">
        <v>11.06923930642041</v>
      </c>
      <c r="L101">
        <f t="shared" si="6"/>
        <v>0.4</v>
      </c>
      <c r="M101">
        <f t="shared" si="7"/>
        <v>0</v>
      </c>
      <c r="N101">
        <f t="shared" si="8"/>
        <v>0.27957951241333023</v>
      </c>
      <c r="O101">
        <f t="shared" si="9"/>
        <v>1.2357414448669198E-2</v>
      </c>
      <c r="P101">
        <f t="shared" si="10"/>
        <v>1.2357414448669197</v>
      </c>
      <c r="Q101">
        <f>VLOOKUP(C101,Sheet2!A:AU,47,0)</f>
        <v>4.6195447249065413</v>
      </c>
      <c r="R101">
        <f t="shared" si="11"/>
        <v>5.8552861697734606</v>
      </c>
    </row>
    <row r="102" spans="1:18" x14ac:dyDescent="0.3">
      <c r="A102" s="1">
        <v>100</v>
      </c>
      <c r="B102">
        <v>100</v>
      </c>
      <c r="C102" t="s">
        <v>151</v>
      </c>
      <c r="D102" t="s">
        <v>148</v>
      </c>
      <c r="E102">
        <v>2</v>
      </c>
      <c r="F102" t="s">
        <v>12</v>
      </c>
      <c r="G102">
        <v>13208</v>
      </c>
      <c r="H102">
        <v>0.15142337976983641</v>
      </c>
      <c r="I102">
        <v>0.15678814997315099</v>
      </c>
      <c r="J102">
        <v>6.9300362288131998E-3</v>
      </c>
      <c r="K102">
        <v>15.678814997315101</v>
      </c>
      <c r="L102">
        <f t="shared" si="6"/>
        <v>0.4</v>
      </c>
      <c r="M102">
        <f t="shared" si="7"/>
        <v>0</v>
      </c>
      <c r="N102">
        <f t="shared" si="8"/>
        <v>0.37855844942459099</v>
      </c>
      <c r="O102">
        <f t="shared" si="9"/>
        <v>1.6732283464566924E-2</v>
      </c>
      <c r="P102">
        <f t="shared" si="10"/>
        <v>1.6732283464566924</v>
      </c>
      <c r="Q102">
        <f>VLOOKUP(C102,Sheet2!A:AU,47,0)</f>
        <v>4.636816916466481</v>
      </c>
      <c r="R102">
        <f t="shared" si="11"/>
        <v>6.3100452629231736</v>
      </c>
    </row>
    <row r="103" spans="1:18" x14ac:dyDescent="0.3">
      <c r="A103" s="1">
        <v>101</v>
      </c>
      <c r="B103">
        <v>101</v>
      </c>
      <c r="C103" t="s">
        <v>152</v>
      </c>
      <c r="D103" t="s">
        <v>148</v>
      </c>
      <c r="E103">
        <v>1</v>
      </c>
      <c r="F103" t="s">
        <v>12</v>
      </c>
      <c r="G103">
        <v>11444</v>
      </c>
      <c r="H103">
        <v>8.7382034253757401E-2</v>
      </c>
      <c r="I103">
        <v>8.2225965730476996E-2</v>
      </c>
      <c r="J103">
        <v>3.6343876852870001E-3</v>
      </c>
      <c r="K103">
        <v>8.2225965730477064</v>
      </c>
      <c r="L103">
        <f t="shared" si="6"/>
        <v>0.4</v>
      </c>
      <c r="M103">
        <f t="shared" si="7"/>
        <v>0</v>
      </c>
      <c r="N103">
        <f t="shared" si="8"/>
        <v>0.2184550856343935</v>
      </c>
      <c r="O103">
        <f t="shared" si="9"/>
        <v>9.6557147850401936E-3</v>
      </c>
      <c r="P103">
        <f t="shared" si="10"/>
        <v>0.96557147850401936</v>
      </c>
      <c r="Q103">
        <f>VLOOKUP(C103,Sheet2!A:AU,47,0)</f>
        <v>4.0562449362006028</v>
      </c>
      <c r="R103">
        <f t="shared" si="11"/>
        <v>5.021816414704622</v>
      </c>
    </row>
    <row r="104" spans="1:18" x14ac:dyDescent="0.3">
      <c r="A104" s="1">
        <v>102</v>
      </c>
      <c r="B104">
        <v>102</v>
      </c>
      <c r="C104" t="s">
        <v>153</v>
      </c>
      <c r="D104" t="s">
        <v>148</v>
      </c>
      <c r="E104">
        <v>2</v>
      </c>
      <c r="F104" t="s">
        <v>12</v>
      </c>
      <c r="G104">
        <v>20753</v>
      </c>
      <c r="H104">
        <v>9.6371608924010893E-2</v>
      </c>
      <c r="I104">
        <v>9.2692365482468994E-2</v>
      </c>
      <c r="J104">
        <v>4.0970025543251003E-3</v>
      </c>
      <c r="K104">
        <v>9.2692365482469032</v>
      </c>
      <c r="L104">
        <f t="shared" si="6"/>
        <v>0.4</v>
      </c>
      <c r="M104">
        <f t="shared" si="7"/>
        <v>0</v>
      </c>
      <c r="N104">
        <f t="shared" si="8"/>
        <v>0.24092902231002722</v>
      </c>
      <c r="O104">
        <f t="shared" si="9"/>
        <v>1.0649062786103204E-2</v>
      </c>
      <c r="P104">
        <f t="shared" si="10"/>
        <v>1.0649062786103205</v>
      </c>
      <c r="Q104">
        <f>VLOOKUP(C104,Sheet2!A:AU,47,0)</f>
        <v>2.9759593385713727</v>
      </c>
      <c r="R104">
        <f t="shared" si="11"/>
        <v>4.0408656171816935</v>
      </c>
    </row>
    <row r="105" spans="1:18" x14ac:dyDescent="0.3">
      <c r="A105" s="1">
        <v>103</v>
      </c>
      <c r="B105">
        <v>103</v>
      </c>
      <c r="C105" t="s">
        <v>154</v>
      </c>
      <c r="D105" t="s">
        <v>132</v>
      </c>
      <c r="E105">
        <v>3</v>
      </c>
      <c r="F105" t="s">
        <v>12</v>
      </c>
      <c r="G105">
        <v>33586</v>
      </c>
      <c r="H105">
        <v>8.9322932174120101E-2</v>
      </c>
      <c r="I105">
        <v>8.4485718194578105E-2</v>
      </c>
      <c r="J105">
        <v>3.7342687442003001E-3</v>
      </c>
      <c r="K105">
        <v>8.4485718194578183</v>
      </c>
      <c r="L105">
        <f t="shared" si="6"/>
        <v>0.4</v>
      </c>
      <c r="M105">
        <f t="shared" si="7"/>
        <v>0</v>
      </c>
      <c r="N105">
        <f t="shared" si="8"/>
        <v>0.22330733043530024</v>
      </c>
      <c r="O105">
        <f t="shared" si="9"/>
        <v>9.8701840052402706E-3</v>
      </c>
      <c r="P105">
        <f t="shared" si="10"/>
        <v>0.98701840052402701</v>
      </c>
      <c r="Q105">
        <f>VLOOKUP(C105,Sheet2!A:AU,47,0)</f>
        <v>1.6857318072493219</v>
      </c>
      <c r="R105">
        <f t="shared" si="11"/>
        <v>2.6727502077733489</v>
      </c>
    </row>
    <row r="106" spans="1:18" x14ac:dyDescent="0.3">
      <c r="A106" s="1">
        <v>104</v>
      </c>
      <c r="B106">
        <v>104</v>
      </c>
      <c r="C106" t="s">
        <v>155</v>
      </c>
      <c r="D106" t="s">
        <v>36</v>
      </c>
      <c r="E106">
        <v>1</v>
      </c>
      <c r="F106" t="s">
        <v>12</v>
      </c>
      <c r="G106">
        <v>26992</v>
      </c>
      <c r="H106">
        <v>3.7048014226437401E-2</v>
      </c>
      <c r="I106">
        <v>2.3622973480584501E-2</v>
      </c>
      <c r="J106">
        <v>1.0441354278418E-3</v>
      </c>
      <c r="K106">
        <v>2.362297348058453</v>
      </c>
      <c r="L106">
        <f t="shared" si="6"/>
        <v>0.4</v>
      </c>
      <c r="M106">
        <f t="shared" si="7"/>
        <v>0</v>
      </c>
      <c r="N106">
        <f t="shared" si="8"/>
        <v>9.2620035566093495E-2</v>
      </c>
      <c r="O106">
        <f t="shared" si="9"/>
        <v>4.0938055720213329E-3</v>
      </c>
      <c r="P106">
        <f t="shared" si="10"/>
        <v>0.40938055720213329</v>
      </c>
      <c r="Q106">
        <f>VLOOKUP(C106,Sheet2!A:AU,47,0)</f>
        <v>1.2031947465016368</v>
      </c>
      <c r="R106">
        <f t="shared" si="11"/>
        <v>1.6125753037037702</v>
      </c>
    </row>
    <row r="107" spans="1:18" x14ac:dyDescent="0.3">
      <c r="A107" s="1">
        <v>105</v>
      </c>
      <c r="B107">
        <v>105</v>
      </c>
      <c r="C107" t="s">
        <v>156</v>
      </c>
      <c r="D107" t="s">
        <v>124</v>
      </c>
      <c r="E107">
        <v>1</v>
      </c>
      <c r="F107" t="s">
        <v>12</v>
      </c>
      <c r="G107">
        <v>24842</v>
      </c>
      <c r="H107">
        <v>4.02544078576604E-2</v>
      </c>
      <c r="I107">
        <v>2.73561197903502E-2</v>
      </c>
      <c r="J107">
        <v>1.2091404947333999E-3</v>
      </c>
      <c r="K107">
        <v>2.7356119790350251</v>
      </c>
      <c r="L107">
        <f t="shared" si="6"/>
        <v>0.4</v>
      </c>
      <c r="M107">
        <f t="shared" si="7"/>
        <v>0</v>
      </c>
      <c r="N107">
        <f t="shared" si="8"/>
        <v>0.10063601964415099</v>
      </c>
      <c r="O107">
        <f t="shared" si="9"/>
        <v>4.4481120682714741E-3</v>
      </c>
      <c r="P107">
        <f t="shared" si="10"/>
        <v>0.44481120682714742</v>
      </c>
      <c r="Q107">
        <f>VLOOKUP(C107,Sheet2!A:AU,47,0)</f>
        <v>2.0847408326070562</v>
      </c>
      <c r="R107">
        <f t="shared" si="11"/>
        <v>2.5295520394342037</v>
      </c>
    </row>
    <row r="108" spans="1:18" x14ac:dyDescent="0.3">
      <c r="A108" s="1">
        <v>106</v>
      </c>
      <c r="B108">
        <v>106</v>
      </c>
      <c r="C108" t="s">
        <v>157</v>
      </c>
      <c r="D108" t="s">
        <v>23</v>
      </c>
      <c r="E108">
        <v>2</v>
      </c>
      <c r="F108" t="s">
        <v>24</v>
      </c>
      <c r="G108">
        <v>33291</v>
      </c>
      <c r="H108">
        <v>6.0076296897059199E-2</v>
      </c>
      <c r="I108">
        <v>5.0434387910473E-2</v>
      </c>
      <c r="J108">
        <v>2.2291999456429002E-3</v>
      </c>
      <c r="K108">
        <v>5.0434387910473051</v>
      </c>
      <c r="L108">
        <f t="shared" si="6"/>
        <v>0.4</v>
      </c>
      <c r="M108">
        <f t="shared" si="7"/>
        <v>0</v>
      </c>
      <c r="N108">
        <f t="shared" si="8"/>
        <v>0.150190742242648</v>
      </c>
      <c r="O108">
        <f t="shared" si="9"/>
        <v>6.638430807125042E-3</v>
      </c>
      <c r="P108">
        <f t="shared" si="10"/>
        <v>0.6638430807125042</v>
      </c>
      <c r="Q108">
        <f>VLOOKUP(C108,Sheet2!A:AU,47,0)</f>
        <v>1.2012630800938235</v>
      </c>
      <c r="R108">
        <f t="shared" si="11"/>
        <v>1.8651061608063277</v>
      </c>
    </row>
    <row r="109" spans="1:18" x14ac:dyDescent="0.3">
      <c r="A109" s="1">
        <v>107</v>
      </c>
      <c r="B109">
        <v>107</v>
      </c>
      <c r="C109" t="s">
        <v>158</v>
      </c>
      <c r="D109" t="s">
        <v>23</v>
      </c>
      <c r="E109">
        <v>2</v>
      </c>
      <c r="F109" t="s">
        <v>24</v>
      </c>
      <c r="G109">
        <v>30556</v>
      </c>
      <c r="H109">
        <v>6.5453593402277702E-2</v>
      </c>
      <c r="I109">
        <v>5.6695077306027998E-2</v>
      </c>
      <c r="J109">
        <v>2.5059224169263999E-3</v>
      </c>
      <c r="K109">
        <v>5.6695077306028052</v>
      </c>
      <c r="L109">
        <f t="shared" si="6"/>
        <v>0.4</v>
      </c>
      <c r="M109">
        <f t="shared" si="7"/>
        <v>0</v>
      </c>
      <c r="N109">
        <f t="shared" si="8"/>
        <v>0.16363398350569425</v>
      </c>
      <c r="O109">
        <f t="shared" si="9"/>
        <v>7.2326220709516865E-3</v>
      </c>
      <c r="P109">
        <f t="shared" si="10"/>
        <v>0.72326220709516864</v>
      </c>
      <c r="Q109">
        <f>VLOOKUP(C109,Sheet2!A:AU,47,0)</f>
        <v>0.81665506976564028</v>
      </c>
      <c r="R109">
        <f t="shared" si="11"/>
        <v>1.5399172768608089</v>
      </c>
    </row>
    <row r="110" spans="1:18" x14ac:dyDescent="0.3">
      <c r="A110" s="1">
        <v>108</v>
      </c>
      <c r="B110">
        <v>108</v>
      </c>
      <c r="C110" t="s">
        <v>159</v>
      </c>
      <c r="D110" t="s">
        <v>160</v>
      </c>
      <c r="E110">
        <v>1</v>
      </c>
      <c r="F110" t="s">
        <v>24</v>
      </c>
      <c r="G110">
        <v>13958</v>
      </c>
      <c r="H110">
        <v>7.1643501934374507E-2</v>
      </c>
      <c r="I110">
        <v>6.3901876237190694E-2</v>
      </c>
      <c r="J110">
        <v>2.8244629296837998E-3</v>
      </c>
      <c r="K110">
        <v>6.3901876237190738</v>
      </c>
      <c r="L110">
        <f t="shared" si="6"/>
        <v>0.4</v>
      </c>
      <c r="M110">
        <f t="shared" si="7"/>
        <v>0</v>
      </c>
      <c r="N110">
        <f t="shared" si="8"/>
        <v>0.17910875483593625</v>
      </c>
      <c r="O110">
        <f t="shared" si="9"/>
        <v>7.9166069637483828E-3</v>
      </c>
      <c r="P110">
        <f t="shared" si="10"/>
        <v>0.79166069637483827</v>
      </c>
      <c r="Q110">
        <f>VLOOKUP(C110,Sheet2!A:AU,47,0)</f>
        <v>1.832901338113567</v>
      </c>
      <c r="R110">
        <f t="shared" si="11"/>
        <v>2.6245620344884051</v>
      </c>
    </row>
    <row r="111" spans="1:18" x14ac:dyDescent="0.3">
      <c r="A111" s="1">
        <v>109</v>
      </c>
      <c r="B111">
        <v>109</v>
      </c>
      <c r="C111" t="s">
        <v>161</v>
      </c>
      <c r="D111" t="s">
        <v>160</v>
      </c>
      <c r="E111">
        <v>4</v>
      </c>
      <c r="F111" t="s">
        <v>24</v>
      </c>
      <c r="G111">
        <v>17165</v>
      </c>
      <c r="H111">
        <v>0.23303233323623651</v>
      </c>
      <c r="I111">
        <v>0.25180398349722588</v>
      </c>
      <c r="J111">
        <v>1.11297360705773E-2</v>
      </c>
      <c r="K111">
        <v>25.180398349722591</v>
      </c>
      <c r="L111">
        <f t="shared" si="6"/>
        <v>0.4</v>
      </c>
      <c r="M111">
        <f t="shared" si="7"/>
        <v>0</v>
      </c>
      <c r="N111">
        <f t="shared" si="8"/>
        <v>0.58258083309059128</v>
      </c>
      <c r="O111">
        <f t="shared" si="9"/>
        <v>2.5750072822604136E-2</v>
      </c>
      <c r="P111">
        <f t="shared" si="10"/>
        <v>2.5750072822604135</v>
      </c>
      <c r="Q111">
        <f>VLOOKUP(C111,Sheet2!A:AU,47,0)</f>
        <v>6.7001920270655084</v>
      </c>
      <c r="R111">
        <f t="shared" si="11"/>
        <v>9.275199309325922</v>
      </c>
    </row>
    <row r="112" spans="1:18" x14ac:dyDescent="0.3">
      <c r="A112" s="1">
        <v>110</v>
      </c>
      <c r="B112">
        <v>110</v>
      </c>
      <c r="C112" t="s">
        <v>162</v>
      </c>
      <c r="D112" t="s">
        <v>160</v>
      </c>
      <c r="E112">
        <v>2</v>
      </c>
      <c r="F112" t="s">
        <v>24</v>
      </c>
      <c r="G112">
        <v>27612</v>
      </c>
      <c r="H112">
        <v>7.2432275822106304E-2</v>
      </c>
      <c r="I112">
        <v>6.4820231457071303E-2</v>
      </c>
      <c r="J112">
        <v>2.8650542304025002E-3</v>
      </c>
      <c r="K112">
        <v>6.4820231457071316</v>
      </c>
      <c r="L112">
        <f t="shared" si="6"/>
        <v>0.4</v>
      </c>
      <c r="M112">
        <f t="shared" si="7"/>
        <v>0</v>
      </c>
      <c r="N112">
        <f t="shared" si="8"/>
        <v>0.18108068955526574</v>
      </c>
      <c r="O112">
        <f t="shared" si="9"/>
        <v>8.0037664783427463E-3</v>
      </c>
      <c r="P112">
        <f t="shared" si="10"/>
        <v>0.80037664783427465</v>
      </c>
      <c r="Q112">
        <f>VLOOKUP(C112,Sheet2!A:AU,47,0)</f>
        <v>1.0815404097534602</v>
      </c>
      <c r="R112">
        <f t="shared" si="11"/>
        <v>1.8819170575877349</v>
      </c>
    </row>
    <row r="113" spans="1:18" x14ac:dyDescent="0.3">
      <c r="A113" s="1">
        <v>111</v>
      </c>
      <c r="B113">
        <v>111</v>
      </c>
      <c r="C113" t="s">
        <v>163</v>
      </c>
      <c r="D113" t="s">
        <v>164</v>
      </c>
      <c r="E113">
        <v>6</v>
      </c>
      <c r="F113" t="s">
        <v>24</v>
      </c>
      <c r="G113">
        <v>19766</v>
      </c>
      <c r="H113">
        <v>0.30355155317211369</v>
      </c>
      <c r="I113">
        <v>0.33390824016354409</v>
      </c>
      <c r="J113">
        <v>1.47587442152286E-2</v>
      </c>
      <c r="K113">
        <v>33.390824016354408</v>
      </c>
      <c r="L113">
        <f t="shared" si="6"/>
        <v>0.4</v>
      </c>
      <c r="M113">
        <f t="shared" si="7"/>
        <v>0</v>
      </c>
      <c r="N113">
        <f t="shared" si="8"/>
        <v>0.75887888293028416</v>
      </c>
      <c r="O113">
        <f t="shared" si="9"/>
        <v>3.3542446625518564E-2</v>
      </c>
      <c r="P113">
        <f t="shared" si="10"/>
        <v>3.3542446625518565</v>
      </c>
      <c r="Q113">
        <f>VLOOKUP(C113,Sheet2!A:AU,47,0)</f>
        <v>7.3757066264972293</v>
      </c>
      <c r="R113">
        <f t="shared" si="11"/>
        <v>10.729951289049087</v>
      </c>
    </row>
    <row r="114" spans="1:18" x14ac:dyDescent="0.3">
      <c r="A114" s="1">
        <v>112</v>
      </c>
      <c r="B114">
        <v>112</v>
      </c>
      <c r="C114" t="s">
        <v>165</v>
      </c>
      <c r="D114" t="s">
        <v>148</v>
      </c>
      <c r="E114">
        <v>1</v>
      </c>
      <c r="F114" t="s">
        <v>12</v>
      </c>
      <c r="G114">
        <v>17595</v>
      </c>
      <c r="H114">
        <v>5.6834327934072101E-2</v>
      </c>
      <c r="I114">
        <v>4.6659821883177702E-2</v>
      </c>
      <c r="J114">
        <v>2.0623641272363999E-3</v>
      </c>
      <c r="K114">
        <v>4.6659821883177743</v>
      </c>
      <c r="L114">
        <f t="shared" si="6"/>
        <v>0.4</v>
      </c>
      <c r="M114">
        <f t="shared" si="7"/>
        <v>0</v>
      </c>
      <c r="N114">
        <f t="shared" si="8"/>
        <v>0.14208581983518023</v>
      </c>
      <c r="O114">
        <f t="shared" si="9"/>
        <v>6.280193236714967E-3</v>
      </c>
      <c r="P114">
        <f t="shared" si="10"/>
        <v>0.62801932367149671</v>
      </c>
      <c r="Q114">
        <f>VLOOKUP(C114,Sheet2!A:AU,47,0)</f>
        <v>1.7729327279543505</v>
      </c>
      <c r="R114">
        <f t="shared" si="11"/>
        <v>2.4009520516258473</v>
      </c>
    </row>
    <row r="115" spans="1:18" x14ac:dyDescent="0.3">
      <c r="A115" s="1">
        <v>113</v>
      </c>
      <c r="B115">
        <v>113</v>
      </c>
      <c r="C115" t="s">
        <v>166</v>
      </c>
      <c r="D115" t="s">
        <v>167</v>
      </c>
      <c r="E115">
        <v>2</v>
      </c>
      <c r="F115" t="s">
        <v>12</v>
      </c>
      <c r="G115">
        <v>19398</v>
      </c>
      <c r="H115">
        <v>0.1031034127229611</v>
      </c>
      <c r="I115">
        <v>0.100530083305197</v>
      </c>
      <c r="J115">
        <v>4.4434296820897003E-3</v>
      </c>
      <c r="K115">
        <v>10.053008330519701</v>
      </c>
      <c r="L115">
        <f t="shared" si="6"/>
        <v>0.4</v>
      </c>
      <c r="M115">
        <f t="shared" si="7"/>
        <v>0</v>
      </c>
      <c r="N115">
        <f t="shared" si="8"/>
        <v>0.25775853180740271</v>
      </c>
      <c r="O115">
        <f t="shared" si="9"/>
        <v>1.1392927105887201E-2</v>
      </c>
      <c r="P115">
        <f t="shared" si="10"/>
        <v>1.1392927105887201</v>
      </c>
      <c r="Q115">
        <f>VLOOKUP(C115,Sheet2!A:AU,47,0)</f>
        <v>3.9288205011119666</v>
      </c>
      <c r="R115">
        <f t="shared" si="11"/>
        <v>5.0681132117006866</v>
      </c>
    </row>
    <row r="116" spans="1:18" x14ac:dyDescent="0.3">
      <c r="A116" s="1">
        <v>114</v>
      </c>
      <c r="B116">
        <v>114</v>
      </c>
      <c r="C116" t="s">
        <v>168</v>
      </c>
      <c r="D116" t="s">
        <v>111</v>
      </c>
      <c r="E116">
        <v>2</v>
      </c>
      <c r="F116" t="s">
        <v>24</v>
      </c>
      <c r="G116">
        <v>25778</v>
      </c>
      <c r="H116">
        <v>7.7585538055706393E-2</v>
      </c>
      <c r="I116">
        <v>7.0820081788386294E-2</v>
      </c>
      <c r="J116">
        <v>3.1302476150466001E-3</v>
      </c>
      <c r="K116">
        <v>7.0820081788386293</v>
      </c>
      <c r="L116">
        <f t="shared" si="6"/>
        <v>0.4</v>
      </c>
      <c r="M116">
        <f t="shared" si="7"/>
        <v>0</v>
      </c>
      <c r="N116">
        <f t="shared" si="8"/>
        <v>0.19396384513926598</v>
      </c>
      <c r="O116">
        <f t="shared" si="9"/>
        <v>8.5732019551555579E-3</v>
      </c>
      <c r="P116">
        <f t="shared" si="10"/>
        <v>0.85732019551555583</v>
      </c>
      <c r="Q116">
        <f>VLOOKUP(C116,Sheet2!A:AU,47,0)</f>
        <v>1.0728174992008845</v>
      </c>
      <c r="R116">
        <f t="shared" si="11"/>
        <v>1.9301376947164404</v>
      </c>
    </row>
    <row r="117" spans="1:18" x14ac:dyDescent="0.3">
      <c r="A117" s="1">
        <v>115</v>
      </c>
      <c r="B117">
        <v>115</v>
      </c>
      <c r="C117" t="s">
        <v>169</v>
      </c>
      <c r="D117" t="s">
        <v>74</v>
      </c>
      <c r="E117">
        <v>1</v>
      </c>
      <c r="F117" t="s">
        <v>17</v>
      </c>
      <c r="G117">
        <v>20410</v>
      </c>
      <c r="H117">
        <v>4.89955903968642E-2</v>
      </c>
      <c r="I117">
        <v>3.7533321061415402E-2</v>
      </c>
      <c r="J117">
        <v>1.6589727909145E-3</v>
      </c>
      <c r="K117">
        <v>3.7533321061415421</v>
      </c>
      <c r="L117">
        <f t="shared" si="6"/>
        <v>0.4</v>
      </c>
      <c r="M117">
        <f t="shared" si="7"/>
        <v>0</v>
      </c>
      <c r="N117">
        <f t="shared" si="8"/>
        <v>0.12248897599216049</v>
      </c>
      <c r="O117">
        <f t="shared" si="9"/>
        <v>5.4140127388534942E-3</v>
      </c>
      <c r="P117">
        <f t="shared" si="10"/>
        <v>0.54140127388534942</v>
      </c>
      <c r="Q117">
        <f>VLOOKUP(C117,Sheet2!A:AU,47,0)</f>
        <v>0.93265770559986805</v>
      </c>
      <c r="R117">
        <f t="shared" si="11"/>
        <v>1.4740589794852175</v>
      </c>
    </row>
    <row r="118" spans="1:18" x14ac:dyDescent="0.3">
      <c r="A118" s="1">
        <v>116</v>
      </c>
      <c r="B118">
        <v>116</v>
      </c>
      <c r="C118" t="s">
        <v>170</v>
      </c>
      <c r="D118" t="s">
        <v>74</v>
      </c>
      <c r="E118">
        <v>2</v>
      </c>
      <c r="F118" t="s">
        <v>17</v>
      </c>
      <c r="G118">
        <v>29660</v>
      </c>
      <c r="H118">
        <v>6.7430883344571799E-2</v>
      </c>
      <c r="I118">
        <v>5.8997200345299497E-2</v>
      </c>
      <c r="J118">
        <v>2.6076762552622E-3</v>
      </c>
      <c r="K118">
        <v>5.899720034529957</v>
      </c>
      <c r="L118">
        <f t="shared" si="6"/>
        <v>0.4</v>
      </c>
      <c r="M118">
        <f t="shared" si="7"/>
        <v>0</v>
      </c>
      <c r="N118">
        <f t="shared" si="8"/>
        <v>0.16857720836142948</v>
      </c>
      <c r="O118">
        <f t="shared" si="9"/>
        <v>7.4511126095751831E-3</v>
      </c>
      <c r="P118">
        <f t="shared" si="10"/>
        <v>0.74511126095751834</v>
      </c>
      <c r="Q118">
        <f>VLOOKUP(C118,Sheet2!A:AU,47,0)</f>
        <v>0.94302733252487581</v>
      </c>
      <c r="R118">
        <f t="shared" si="11"/>
        <v>1.6881385934823943</v>
      </c>
    </row>
    <row r="119" spans="1:18" x14ac:dyDescent="0.3">
      <c r="A119" s="1">
        <v>117</v>
      </c>
      <c r="B119">
        <v>117</v>
      </c>
      <c r="C119" t="s">
        <v>171</v>
      </c>
      <c r="D119" t="s">
        <v>172</v>
      </c>
      <c r="E119">
        <v>1</v>
      </c>
      <c r="F119" t="s">
        <v>12</v>
      </c>
      <c r="G119">
        <v>20197</v>
      </c>
      <c r="H119">
        <v>4.9512303807496098E-2</v>
      </c>
      <c r="I119">
        <v>3.8134921171683503E-2</v>
      </c>
      <c r="J119">
        <v>1.6855635157884E-3</v>
      </c>
      <c r="K119">
        <v>3.8134921171683591</v>
      </c>
      <c r="L119">
        <f t="shared" si="6"/>
        <v>0.4</v>
      </c>
      <c r="M119">
        <f t="shared" si="7"/>
        <v>0</v>
      </c>
      <c r="N119">
        <f t="shared" si="8"/>
        <v>0.12378075951874024</v>
      </c>
      <c r="O119">
        <f t="shared" si="9"/>
        <v>5.4711095707283188E-3</v>
      </c>
      <c r="P119">
        <f t="shared" si="10"/>
        <v>0.54711095707283186</v>
      </c>
      <c r="Q119">
        <f>VLOOKUP(C119,Sheet2!A:AU,47,0)</f>
        <v>0.89483193793519122</v>
      </c>
      <c r="R119">
        <f t="shared" si="11"/>
        <v>1.4419428950080231</v>
      </c>
    </row>
    <row r="120" spans="1:18" x14ac:dyDescent="0.3">
      <c r="A120" s="1">
        <v>118</v>
      </c>
      <c r="B120">
        <v>118</v>
      </c>
      <c r="C120" t="s">
        <v>173</v>
      </c>
      <c r="D120" t="s">
        <v>14</v>
      </c>
      <c r="E120">
        <v>3</v>
      </c>
      <c r="F120" t="s">
        <v>12</v>
      </c>
      <c r="G120">
        <v>47430</v>
      </c>
      <c r="H120">
        <v>6.3251106894370607E-2</v>
      </c>
      <c r="I120">
        <v>5.4130761964568799E-2</v>
      </c>
      <c r="J120">
        <v>2.3925796788338998E-3</v>
      </c>
      <c r="K120">
        <v>5.4130761964568803</v>
      </c>
      <c r="L120">
        <f t="shared" si="6"/>
        <v>0.4</v>
      </c>
      <c r="M120">
        <f t="shared" si="7"/>
        <v>0</v>
      </c>
      <c r="N120">
        <f t="shared" si="8"/>
        <v>0.1581277672359265</v>
      </c>
      <c r="O120">
        <f t="shared" si="9"/>
        <v>6.989247311827952E-3</v>
      </c>
      <c r="P120">
        <f t="shared" si="10"/>
        <v>0.69892473118279519</v>
      </c>
      <c r="Q120">
        <f>VLOOKUP(C120,Sheet2!A:AU,47,0)</f>
        <v>1.5117299882583706</v>
      </c>
      <c r="R120">
        <f t="shared" si="11"/>
        <v>2.2106547194411656</v>
      </c>
    </row>
    <row r="121" spans="1:18" x14ac:dyDescent="0.3">
      <c r="A121" s="1">
        <v>119</v>
      </c>
      <c r="B121">
        <v>119</v>
      </c>
      <c r="C121" t="s">
        <v>174</v>
      </c>
      <c r="D121" t="s">
        <v>14</v>
      </c>
      <c r="E121">
        <v>4</v>
      </c>
      <c r="F121" t="s">
        <v>12</v>
      </c>
      <c r="G121">
        <v>17094</v>
      </c>
      <c r="H121">
        <v>0.23400023400023401</v>
      </c>
      <c r="I121">
        <v>0.25293089291039061</v>
      </c>
      <c r="J121">
        <v>1.11795454666392E-2</v>
      </c>
      <c r="K121">
        <v>25.29308929103906</v>
      </c>
      <c r="L121">
        <f t="shared" si="6"/>
        <v>0.4</v>
      </c>
      <c r="M121">
        <f t="shared" si="7"/>
        <v>0</v>
      </c>
      <c r="N121">
        <f t="shared" si="8"/>
        <v>0.58500058500058494</v>
      </c>
      <c r="O121">
        <f t="shared" si="9"/>
        <v>2.5857025857025855E-2</v>
      </c>
      <c r="P121">
        <f t="shared" si="10"/>
        <v>2.5857025857025855</v>
      </c>
      <c r="Q121">
        <f>VLOOKUP(C121,Sheet2!A:AU,47,0)</f>
        <v>8.0399999999999991</v>
      </c>
      <c r="R121">
        <f t="shared" si="11"/>
        <v>10.625702585702584</v>
      </c>
    </row>
    <row r="122" spans="1:18" x14ac:dyDescent="0.3">
      <c r="A122" s="1">
        <v>120</v>
      </c>
      <c r="B122">
        <v>120</v>
      </c>
      <c r="C122" t="s">
        <v>175</v>
      </c>
      <c r="D122" t="s">
        <v>14</v>
      </c>
      <c r="E122">
        <v>3</v>
      </c>
      <c r="F122" t="s">
        <v>12</v>
      </c>
      <c r="G122">
        <v>22590</v>
      </c>
      <c r="H122">
        <v>0.13280212483399731</v>
      </c>
      <c r="I122">
        <v>0.1351077584984397</v>
      </c>
      <c r="J122">
        <v>5.9717629256310001E-3</v>
      </c>
      <c r="K122">
        <v>13.51077584984397</v>
      </c>
      <c r="L122">
        <f t="shared" si="6"/>
        <v>0.4</v>
      </c>
      <c r="M122">
        <f t="shared" si="7"/>
        <v>0</v>
      </c>
      <c r="N122">
        <f t="shared" si="8"/>
        <v>0.33200531208499323</v>
      </c>
      <c r="O122">
        <f t="shared" si="9"/>
        <v>1.4674634794156701E-2</v>
      </c>
      <c r="P122">
        <f t="shared" si="10"/>
        <v>1.46746347941567</v>
      </c>
      <c r="Q122">
        <f>VLOOKUP(C122,Sheet2!A:AU,47,0)</f>
        <v>5.424978959070577</v>
      </c>
      <c r="R122">
        <f t="shared" si="11"/>
        <v>6.8924424384862473</v>
      </c>
    </row>
    <row r="123" spans="1:18" x14ac:dyDescent="0.3">
      <c r="A123" s="1">
        <v>121</v>
      </c>
      <c r="B123">
        <v>121</v>
      </c>
      <c r="C123" t="s">
        <v>176</v>
      </c>
      <c r="D123" t="s">
        <v>14</v>
      </c>
      <c r="E123">
        <v>2</v>
      </c>
      <c r="F123" t="s">
        <v>12</v>
      </c>
      <c r="G123">
        <v>13789</v>
      </c>
      <c r="H123">
        <v>0.14504315033722531</v>
      </c>
      <c r="I123">
        <v>0.14935976384804309</v>
      </c>
      <c r="J123">
        <v>6.6017015620835002E-3</v>
      </c>
      <c r="K123">
        <v>14.935976384804309</v>
      </c>
      <c r="L123">
        <f t="shared" si="6"/>
        <v>0.4</v>
      </c>
      <c r="M123">
        <f t="shared" si="7"/>
        <v>0</v>
      </c>
      <c r="N123">
        <f t="shared" si="8"/>
        <v>0.36260787584306325</v>
      </c>
      <c r="O123">
        <f t="shared" si="9"/>
        <v>1.6027268112263397E-2</v>
      </c>
      <c r="P123">
        <f t="shared" si="10"/>
        <v>1.6027268112263398</v>
      </c>
      <c r="Q123">
        <f>VLOOKUP(C123,Sheet2!A:AU,47,0)</f>
        <v>5.3576459667712095</v>
      </c>
      <c r="R123">
        <f t="shared" si="11"/>
        <v>6.9603727779975495</v>
      </c>
    </row>
    <row r="124" spans="1:18" x14ac:dyDescent="0.3">
      <c r="A124" s="1">
        <v>122</v>
      </c>
      <c r="B124">
        <v>122</v>
      </c>
      <c r="C124" t="s">
        <v>177</v>
      </c>
      <c r="D124" t="s">
        <v>121</v>
      </c>
      <c r="E124">
        <v>1</v>
      </c>
      <c r="F124" t="s">
        <v>12</v>
      </c>
      <c r="G124">
        <v>13722</v>
      </c>
      <c r="H124">
        <v>7.2875674099985396E-2</v>
      </c>
      <c r="I124">
        <v>6.5336472079776595E-2</v>
      </c>
      <c r="J124">
        <v>2.8878720659261002E-3</v>
      </c>
      <c r="K124">
        <v>6.5336472079776611</v>
      </c>
      <c r="L124">
        <f t="shared" si="6"/>
        <v>0.4</v>
      </c>
      <c r="M124">
        <f t="shared" si="7"/>
        <v>0</v>
      </c>
      <c r="N124">
        <f t="shared" si="8"/>
        <v>0.18218918524996347</v>
      </c>
      <c r="O124">
        <f t="shared" si="9"/>
        <v>8.0527619880483865E-3</v>
      </c>
      <c r="P124">
        <f t="shared" si="10"/>
        <v>0.80527619880483869</v>
      </c>
      <c r="Q124">
        <f>VLOOKUP(C124,Sheet2!A:AU,47,0)</f>
        <v>1.6547640788378462</v>
      </c>
      <c r="R124">
        <f t="shared" si="11"/>
        <v>2.4600402776426851</v>
      </c>
    </row>
    <row r="125" spans="1:18" x14ac:dyDescent="0.3">
      <c r="A125" s="1">
        <v>123</v>
      </c>
      <c r="B125">
        <v>123</v>
      </c>
      <c r="C125" t="s">
        <v>178</v>
      </c>
      <c r="D125" t="s">
        <v>31</v>
      </c>
      <c r="E125">
        <v>1</v>
      </c>
      <c r="F125" t="s">
        <v>24</v>
      </c>
      <c r="G125">
        <v>34990</v>
      </c>
      <c r="H125">
        <v>2.85795941697627E-2</v>
      </c>
      <c r="I125">
        <v>1.3763344651399501E-2</v>
      </c>
      <c r="J125">
        <v>6.0833983359180003E-4</v>
      </c>
      <c r="K125">
        <v>1.3763344651399509</v>
      </c>
      <c r="L125">
        <f t="shared" si="6"/>
        <v>0.4</v>
      </c>
      <c r="M125">
        <f t="shared" si="7"/>
        <v>0</v>
      </c>
      <c r="N125">
        <f t="shared" si="8"/>
        <v>7.1448985424406752E-2</v>
      </c>
      <c r="O125">
        <f t="shared" si="9"/>
        <v>3.1580451557587787E-3</v>
      </c>
      <c r="P125">
        <f t="shared" si="10"/>
        <v>0.31580451557587785</v>
      </c>
      <c r="Q125">
        <f>VLOOKUP(C125,Sheet2!A:AU,47,0)</f>
        <v>0.35481767511869666</v>
      </c>
      <c r="R125">
        <f t="shared" si="11"/>
        <v>0.67062219069457452</v>
      </c>
    </row>
    <row r="126" spans="1:18" x14ac:dyDescent="0.3">
      <c r="A126" s="1">
        <v>124</v>
      </c>
      <c r="B126">
        <v>124</v>
      </c>
      <c r="C126" t="s">
        <v>179</v>
      </c>
      <c r="D126" t="s">
        <v>89</v>
      </c>
      <c r="E126">
        <v>1</v>
      </c>
      <c r="F126" t="s">
        <v>24</v>
      </c>
      <c r="G126">
        <v>30852</v>
      </c>
      <c r="H126">
        <v>3.2412809542331097E-2</v>
      </c>
      <c r="I126">
        <v>1.8226288216186499E-2</v>
      </c>
      <c r="J126">
        <v>8.0560193915540001E-4</v>
      </c>
      <c r="K126">
        <v>1.8226288216186579</v>
      </c>
      <c r="L126">
        <f t="shared" si="6"/>
        <v>0.4</v>
      </c>
      <c r="M126">
        <f t="shared" si="7"/>
        <v>0</v>
      </c>
      <c r="N126">
        <f t="shared" si="8"/>
        <v>8.1032023855827737E-2</v>
      </c>
      <c r="O126">
        <f t="shared" si="9"/>
        <v>3.5816154544275861E-3</v>
      </c>
      <c r="P126">
        <f t="shared" si="10"/>
        <v>0.35816154544275863</v>
      </c>
      <c r="Q126">
        <f>VLOOKUP(C126,Sheet2!A:AU,47,0)</f>
        <v>0.17714578590889044</v>
      </c>
      <c r="R126">
        <f t="shared" si="11"/>
        <v>0.5353073313516491</v>
      </c>
    </row>
    <row r="127" spans="1:18" x14ac:dyDescent="0.3">
      <c r="A127" s="1">
        <v>125</v>
      </c>
      <c r="B127">
        <v>125</v>
      </c>
      <c r="C127" t="s">
        <v>180</v>
      </c>
      <c r="D127" t="s">
        <v>89</v>
      </c>
      <c r="E127">
        <v>2</v>
      </c>
      <c r="F127" t="s">
        <v>24</v>
      </c>
      <c r="G127">
        <v>26037</v>
      </c>
      <c r="H127">
        <v>7.6813765026692696E-2</v>
      </c>
      <c r="I127">
        <v>6.99215203618717E-2</v>
      </c>
      <c r="J127">
        <v>3.0905311999947001E-3</v>
      </c>
      <c r="K127">
        <v>6.9921520361871696</v>
      </c>
      <c r="L127">
        <f t="shared" si="6"/>
        <v>0.4</v>
      </c>
      <c r="M127">
        <f t="shared" si="7"/>
        <v>0</v>
      </c>
      <c r="N127">
        <f t="shared" si="8"/>
        <v>0.19203441256673173</v>
      </c>
      <c r="O127">
        <f t="shared" si="9"/>
        <v>8.4879210354495433E-3</v>
      </c>
      <c r="P127">
        <f t="shared" si="10"/>
        <v>0.84879210354495438</v>
      </c>
      <c r="Q127">
        <f>VLOOKUP(C127,Sheet2!A:AU,47,0)</f>
        <v>0.84063448495670323</v>
      </c>
      <c r="R127">
        <f t="shared" si="11"/>
        <v>1.6894265885016577</v>
      </c>
    </row>
    <row r="128" spans="1:18" x14ac:dyDescent="0.3">
      <c r="A128" s="1">
        <v>126</v>
      </c>
      <c r="B128">
        <v>126</v>
      </c>
      <c r="C128" t="s">
        <v>181</v>
      </c>
      <c r="D128" t="s">
        <v>182</v>
      </c>
      <c r="E128">
        <v>1</v>
      </c>
      <c r="F128" t="s">
        <v>24</v>
      </c>
      <c r="G128">
        <v>12235</v>
      </c>
      <c r="H128">
        <v>8.1732733959950898E-2</v>
      </c>
      <c r="I128">
        <v>7.5648587226722297E-2</v>
      </c>
      <c r="J128">
        <v>3.3436675554211E-3</v>
      </c>
      <c r="K128">
        <v>7.5648587226722297</v>
      </c>
      <c r="L128">
        <f t="shared" si="6"/>
        <v>0.4</v>
      </c>
      <c r="M128">
        <f t="shared" si="7"/>
        <v>0</v>
      </c>
      <c r="N128">
        <f t="shared" si="8"/>
        <v>0.20433183489987725</v>
      </c>
      <c r="O128">
        <f t="shared" si="9"/>
        <v>9.0314671025745752E-3</v>
      </c>
      <c r="P128">
        <f t="shared" si="10"/>
        <v>0.90314671025745752</v>
      </c>
      <c r="Q128">
        <f>VLOOKUP(C128,Sheet2!A:AU,47,0)</f>
        <v>2.1108588042471417</v>
      </c>
      <c r="R128">
        <f t="shared" si="11"/>
        <v>3.014005514504599</v>
      </c>
    </row>
    <row r="129" spans="1:18" x14ac:dyDescent="0.3">
      <c r="A129" s="1">
        <v>127</v>
      </c>
      <c r="B129">
        <v>127</v>
      </c>
      <c r="C129" t="s">
        <v>183</v>
      </c>
      <c r="D129" t="s">
        <v>121</v>
      </c>
      <c r="E129">
        <v>1</v>
      </c>
      <c r="F129" t="s">
        <v>12</v>
      </c>
      <c r="G129">
        <v>14843</v>
      </c>
      <c r="H129">
        <v>6.7371825102742006E-2</v>
      </c>
      <c r="I129">
        <v>5.8928439898858598E-2</v>
      </c>
      <c r="J129">
        <v>2.6046370435294998E-3</v>
      </c>
      <c r="K129">
        <v>5.8928439898858693</v>
      </c>
      <c r="L129">
        <f t="shared" si="6"/>
        <v>0.4</v>
      </c>
      <c r="M129">
        <f t="shared" si="7"/>
        <v>0</v>
      </c>
      <c r="N129">
        <f t="shared" si="8"/>
        <v>0.168429562756855</v>
      </c>
      <c r="O129">
        <f t="shared" si="9"/>
        <v>7.4445866738529912E-3</v>
      </c>
      <c r="P129">
        <f t="shared" si="10"/>
        <v>0.74445866738529909</v>
      </c>
      <c r="Q129">
        <f>VLOOKUP(C129,Sheet2!A:AU,47,0)</f>
        <v>2.6896351119873305</v>
      </c>
      <c r="R129">
        <f t="shared" si="11"/>
        <v>3.4340937793726294</v>
      </c>
    </row>
    <row r="130" spans="1:18" x14ac:dyDescent="0.3">
      <c r="A130" s="1">
        <v>128</v>
      </c>
      <c r="B130">
        <v>128</v>
      </c>
      <c r="C130" t="s">
        <v>184</v>
      </c>
      <c r="D130" t="s">
        <v>48</v>
      </c>
      <c r="E130">
        <v>1</v>
      </c>
      <c r="F130" t="s">
        <v>17</v>
      </c>
      <c r="G130">
        <v>5194</v>
      </c>
      <c r="H130">
        <v>0.1925298421255294</v>
      </c>
      <c r="I130">
        <v>0.20464766315218291</v>
      </c>
      <c r="J130">
        <v>9.0454267113263993E-3</v>
      </c>
      <c r="K130">
        <v>20.464766315218291</v>
      </c>
      <c r="L130">
        <f t="shared" si="6"/>
        <v>0.4</v>
      </c>
      <c r="M130">
        <f t="shared" si="7"/>
        <v>0</v>
      </c>
      <c r="N130">
        <f t="shared" si="8"/>
        <v>0.48132460531382348</v>
      </c>
      <c r="O130">
        <f t="shared" si="9"/>
        <v>2.1274547554871001E-2</v>
      </c>
      <c r="P130">
        <f t="shared" si="10"/>
        <v>2.1274547554871002</v>
      </c>
      <c r="Q130">
        <f>VLOOKUP(C130,Sheet2!A:AU,47,0)</f>
        <v>8.0399999999999991</v>
      </c>
      <c r="R130">
        <f t="shared" si="11"/>
        <v>10.1674547554871</v>
      </c>
    </row>
    <row r="131" spans="1:18" x14ac:dyDescent="0.3">
      <c r="A131" s="1">
        <v>129</v>
      </c>
      <c r="B131">
        <v>129</v>
      </c>
      <c r="C131" t="s">
        <v>185</v>
      </c>
      <c r="D131" t="s">
        <v>72</v>
      </c>
      <c r="E131">
        <v>2</v>
      </c>
      <c r="F131" t="s">
        <v>12</v>
      </c>
      <c r="G131">
        <v>28443</v>
      </c>
      <c r="H131">
        <v>7.0316070737967099E-2</v>
      </c>
      <c r="I131">
        <v>6.23563720220872E-2</v>
      </c>
      <c r="J131">
        <v>2.7561516433762001E-3</v>
      </c>
      <c r="K131">
        <v>6.2356372022087214</v>
      </c>
      <c r="L131">
        <f t="shared" ref="L131:L194" si="12">MAX(H:H)</f>
        <v>0.4</v>
      </c>
      <c r="M131">
        <f t="shared" ref="M131:M194" si="13">MIN(H:H)</f>
        <v>0</v>
      </c>
      <c r="N131">
        <f t="shared" ref="N131:N194" si="14">(H131-M131)/(L131-M131)</f>
        <v>0.17579017684491774</v>
      </c>
      <c r="O131">
        <f t="shared" ref="O131:O194" si="15">N131*0.0442</f>
        <v>7.7699258165453648E-3</v>
      </c>
      <c r="P131">
        <f t="shared" ref="P131:P194" si="16">O131*100</f>
        <v>0.77699258165453644</v>
      </c>
      <c r="Q131">
        <f>VLOOKUP(C131,Sheet2!A:AU,47,0)</f>
        <v>1.832901338113567</v>
      </c>
      <c r="R131">
        <f t="shared" ref="R131:R194" si="17">IFERROR((P131+Q131),0)</f>
        <v>2.6098939197681035</v>
      </c>
    </row>
    <row r="132" spans="1:18" x14ac:dyDescent="0.3">
      <c r="A132" s="1">
        <v>130</v>
      </c>
      <c r="B132">
        <v>130</v>
      </c>
      <c r="C132" t="s">
        <v>186</v>
      </c>
      <c r="D132" t="s">
        <v>64</v>
      </c>
      <c r="E132">
        <v>1</v>
      </c>
      <c r="F132" t="s">
        <v>24</v>
      </c>
      <c r="G132">
        <v>22432</v>
      </c>
      <c r="H132">
        <v>4.45791726105563E-2</v>
      </c>
      <c r="I132">
        <v>3.2391365438502399E-2</v>
      </c>
      <c r="J132">
        <v>1.4316983523818001E-3</v>
      </c>
      <c r="K132">
        <v>3.239136543850246</v>
      </c>
      <c r="L132">
        <f t="shared" si="12"/>
        <v>0.4</v>
      </c>
      <c r="M132">
        <f t="shared" si="13"/>
        <v>0</v>
      </c>
      <c r="N132">
        <f t="shared" si="14"/>
        <v>0.11144793152639075</v>
      </c>
      <c r="O132">
        <f t="shared" si="15"/>
        <v>4.9259985734664714E-3</v>
      </c>
      <c r="P132">
        <f t="shared" si="16"/>
        <v>0.49259985734664713</v>
      </c>
      <c r="Q132">
        <f>VLOOKUP(C132,Sheet2!A:AU,47,0)</f>
        <v>0.51036677392111107</v>
      </c>
      <c r="R132">
        <f t="shared" si="17"/>
        <v>1.0029666312677583</v>
      </c>
    </row>
    <row r="133" spans="1:18" x14ac:dyDescent="0.3">
      <c r="A133" s="1">
        <v>131</v>
      </c>
      <c r="B133">
        <v>131</v>
      </c>
      <c r="C133" t="s">
        <v>187</v>
      </c>
      <c r="D133" t="s">
        <v>116</v>
      </c>
      <c r="E133">
        <v>1</v>
      </c>
      <c r="F133" t="s">
        <v>12</v>
      </c>
      <c r="G133">
        <v>21506</v>
      </c>
      <c r="H133">
        <v>4.6498651539105297E-2</v>
      </c>
      <c r="I133">
        <v>3.4626180156510901E-2</v>
      </c>
      <c r="J133">
        <v>1.5304771629177001E-3</v>
      </c>
      <c r="K133">
        <v>3.4626180156510968</v>
      </c>
      <c r="L133">
        <f t="shared" si="12"/>
        <v>0.4</v>
      </c>
      <c r="M133">
        <f t="shared" si="13"/>
        <v>0</v>
      </c>
      <c r="N133">
        <f t="shared" si="14"/>
        <v>0.11624662884776324</v>
      </c>
      <c r="O133">
        <f t="shared" si="15"/>
        <v>5.1381009950711353E-3</v>
      </c>
      <c r="P133">
        <f t="shared" si="16"/>
        <v>0.51381009950711354</v>
      </c>
      <c r="Q133">
        <f>VLOOKUP(C133,Sheet2!A:AU,47,0)</f>
        <v>1.1452376907841888</v>
      </c>
      <c r="R133">
        <f t="shared" si="17"/>
        <v>1.6590477902913023</v>
      </c>
    </row>
    <row r="134" spans="1:18" x14ac:dyDescent="0.3">
      <c r="A134" s="1">
        <v>132</v>
      </c>
      <c r="B134">
        <v>132</v>
      </c>
      <c r="C134" t="s">
        <v>188</v>
      </c>
      <c r="D134" t="s">
        <v>16</v>
      </c>
      <c r="E134">
        <v>1</v>
      </c>
      <c r="F134" t="s">
        <v>17</v>
      </c>
      <c r="G134">
        <v>21118</v>
      </c>
      <c r="H134">
        <v>4.7352969031158203E-2</v>
      </c>
      <c r="I134">
        <v>3.5620846613482797E-2</v>
      </c>
      <c r="J134">
        <v>1.5744414203158999E-3</v>
      </c>
      <c r="K134">
        <v>3.5620846613482811</v>
      </c>
      <c r="L134">
        <f t="shared" si="12"/>
        <v>0.4</v>
      </c>
      <c r="M134">
        <f t="shared" si="13"/>
        <v>0</v>
      </c>
      <c r="N134">
        <f t="shared" si="14"/>
        <v>0.1183824225778955</v>
      </c>
      <c r="O134">
        <f t="shared" si="15"/>
        <v>5.2325030779429814E-3</v>
      </c>
      <c r="P134">
        <f t="shared" si="16"/>
        <v>0.52325030779429815</v>
      </c>
      <c r="Q134">
        <f>VLOOKUP(C134,Sheet2!A:AU,47,0)</f>
        <v>0.54299926377769192</v>
      </c>
      <c r="R134">
        <f t="shared" si="17"/>
        <v>1.0662495715719902</v>
      </c>
    </row>
    <row r="135" spans="1:18" x14ac:dyDescent="0.3">
      <c r="A135" s="1">
        <v>133</v>
      </c>
      <c r="B135">
        <v>133</v>
      </c>
      <c r="C135" t="s">
        <v>189</v>
      </c>
      <c r="D135" t="s">
        <v>50</v>
      </c>
      <c r="E135">
        <v>1</v>
      </c>
      <c r="F135" t="s">
        <v>12</v>
      </c>
      <c r="G135">
        <v>15138</v>
      </c>
      <c r="H135">
        <v>6.6058924560708096E-2</v>
      </c>
      <c r="I135">
        <v>5.7399853462728002E-2</v>
      </c>
      <c r="J135">
        <v>2.5370735230525001E-3</v>
      </c>
      <c r="K135">
        <v>5.7399853462728014</v>
      </c>
      <c r="L135">
        <f t="shared" si="12"/>
        <v>0.4</v>
      </c>
      <c r="M135">
        <f t="shared" si="13"/>
        <v>0</v>
      </c>
      <c r="N135">
        <f t="shared" si="14"/>
        <v>0.16514731140177022</v>
      </c>
      <c r="O135">
        <f t="shared" si="15"/>
        <v>7.2995111639582444E-3</v>
      </c>
      <c r="P135">
        <f t="shared" si="16"/>
        <v>0.72995111639582444</v>
      </c>
      <c r="Q135">
        <f>VLOOKUP(C135,Sheet2!A:AU,47,0)</f>
        <v>1.5882577993322222</v>
      </c>
      <c r="R135">
        <f t="shared" si="17"/>
        <v>2.3182089157280465</v>
      </c>
    </row>
    <row r="136" spans="1:18" x14ac:dyDescent="0.3">
      <c r="A136" s="1">
        <v>134</v>
      </c>
      <c r="B136">
        <v>134</v>
      </c>
      <c r="C136" t="s">
        <v>190</v>
      </c>
      <c r="D136" t="s">
        <v>50</v>
      </c>
      <c r="E136">
        <v>1</v>
      </c>
      <c r="F136" t="s">
        <v>12</v>
      </c>
      <c r="G136">
        <v>16971</v>
      </c>
      <c r="H136">
        <v>5.8924046903541298E-2</v>
      </c>
      <c r="I136">
        <v>4.9092844012262202E-2</v>
      </c>
      <c r="J136">
        <v>2.1699037053418998E-3</v>
      </c>
      <c r="K136">
        <v>4.9092844012262269</v>
      </c>
      <c r="L136">
        <f t="shared" si="12"/>
        <v>0.4</v>
      </c>
      <c r="M136">
        <f t="shared" si="13"/>
        <v>0</v>
      </c>
      <c r="N136">
        <f t="shared" si="14"/>
        <v>0.14731011725885323</v>
      </c>
      <c r="O136">
        <f t="shared" si="15"/>
        <v>6.5111071828413136E-3</v>
      </c>
      <c r="P136">
        <f t="shared" si="16"/>
        <v>0.65111071828413136</v>
      </c>
      <c r="Q136">
        <f>VLOOKUP(C136,Sheet2!A:AU,47,0)</f>
        <v>1.8914853398554203</v>
      </c>
      <c r="R136">
        <f t="shared" si="17"/>
        <v>2.5425960581395515</v>
      </c>
    </row>
    <row r="137" spans="1:18" x14ac:dyDescent="0.3">
      <c r="A137" s="1">
        <v>135</v>
      </c>
      <c r="B137">
        <v>135</v>
      </c>
      <c r="C137" t="s">
        <v>191</v>
      </c>
      <c r="D137" t="s">
        <v>26</v>
      </c>
      <c r="E137">
        <v>3</v>
      </c>
      <c r="F137" t="s">
        <v>17</v>
      </c>
      <c r="G137">
        <v>15092</v>
      </c>
      <c r="H137">
        <v>0.19878081102570899</v>
      </c>
      <c r="I137">
        <v>0.2119255535692946</v>
      </c>
      <c r="J137">
        <v>9.3671094677627992E-3</v>
      </c>
      <c r="K137">
        <v>21.192555356929461</v>
      </c>
      <c r="L137">
        <f t="shared" si="12"/>
        <v>0.4</v>
      </c>
      <c r="M137">
        <f t="shared" si="13"/>
        <v>0</v>
      </c>
      <c r="N137">
        <f t="shared" si="14"/>
        <v>0.49695202756427248</v>
      </c>
      <c r="O137">
        <f t="shared" si="15"/>
        <v>2.1965279618340845E-2</v>
      </c>
      <c r="P137">
        <f t="shared" si="16"/>
        <v>2.1965279618340845</v>
      </c>
      <c r="Q137">
        <f>VLOOKUP(C137,Sheet2!A:AU,47,0)</f>
        <v>7.5261256474754097</v>
      </c>
      <c r="R137">
        <f t="shared" si="17"/>
        <v>9.7226536093094946</v>
      </c>
    </row>
    <row r="138" spans="1:18" x14ac:dyDescent="0.3">
      <c r="A138" s="1">
        <v>136</v>
      </c>
      <c r="B138">
        <v>136</v>
      </c>
      <c r="C138" t="s">
        <v>192</v>
      </c>
      <c r="D138" t="s">
        <v>26</v>
      </c>
      <c r="E138">
        <v>2</v>
      </c>
      <c r="F138" t="s">
        <v>17</v>
      </c>
      <c r="G138">
        <v>22023</v>
      </c>
      <c r="H138">
        <v>9.0814148844389903E-2</v>
      </c>
      <c r="I138">
        <v>8.6221914884675593E-2</v>
      </c>
      <c r="J138">
        <v>3.8110086379025999E-3</v>
      </c>
      <c r="K138">
        <v>8.6221914884675606</v>
      </c>
      <c r="L138">
        <f t="shared" si="12"/>
        <v>0.4</v>
      </c>
      <c r="M138">
        <f t="shared" si="13"/>
        <v>0</v>
      </c>
      <c r="N138">
        <f t="shared" si="14"/>
        <v>0.22703537211097474</v>
      </c>
      <c r="O138">
        <f t="shared" si="15"/>
        <v>1.0034963447305085E-2</v>
      </c>
      <c r="P138">
        <f t="shared" si="16"/>
        <v>1.0034963447305085</v>
      </c>
      <c r="Q138">
        <f>VLOOKUP(C138,Sheet2!A:AU,47,0)</f>
        <v>1.694665949098255</v>
      </c>
      <c r="R138">
        <f t="shared" si="17"/>
        <v>2.6981622938287635</v>
      </c>
    </row>
    <row r="139" spans="1:18" x14ac:dyDescent="0.3">
      <c r="A139" s="1">
        <v>137</v>
      </c>
      <c r="B139">
        <v>137</v>
      </c>
      <c r="C139" t="s">
        <v>193</v>
      </c>
      <c r="D139" t="s">
        <v>26</v>
      </c>
      <c r="E139">
        <v>2</v>
      </c>
      <c r="F139" t="s">
        <v>17</v>
      </c>
      <c r="G139">
        <v>15703</v>
      </c>
      <c r="H139">
        <v>0.1273641979239635</v>
      </c>
      <c r="I139">
        <v>0.12877647821541799</v>
      </c>
      <c r="J139">
        <v>5.6919203371213999E-3</v>
      </c>
      <c r="K139">
        <v>12.8776478215418</v>
      </c>
      <c r="L139">
        <f t="shared" si="12"/>
        <v>0.4</v>
      </c>
      <c r="M139">
        <f t="shared" si="13"/>
        <v>0</v>
      </c>
      <c r="N139">
        <f t="shared" si="14"/>
        <v>0.31841049480990874</v>
      </c>
      <c r="O139">
        <f t="shared" si="15"/>
        <v>1.4073743870597967E-2</v>
      </c>
      <c r="P139">
        <f t="shared" si="16"/>
        <v>1.4073743870597966</v>
      </c>
      <c r="Q139">
        <f>VLOOKUP(C139,Sheet2!A:AU,47,0)</f>
        <v>2.5248677341278789</v>
      </c>
      <c r="R139">
        <f t="shared" si="17"/>
        <v>3.9322421211876755</v>
      </c>
    </row>
    <row r="140" spans="1:18" x14ac:dyDescent="0.3">
      <c r="A140" s="1">
        <v>138</v>
      </c>
      <c r="B140">
        <v>138</v>
      </c>
      <c r="C140" t="s">
        <v>194</v>
      </c>
      <c r="D140" t="s">
        <v>26</v>
      </c>
      <c r="E140">
        <v>3</v>
      </c>
      <c r="F140" t="s">
        <v>17</v>
      </c>
      <c r="G140">
        <v>18198</v>
      </c>
      <c r="H140">
        <v>0.16485328058028351</v>
      </c>
      <c r="I140">
        <v>0.1724243414135381</v>
      </c>
      <c r="J140">
        <v>7.6211558904782997E-3</v>
      </c>
      <c r="K140">
        <v>17.242434141353819</v>
      </c>
      <c r="L140">
        <f t="shared" si="12"/>
        <v>0.4</v>
      </c>
      <c r="M140">
        <f t="shared" si="13"/>
        <v>0</v>
      </c>
      <c r="N140">
        <f t="shared" si="14"/>
        <v>0.41213320145070875</v>
      </c>
      <c r="O140">
        <f t="shared" si="15"/>
        <v>1.8216287504121329E-2</v>
      </c>
      <c r="P140">
        <f t="shared" si="16"/>
        <v>1.8216287504121329</v>
      </c>
      <c r="Q140">
        <f>VLOOKUP(C140,Sheet2!A:AU,47,0)</f>
        <v>4.0878978018777481</v>
      </c>
      <c r="R140">
        <f t="shared" si="17"/>
        <v>5.909526552289881</v>
      </c>
    </row>
    <row r="141" spans="1:18" x14ac:dyDescent="0.3">
      <c r="A141" s="1">
        <v>139</v>
      </c>
      <c r="B141">
        <v>139</v>
      </c>
      <c r="C141" t="s">
        <v>195</v>
      </c>
      <c r="D141" t="s">
        <v>26</v>
      </c>
      <c r="E141">
        <v>3</v>
      </c>
      <c r="F141" t="s">
        <v>17</v>
      </c>
      <c r="G141">
        <v>13898</v>
      </c>
      <c r="H141">
        <v>0.21585839689163899</v>
      </c>
      <c r="I141">
        <v>0.23180867897046001</v>
      </c>
      <c r="J141">
        <v>1.02459436104943E-2</v>
      </c>
      <c r="K141">
        <v>23.180867897045999</v>
      </c>
      <c r="L141">
        <f t="shared" si="12"/>
        <v>0.4</v>
      </c>
      <c r="M141">
        <f t="shared" si="13"/>
        <v>0</v>
      </c>
      <c r="N141">
        <f t="shared" si="14"/>
        <v>0.53964599222909748</v>
      </c>
      <c r="O141">
        <f t="shared" si="15"/>
        <v>2.3852352856526111E-2</v>
      </c>
      <c r="P141">
        <f t="shared" si="16"/>
        <v>2.3852352856526111</v>
      </c>
      <c r="Q141">
        <f>VLOOKUP(C141,Sheet2!A:AU,47,0)</f>
        <v>7.7670842560092987</v>
      </c>
      <c r="R141">
        <f t="shared" si="17"/>
        <v>10.15231954166191</v>
      </c>
    </row>
    <row r="142" spans="1:18" x14ac:dyDescent="0.3">
      <c r="A142" s="1">
        <v>140</v>
      </c>
      <c r="B142">
        <v>140</v>
      </c>
      <c r="C142" t="s">
        <v>196</v>
      </c>
      <c r="D142" t="s">
        <v>26</v>
      </c>
      <c r="E142">
        <v>1</v>
      </c>
      <c r="F142" t="s">
        <v>17</v>
      </c>
      <c r="G142">
        <v>21717</v>
      </c>
      <c r="H142">
        <v>4.6046875719482398E-2</v>
      </c>
      <c r="I142">
        <v>3.4100185712958003E-2</v>
      </c>
      <c r="J142">
        <v>1.5072282085126999E-3</v>
      </c>
      <c r="K142">
        <v>3.4100185712958062</v>
      </c>
      <c r="L142">
        <f t="shared" si="12"/>
        <v>0.4</v>
      </c>
      <c r="M142">
        <f t="shared" si="13"/>
        <v>0</v>
      </c>
      <c r="N142">
        <f t="shared" si="14"/>
        <v>0.11511718929870599</v>
      </c>
      <c r="O142">
        <f t="shared" si="15"/>
        <v>5.088179767002805E-3</v>
      </c>
      <c r="P142">
        <f t="shared" si="16"/>
        <v>0.50881797670028051</v>
      </c>
      <c r="Q142">
        <f>VLOOKUP(C142,Sheet2!A:AU,47,0)</f>
        <v>1.0022931564831301</v>
      </c>
      <c r="R142">
        <f t="shared" si="17"/>
        <v>1.5111111331834106</v>
      </c>
    </row>
    <row r="143" spans="1:18" x14ac:dyDescent="0.3">
      <c r="A143" s="1">
        <v>141</v>
      </c>
      <c r="B143">
        <v>141</v>
      </c>
      <c r="C143" t="s">
        <v>197</v>
      </c>
      <c r="D143" t="s">
        <v>198</v>
      </c>
      <c r="E143">
        <v>2</v>
      </c>
      <c r="F143" t="s">
        <v>12</v>
      </c>
      <c r="G143">
        <v>15180</v>
      </c>
      <c r="H143">
        <v>0.1317523056653491</v>
      </c>
      <c r="I143">
        <v>0.13388547296331479</v>
      </c>
      <c r="J143">
        <v>5.9177379049785003E-3</v>
      </c>
      <c r="K143">
        <v>13.388547296331479</v>
      </c>
      <c r="L143">
        <f t="shared" si="12"/>
        <v>0.4</v>
      </c>
      <c r="M143">
        <f t="shared" si="13"/>
        <v>0</v>
      </c>
      <c r="N143">
        <f t="shared" si="14"/>
        <v>0.3293807641633727</v>
      </c>
      <c r="O143">
        <f t="shared" si="15"/>
        <v>1.4558629776021074E-2</v>
      </c>
      <c r="P143">
        <f t="shared" si="16"/>
        <v>1.4558629776021075</v>
      </c>
      <c r="Q143">
        <f>VLOOKUP(C143,Sheet2!A:AU,47,0)</f>
        <v>4.6629557045834336</v>
      </c>
      <c r="R143">
        <f t="shared" si="17"/>
        <v>6.118818682185541</v>
      </c>
    </row>
    <row r="144" spans="1:18" x14ac:dyDescent="0.3">
      <c r="A144" s="1">
        <v>142</v>
      </c>
      <c r="B144">
        <v>142</v>
      </c>
      <c r="C144" t="s">
        <v>199</v>
      </c>
      <c r="D144" t="s">
        <v>198</v>
      </c>
      <c r="E144">
        <v>1</v>
      </c>
      <c r="F144" t="s">
        <v>12</v>
      </c>
      <c r="G144">
        <v>37969</v>
      </c>
      <c r="H144">
        <v>2.63372751455134E-2</v>
      </c>
      <c r="I144">
        <v>1.1152653029141899E-2</v>
      </c>
      <c r="J144">
        <v>4.9294726388799997E-4</v>
      </c>
      <c r="K144">
        <v>1.1152653029141899</v>
      </c>
      <c r="L144">
        <f t="shared" si="12"/>
        <v>0.4</v>
      </c>
      <c r="M144">
        <f t="shared" si="13"/>
        <v>0</v>
      </c>
      <c r="N144">
        <f t="shared" si="14"/>
        <v>6.5843187863783501E-2</v>
      </c>
      <c r="O144">
        <f t="shared" si="15"/>
        <v>2.9102689035792311E-3</v>
      </c>
      <c r="P144">
        <f t="shared" si="16"/>
        <v>0.29102689035792312</v>
      </c>
      <c r="Q144">
        <f>VLOOKUP(C144,Sheet2!A:AU,47,0)</f>
        <v>0.33976406037095064</v>
      </c>
      <c r="R144">
        <f t="shared" si="17"/>
        <v>0.63079095072887381</v>
      </c>
    </row>
    <row r="145" spans="1:18" x14ac:dyDescent="0.3">
      <c r="A145" s="1">
        <v>143</v>
      </c>
      <c r="B145">
        <v>143</v>
      </c>
      <c r="C145" t="s">
        <v>200</v>
      </c>
      <c r="D145" t="s">
        <v>172</v>
      </c>
      <c r="E145">
        <v>2</v>
      </c>
      <c r="F145" t="s">
        <v>12</v>
      </c>
      <c r="G145">
        <v>17186</v>
      </c>
      <c r="H145">
        <v>0.11637379262190151</v>
      </c>
      <c r="I145">
        <v>0.1159805474236725</v>
      </c>
      <c r="J145">
        <v>5.1263401961263002E-3</v>
      </c>
      <c r="K145">
        <v>11.59805474236725</v>
      </c>
      <c r="L145">
        <f t="shared" si="12"/>
        <v>0.4</v>
      </c>
      <c r="M145">
        <f t="shared" si="13"/>
        <v>0</v>
      </c>
      <c r="N145">
        <f t="shared" si="14"/>
        <v>0.29093448155475377</v>
      </c>
      <c r="O145">
        <f t="shared" si="15"/>
        <v>1.2859304084720117E-2</v>
      </c>
      <c r="P145">
        <f t="shared" si="16"/>
        <v>1.2859304084720116</v>
      </c>
      <c r="Q145">
        <f>VLOOKUP(C145,Sheet2!A:AU,47,0)</f>
        <v>2.9056156705420806</v>
      </c>
      <c r="R145">
        <f t="shared" si="17"/>
        <v>4.1915460790140919</v>
      </c>
    </row>
    <row r="146" spans="1:18" x14ac:dyDescent="0.3">
      <c r="A146" s="1">
        <v>144</v>
      </c>
      <c r="B146">
        <v>144</v>
      </c>
      <c r="C146" t="s">
        <v>201</v>
      </c>
      <c r="D146" t="s">
        <v>198</v>
      </c>
      <c r="E146">
        <v>1</v>
      </c>
      <c r="F146" t="s">
        <v>12</v>
      </c>
      <c r="G146">
        <v>22929</v>
      </c>
      <c r="H146">
        <v>4.3612891970866499E-2</v>
      </c>
      <c r="I146">
        <v>3.12663423068665E-2</v>
      </c>
      <c r="J146">
        <v>1.3819723299635001E-3</v>
      </c>
      <c r="K146">
        <v>3.1266342306866548</v>
      </c>
      <c r="L146">
        <f t="shared" si="12"/>
        <v>0.4</v>
      </c>
      <c r="M146">
        <f t="shared" si="13"/>
        <v>0</v>
      </c>
      <c r="N146">
        <f t="shared" si="14"/>
        <v>0.10903222992716624</v>
      </c>
      <c r="O146">
        <f t="shared" si="15"/>
        <v>4.8192245627807478E-3</v>
      </c>
      <c r="P146">
        <f t="shared" si="16"/>
        <v>0.48192245627807478</v>
      </c>
      <c r="Q146">
        <f>VLOOKUP(C146,Sheet2!A:AU,47,0)</f>
        <v>1.1773539669341357</v>
      </c>
      <c r="R146">
        <f t="shared" si="17"/>
        <v>1.6592764232122106</v>
      </c>
    </row>
    <row r="147" spans="1:18" x14ac:dyDescent="0.3">
      <c r="A147" s="1">
        <v>145</v>
      </c>
      <c r="B147">
        <v>145</v>
      </c>
      <c r="C147" t="s">
        <v>202</v>
      </c>
      <c r="D147" t="s">
        <v>198</v>
      </c>
      <c r="E147">
        <v>3</v>
      </c>
      <c r="F147" t="s">
        <v>12</v>
      </c>
      <c r="G147">
        <v>23421</v>
      </c>
      <c r="H147">
        <v>0.1280901754835404</v>
      </c>
      <c r="I147">
        <v>0.12962172080232809</v>
      </c>
      <c r="J147">
        <v>5.7292800594628997E-3</v>
      </c>
      <c r="K147">
        <v>12.96217208023281</v>
      </c>
      <c r="L147">
        <f t="shared" si="12"/>
        <v>0.4</v>
      </c>
      <c r="M147">
        <f t="shared" si="13"/>
        <v>0</v>
      </c>
      <c r="N147">
        <f t="shared" si="14"/>
        <v>0.32022543870885101</v>
      </c>
      <c r="O147">
        <f t="shared" si="15"/>
        <v>1.4153964390931216E-2</v>
      </c>
      <c r="P147">
        <f t="shared" si="16"/>
        <v>1.4153964390931215</v>
      </c>
      <c r="Q147">
        <f>VLOOKUP(C147,Sheet2!A:AU,47,0)</f>
        <v>4.6109542423085088</v>
      </c>
      <c r="R147">
        <f t="shared" si="17"/>
        <v>6.0263506814016301</v>
      </c>
    </row>
    <row r="148" spans="1:18" x14ac:dyDescent="0.3">
      <c r="A148" s="1">
        <v>146</v>
      </c>
      <c r="B148">
        <v>146</v>
      </c>
      <c r="C148" t="s">
        <v>203</v>
      </c>
      <c r="D148" t="s">
        <v>198</v>
      </c>
      <c r="E148">
        <v>1</v>
      </c>
      <c r="F148" t="s">
        <v>12</v>
      </c>
      <c r="G148">
        <v>17493</v>
      </c>
      <c r="H148">
        <v>5.7165723432230003E-2</v>
      </c>
      <c r="I148">
        <v>4.7045659688297402E-2</v>
      </c>
      <c r="J148">
        <v>2.0794181582227001E-3</v>
      </c>
      <c r="K148">
        <v>4.7045659688297468</v>
      </c>
      <c r="L148">
        <f t="shared" si="12"/>
        <v>0.4</v>
      </c>
      <c r="M148">
        <f t="shared" si="13"/>
        <v>0</v>
      </c>
      <c r="N148">
        <f t="shared" si="14"/>
        <v>0.14291430858057499</v>
      </c>
      <c r="O148">
        <f t="shared" si="15"/>
        <v>6.3168124392614152E-3</v>
      </c>
      <c r="P148">
        <f t="shared" si="16"/>
        <v>0.63168124392614156</v>
      </c>
      <c r="Q148">
        <f>VLOOKUP(C148,Sheet2!A:AU,47,0)</f>
        <v>1.483450208210773</v>
      </c>
      <c r="R148">
        <f t="shared" si="17"/>
        <v>2.1151314521369144</v>
      </c>
    </row>
    <row r="149" spans="1:18" x14ac:dyDescent="0.3">
      <c r="A149" s="1">
        <v>147</v>
      </c>
      <c r="B149">
        <v>147</v>
      </c>
      <c r="C149" t="s">
        <v>204</v>
      </c>
      <c r="D149" t="s">
        <v>198</v>
      </c>
      <c r="E149">
        <v>3</v>
      </c>
      <c r="F149" t="s">
        <v>12</v>
      </c>
      <c r="G149">
        <v>13962</v>
      </c>
      <c r="H149">
        <v>0.2148689299527288</v>
      </c>
      <c r="I149">
        <v>0.23065666044857339</v>
      </c>
      <c r="J149">
        <v>1.0195024391826899E-2</v>
      </c>
      <c r="K149">
        <v>23.065666044857348</v>
      </c>
      <c r="L149">
        <f t="shared" si="12"/>
        <v>0.4</v>
      </c>
      <c r="M149">
        <f t="shared" si="13"/>
        <v>0</v>
      </c>
      <c r="N149">
        <f t="shared" si="14"/>
        <v>0.53717232488182198</v>
      </c>
      <c r="O149">
        <f t="shared" si="15"/>
        <v>2.3743016759776532E-2</v>
      </c>
      <c r="P149">
        <f t="shared" si="16"/>
        <v>2.3743016759776534</v>
      </c>
      <c r="Q149">
        <f>VLOOKUP(C149,Sheet2!A:AU,47,0)</f>
        <v>4.2706360845384124</v>
      </c>
      <c r="R149">
        <f t="shared" si="17"/>
        <v>6.6449377605160658</v>
      </c>
    </row>
    <row r="150" spans="1:18" x14ac:dyDescent="0.3">
      <c r="A150" s="1">
        <v>148</v>
      </c>
      <c r="B150">
        <v>148</v>
      </c>
      <c r="C150" t="s">
        <v>205</v>
      </c>
      <c r="D150" t="s">
        <v>198</v>
      </c>
      <c r="E150">
        <v>4</v>
      </c>
      <c r="F150" t="s">
        <v>12</v>
      </c>
      <c r="G150">
        <v>31611</v>
      </c>
      <c r="H150">
        <v>0.12653823036284839</v>
      </c>
      <c r="I150">
        <v>0.12781481907203099</v>
      </c>
      <c r="J150">
        <v>5.6494150029836997E-3</v>
      </c>
      <c r="K150">
        <v>12.7814819072031</v>
      </c>
      <c r="L150">
        <f t="shared" si="12"/>
        <v>0.4</v>
      </c>
      <c r="M150">
        <f t="shared" si="13"/>
        <v>0</v>
      </c>
      <c r="N150">
        <f t="shared" si="14"/>
        <v>0.31634557590712098</v>
      </c>
      <c r="O150">
        <f t="shared" si="15"/>
        <v>1.3982474455094748E-2</v>
      </c>
      <c r="P150">
        <f t="shared" si="16"/>
        <v>1.3982474455094749</v>
      </c>
      <c r="Q150">
        <f>VLOOKUP(C150,Sheet2!A:AU,47,0)</f>
        <v>4.7887207982604973</v>
      </c>
      <c r="R150">
        <f t="shared" si="17"/>
        <v>6.1869682437699725</v>
      </c>
    </row>
    <row r="151" spans="1:18" x14ac:dyDescent="0.3">
      <c r="A151" s="1">
        <v>149</v>
      </c>
      <c r="B151">
        <v>149</v>
      </c>
      <c r="C151" t="s">
        <v>206</v>
      </c>
      <c r="D151" t="s">
        <v>48</v>
      </c>
      <c r="E151">
        <v>1</v>
      </c>
      <c r="F151" t="s">
        <v>12</v>
      </c>
      <c r="G151">
        <v>2468</v>
      </c>
      <c r="H151">
        <v>0.4</v>
      </c>
      <c r="I151">
        <v>0.45223984375713899</v>
      </c>
      <c r="J151">
        <v>1.9989001094065501E-2</v>
      </c>
      <c r="K151">
        <v>45.223984375713897</v>
      </c>
      <c r="L151">
        <f t="shared" si="12"/>
        <v>0.4</v>
      </c>
      <c r="M151">
        <f t="shared" si="13"/>
        <v>0</v>
      </c>
      <c r="N151">
        <f t="shared" si="14"/>
        <v>1</v>
      </c>
      <c r="O151">
        <f t="shared" si="15"/>
        <v>4.4200000000000003E-2</v>
      </c>
      <c r="P151">
        <f t="shared" si="16"/>
        <v>4.42</v>
      </c>
      <c r="Q151">
        <f>VLOOKUP(C151,Sheet2!A:AU,47,0)</f>
        <v>8.0399999999999991</v>
      </c>
      <c r="R151">
        <f t="shared" si="17"/>
        <v>12.459999999999999</v>
      </c>
    </row>
    <row r="152" spans="1:18" x14ac:dyDescent="0.3">
      <c r="A152" s="1">
        <v>150</v>
      </c>
      <c r="B152">
        <v>150</v>
      </c>
      <c r="C152" t="s">
        <v>207</v>
      </c>
      <c r="D152" t="s">
        <v>39</v>
      </c>
      <c r="E152">
        <v>2</v>
      </c>
      <c r="F152" t="s">
        <v>12</v>
      </c>
      <c r="G152">
        <v>24668</v>
      </c>
      <c r="H152">
        <v>8.1076698556834706E-2</v>
      </c>
      <c r="I152">
        <v>7.4884777031875793E-2</v>
      </c>
      <c r="J152">
        <v>3.3099071448089001E-3</v>
      </c>
      <c r="K152">
        <v>7.4884777031875851</v>
      </c>
      <c r="L152">
        <f t="shared" si="12"/>
        <v>0.4</v>
      </c>
      <c r="M152">
        <f t="shared" si="13"/>
        <v>0</v>
      </c>
      <c r="N152">
        <f t="shared" si="14"/>
        <v>0.20269174639208676</v>
      </c>
      <c r="O152">
        <f t="shared" si="15"/>
        <v>8.9589751905302349E-3</v>
      </c>
      <c r="P152">
        <f t="shared" si="16"/>
        <v>0.89589751905302351</v>
      </c>
      <c r="Q152">
        <f>VLOOKUP(C152,Sheet2!A:AU,47,0)</f>
        <v>1.1445244486108082</v>
      </c>
      <c r="R152">
        <f t="shared" si="17"/>
        <v>2.0404219676638315</v>
      </c>
    </row>
    <row r="153" spans="1:18" x14ac:dyDescent="0.3">
      <c r="A153" s="1">
        <v>151</v>
      </c>
      <c r="B153">
        <v>151</v>
      </c>
      <c r="C153" t="s">
        <v>208</v>
      </c>
      <c r="D153" t="s">
        <v>182</v>
      </c>
      <c r="E153">
        <v>3</v>
      </c>
      <c r="F153" t="s">
        <v>24</v>
      </c>
      <c r="G153">
        <v>34446</v>
      </c>
      <c r="H153">
        <v>8.7092840968472293E-2</v>
      </c>
      <c r="I153">
        <v>8.1889263201112603E-2</v>
      </c>
      <c r="J153">
        <v>3.6195054334890999E-3</v>
      </c>
      <c r="K153">
        <v>8.1889263201112623</v>
      </c>
      <c r="L153">
        <f t="shared" si="12"/>
        <v>0.4</v>
      </c>
      <c r="M153">
        <f t="shared" si="13"/>
        <v>0</v>
      </c>
      <c r="N153">
        <f t="shared" si="14"/>
        <v>0.21773210242118071</v>
      </c>
      <c r="O153">
        <f t="shared" si="15"/>
        <v>9.6237589270161874E-3</v>
      </c>
      <c r="P153">
        <f t="shared" si="16"/>
        <v>0.96237589270161872</v>
      </c>
      <c r="Q153">
        <f>VLOOKUP(C153,Sheet2!A:AU,47,0)</f>
        <v>1.411149077268298</v>
      </c>
      <c r="R153">
        <f t="shared" si="17"/>
        <v>2.3735249699699166</v>
      </c>
    </row>
    <row r="154" spans="1:18" x14ac:dyDescent="0.3">
      <c r="A154" s="1">
        <v>152</v>
      </c>
      <c r="B154">
        <v>152</v>
      </c>
      <c r="C154" t="s">
        <v>209</v>
      </c>
      <c r="D154" t="s">
        <v>210</v>
      </c>
      <c r="E154">
        <v>3</v>
      </c>
      <c r="F154" t="s">
        <v>12</v>
      </c>
      <c r="G154">
        <v>27813</v>
      </c>
      <c r="H154">
        <v>0.1078632294250889</v>
      </c>
      <c r="I154">
        <v>0.1060718520960527</v>
      </c>
      <c r="J154">
        <v>4.6883758626455E-3</v>
      </c>
      <c r="K154">
        <v>10.607185209605269</v>
      </c>
      <c r="L154">
        <f t="shared" si="12"/>
        <v>0.4</v>
      </c>
      <c r="M154">
        <f t="shared" si="13"/>
        <v>0</v>
      </c>
      <c r="N154">
        <f t="shared" si="14"/>
        <v>0.26965807356272226</v>
      </c>
      <c r="O154">
        <f t="shared" si="15"/>
        <v>1.1918886851472325E-2</v>
      </c>
      <c r="P154">
        <f t="shared" si="16"/>
        <v>1.1918886851472326</v>
      </c>
      <c r="Q154">
        <f>VLOOKUP(C154,Sheet2!A:AU,47,0)</f>
        <v>2.6100847000870755</v>
      </c>
      <c r="R154">
        <f t="shared" si="17"/>
        <v>3.8019733852343078</v>
      </c>
    </row>
    <row r="155" spans="1:18" x14ac:dyDescent="0.3">
      <c r="A155" s="1">
        <v>153</v>
      </c>
      <c r="B155">
        <v>153</v>
      </c>
      <c r="C155" t="s">
        <v>211</v>
      </c>
      <c r="D155" t="s">
        <v>210</v>
      </c>
      <c r="E155">
        <v>1</v>
      </c>
      <c r="F155" t="s">
        <v>12</v>
      </c>
      <c r="G155">
        <v>20586</v>
      </c>
      <c r="H155">
        <v>4.8576702613426601E-2</v>
      </c>
      <c r="I155">
        <v>3.7045617565587899E-2</v>
      </c>
      <c r="J155">
        <v>1.6374162963989E-3</v>
      </c>
      <c r="K155">
        <v>3.7045617565587969</v>
      </c>
      <c r="L155">
        <f t="shared" si="12"/>
        <v>0.4</v>
      </c>
      <c r="M155">
        <f t="shared" si="13"/>
        <v>0</v>
      </c>
      <c r="N155">
        <f t="shared" si="14"/>
        <v>0.12144175653356649</v>
      </c>
      <c r="O155">
        <f t="shared" si="15"/>
        <v>5.3677256387836391E-3</v>
      </c>
      <c r="P155">
        <f t="shared" si="16"/>
        <v>0.53677256387836392</v>
      </c>
      <c r="Q155">
        <f>VLOOKUP(C155,Sheet2!A:AU,47,0)</f>
        <v>1.1276212529511875</v>
      </c>
      <c r="R155">
        <f t="shared" si="17"/>
        <v>1.6643938168295516</v>
      </c>
    </row>
    <row r="156" spans="1:18" x14ac:dyDescent="0.3">
      <c r="A156" s="1">
        <v>154</v>
      </c>
      <c r="B156">
        <v>154</v>
      </c>
      <c r="C156" t="s">
        <v>212</v>
      </c>
      <c r="D156" t="s">
        <v>210</v>
      </c>
      <c r="E156">
        <v>1</v>
      </c>
      <c r="F156" t="s">
        <v>12</v>
      </c>
      <c r="G156">
        <v>23650</v>
      </c>
      <c r="H156">
        <v>4.2283298097251502E-2</v>
      </c>
      <c r="I156">
        <v>2.9718320125672298E-2</v>
      </c>
      <c r="J156">
        <v>1.3135497495547E-3</v>
      </c>
      <c r="K156">
        <v>2.9718320125672348</v>
      </c>
      <c r="L156">
        <f t="shared" si="12"/>
        <v>0.4</v>
      </c>
      <c r="M156">
        <f t="shared" si="13"/>
        <v>0</v>
      </c>
      <c r="N156">
        <f t="shared" si="14"/>
        <v>0.10570824524312875</v>
      </c>
      <c r="O156">
        <f t="shared" si="15"/>
        <v>4.672304439746291E-3</v>
      </c>
      <c r="P156">
        <f t="shared" si="16"/>
        <v>0.46723044397462909</v>
      </c>
      <c r="Q156">
        <f>VLOOKUP(C156,Sheet2!A:AU,47,0)</f>
        <v>0.55242790329094715</v>
      </c>
      <c r="R156">
        <f t="shared" si="17"/>
        <v>1.0196583472655762</v>
      </c>
    </row>
    <row r="157" spans="1:18" x14ac:dyDescent="0.3">
      <c r="A157" s="1">
        <v>155</v>
      </c>
      <c r="B157">
        <v>155</v>
      </c>
      <c r="C157" t="s">
        <v>213</v>
      </c>
      <c r="D157" t="s">
        <v>214</v>
      </c>
      <c r="E157">
        <v>1</v>
      </c>
      <c r="F157" t="s">
        <v>12</v>
      </c>
      <c r="G157">
        <v>7657</v>
      </c>
      <c r="H157">
        <v>0.1305994514823037</v>
      </c>
      <c r="I157">
        <v>0.1325432256181277</v>
      </c>
      <c r="J157">
        <v>5.8584105723211996E-3</v>
      </c>
      <c r="K157">
        <v>13.25432256181278</v>
      </c>
      <c r="L157">
        <f t="shared" si="12"/>
        <v>0.4</v>
      </c>
      <c r="M157">
        <f t="shared" si="13"/>
        <v>0</v>
      </c>
      <c r="N157">
        <f t="shared" si="14"/>
        <v>0.32649862870575924</v>
      </c>
      <c r="O157">
        <f t="shared" si="15"/>
        <v>1.4431239388794559E-2</v>
      </c>
      <c r="P157">
        <f t="shared" si="16"/>
        <v>1.4431239388794559</v>
      </c>
      <c r="Q157">
        <f>VLOOKUP(C157,Sheet2!A:AU,47,0)</f>
        <v>1.9748973487975112</v>
      </c>
      <c r="R157">
        <f t="shared" si="17"/>
        <v>3.4180212876769671</v>
      </c>
    </row>
    <row r="158" spans="1:18" x14ac:dyDescent="0.3">
      <c r="A158" s="1">
        <v>156</v>
      </c>
      <c r="B158">
        <v>156</v>
      </c>
      <c r="C158" t="s">
        <v>215</v>
      </c>
      <c r="D158" t="s">
        <v>198</v>
      </c>
      <c r="E158">
        <v>1</v>
      </c>
      <c r="F158" t="s">
        <v>12</v>
      </c>
      <c r="G158">
        <v>32914</v>
      </c>
      <c r="H158">
        <v>3.03822081788904E-2</v>
      </c>
      <c r="I158">
        <v>1.58620956502094E-2</v>
      </c>
      <c r="J158">
        <v>7.0110462773919995E-4</v>
      </c>
      <c r="K158">
        <v>1.5862095650209409</v>
      </c>
      <c r="L158">
        <f t="shared" si="12"/>
        <v>0.4</v>
      </c>
      <c r="M158">
        <f t="shared" si="13"/>
        <v>0</v>
      </c>
      <c r="N158">
        <f t="shared" si="14"/>
        <v>7.5955520447225991E-2</v>
      </c>
      <c r="O158">
        <f t="shared" si="15"/>
        <v>3.3572340037673889E-3</v>
      </c>
      <c r="P158">
        <f t="shared" si="16"/>
        <v>0.33572340037673887</v>
      </c>
      <c r="Q158">
        <f>VLOOKUP(C158,Sheet2!A:AU,47,0)</f>
        <v>0.44376618999511519</v>
      </c>
      <c r="R158">
        <f t="shared" si="17"/>
        <v>0.77948959037185406</v>
      </c>
    </row>
    <row r="159" spans="1:18" x14ac:dyDescent="0.3">
      <c r="A159" s="1">
        <v>157</v>
      </c>
      <c r="B159">
        <v>157</v>
      </c>
      <c r="C159" t="s">
        <v>216</v>
      </c>
      <c r="D159" t="s">
        <v>50</v>
      </c>
      <c r="E159">
        <v>1</v>
      </c>
      <c r="F159" t="s">
        <v>12</v>
      </c>
      <c r="G159">
        <v>19657</v>
      </c>
      <c r="H159">
        <v>5.0872462735920998E-2</v>
      </c>
      <c r="I159">
        <v>3.9718529695259498E-2</v>
      </c>
      <c r="J159">
        <v>1.7555590125304E-3</v>
      </c>
      <c r="K159">
        <v>3.9718529695259508</v>
      </c>
      <c r="L159">
        <f t="shared" si="12"/>
        <v>0.4</v>
      </c>
      <c r="M159">
        <f t="shared" si="13"/>
        <v>0</v>
      </c>
      <c r="N159">
        <f t="shared" si="14"/>
        <v>0.12718115683980249</v>
      </c>
      <c r="O159">
        <f t="shared" si="15"/>
        <v>5.6214071323192703E-3</v>
      </c>
      <c r="P159">
        <f t="shared" si="16"/>
        <v>0.56214071323192705</v>
      </c>
      <c r="Q159">
        <f>VLOOKUP(C159,Sheet2!A:AU,47,0)</f>
        <v>0.98469242820376324</v>
      </c>
      <c r="R159">
        <f t="shared" si="17"/>
        <v>1.5468331414356902</v>
      </c>
    </row>
    <row r="160" spans="1:18" x14ac:dyDescent="0.3">
      <c r="A160" s="1">
        <v>158</v>
      </c>
      <c r="B160">
        <v>158</v>
      </c>
      <c r="C160" t="s">
        <v>217</v>
      </c>
      <c r="D160" t="s">
        <v>74</v>
      </c>
      <c r="E160">
        <v>1</v>
      </c>
      <c r="F160" t="s">
        <v>17</v>
      </c>
      <c r="G160">
        <v>13798</v>
      </c>
      <c r="H160">
        <v>7.2474271633569995E-2</v>
      </c>
      <c r="I160">
        <v>6.4869126423386395E-2</v>
      </c>
      <c r="J160">
        <v>2.8672153879135999E-3</v>
      </c>
      <c r="K160">
        <v>6.4869126423386412</v>
      </c>
      <c r="L160">
        <f t="shared" si="12"/>
        <v>0.4</v>
      </c>
      <c r="M160">
        <f t="shared" si="13"/>
        <v>0</v>
      </c>
      <c r="N160">
        <f t="shared" si="14"/>
        <v>0.18118567908392497</v>
      </c>
      <c r="O160">
        <f t="shared" si="15"/>
        <v>8.0084070155094847E-3</v>
      </c>
      <c r="P160">
        <f t="shared" si="16"/>
        <v>0.80084070155094844</v>
      </c>
      <c r="Q160">
        <f>VLOOKUP(C160,Sheet2!A:AU,47,0)</f>
        <v>1.7654920906237128</v>
      </c>
      <c r="R160">
        <f t="shared" si="17"/>
        <v>2.566332792174661</v>
      </c>
    </row>
    <row r="161" spans="1:18" x14ac:dyDescent="0.3">
      <c r="A161" s="1">
        <v>159</v>
      </c>
      <c r="B161">
        <v>159</v>
      </c>
      <c r="C161" t="s">
        <v>218</v>
      </c>
      <c r="D161" t="s">
        <v>160</v>
      </c>
      <c r="E161">
        <v>1</v>
      </c>
      <c r="F161" t="s">
        <v>24</v>
      </c>
      <c r="G161">
        <v>46360</v>
      </c>
      <c r="H161">
        <v>2.1570319240724702E-2</v>
      </c>
      <c r="I161">
        <v>5.6025721933118996E-3</v>
      </c>
      <c r="J161">
        <v>2.4763369094430002E-4</v>
      </c>
      <c r="K161">
        <v>0.56025721933119255</v>
      </c>
      <c r="L161">
        <f t="shared" si="12"/>
        <v>0.4</v>
      </c>
      <c r="M161">
        <f t="shared" si="13"/>
        <v>0</v>
      </c>
      <c r="N161">
        <f t="shared" si="14"/>
        <v>5.392579810181175E-2</v>
      </c>
      <c r="O161">
        <f t="shared" si="15"/>
        <v>2.3835202761000795E-3</v>
      </c>
      <c r="P161">
        <f t="shared" si="16"/>
        <v>0.23835202761000795</v>
      </c>
      <c r="Q161">
        <f>VLOOKUP(C161,Sheet2!A:AU,47,0)</f>
        <v>1.8090780370480501E-2</v>
      </c>
      <c r="R161">
        <f t="shared" si="17"/>
        <v>0.25644280798048846</v>
      </c>
    </row>
    <row r="162" spans="1:18" x14ac:dyDescent="0.3">
      <c r="A162" s="1">
        <v>160</v>
      </c>
      <c r="B162">
        <v>160</v>
      </c>
      <c r="C162" t="s">
        <v>219</v>
      </c>
      <c r="D162" t="s">
        <v>160</v>
      </c>
      <c r="E162">
        <v>1</v>
      </c>
      <c r="F162" t="s">
        <v>24</v>
      </c>
      <c r="G162">
        <v>29516</v>
      </c>
      <c r="H162">
        <v>3.38799295297465E-2</v>
      </c>
      <c r="I162">
        <v>1.9934429572777999E-2</v>
      </c>
      <c r="J162">
        <v>8.8110178711669996E-4</v>
      </c>
      <c r="K162">
        <v>1.9934429572778081</v>
      </c>
      <c r="L162">
        <f t="shared" si="12"/>
        <v>0.4</v>
      </c>
      <c r="M162">
        <f t="shared" si="13"/>
        <v>0</v>
      </c>
      <c r="N162">
        <f t="shared" si="14"/>
        <v>8.4699823824366249E-2</v>
      </c>
      <c r="O162">
        <f t="shared" si="15"/>
        <v>3.7437322130369887E-3</v>
      </c>
      <c r="P162">
        <f t="shared" si="16"/>
        <v>0.37437322130369888</v>
      </c>
      <c r="Q162">
        <f>VLOOKUP(C162,Sheet2!A:AU,47,0)</f>
        <v>0.15731231965705855</v>
      </c>
      <c r="R162">
        <f t="shared" si="17"/>
        <v>0.53168554096075749</v>
      </c>
    </row>
    <row r="163" spans="1:18" x14ac:dyDescent="0.3">
      <c r="A163" s="1">
        <v>161</v>
      </c>
      <c r="B163">
        <v>161</v>
      </c>
      <c r="C163" t="s">
        <v>220</v>
      </c>
      <c r="D163" t="s">
        <v>124</v>
      </c>
      <c r="E163">
        <v>4</v>
      </c>
      <c r="F163" t="s">
        <v>12</v>
      </c>
      <c r="G163">
        <v>28412</v>
      </c>
      <c r="H163">
        <v>0.14078558355624379</v>
      </c>
      <c r="I163">
        <v>0.14440275558735119</v>
      </c>
      <c r="J163">
        <v>6.3826017969609E-3</v>
      </c>
      <c r="K163">
        <v>14.44027555873512</v>
      </c>
      <c r="L163">
        <f t="shared" si="12"/>
        <v>0.4</v>
      </c>
      <c r="M163">
        <f t="shared" si="13"/>
        <v>0</v>
      </c>
      <c r="N163">
        <f t="shared" si="14"/>
        <v>0.35196395889060944</v>
      </c>
      <c r="O163">
        <f t="shared" si="15"/>
        <v>1.5556806982964938E-2</v>
      </c>
      <c r="P163">
        <f t="shared" si="16"/>
        <v>1.5556806982964937</v>
      </c>
      <c r="Q163">
        <f>VLOOKUP(C163,Sheet2!A:AU,47,0)</f>
        <v>3.892670629624754</v>
      </c>
      <c r="R163">
        <f t="shared" si="17"/>
        <v>5.4483513279212481</v>
      </c>
    </row>
    <row r="164" spans="1:18" x14ac:dyDescent="0.3">
      <c r="A164" s="1">
        <v>162</v>
      </c>
      <c r="B164">
        <v>162</v>
      </c>
      <c r="C164" t="s">
        <v>221</v>
      </c>
      <c r="D164" t="s">
        <v>222</v>
      </c>
      <c r="E164">
        <v>1</v>
      </c>
      <c r="F164" t="s">
        <v>24</v>
      </c>
      <c r="G164">
        <v>13377</v>
      </c>
      <c r="H164">
        <v>7.4755176795993097E-2</v>
      </c>
      <c r="I164">
        <v>6.7524743190806605E-2</v>
      </c>
      <c r="J164">
        <v>2.9845936490336001E-3</v>
      </c>
      <c r="K164">
        <v>6.7524743190806644</v>
      </c>
      <c r="L164">
        <f t="shared" si="12"/>
        <v>0.4</v>
      </c>
      <c r="M164">
        <f t="shared" si="13"/>
        <v>0</v>
      </c>
      <c r="N164">
        <f t="shared" si="14"/>
        <v>0.18688794198998274</v>
      </c>
      <c r="O164">
        <f t="shared" si="15"/>
        <v>8.2604470359572378E-3</v>
      </c>
      <c r="P164">
        <f t="shared" si="16"/>
        <v>0.82604470359572379</v>
      </c>
      <c r="Q164">
        <f>VLOOKUP(C164,Sheet2!A:AU,47,0)</f>
        <v>2.2621346234373143</v>
      </c>
      <c r="R164">
        <f t="shared" si="17"/>
        <v>3.0881793270330382</v>
      </c>
    </row>
    <row r="165" spans="1:18" x14ac:dyDescent="0.3">
      <c r="A165" s="1">
        <v>163</v>
      </c>
      <c r="B165">
        <v>163</v>
      </c>
      <c r="C165" t="s">
        <v>223</v>
      </c>
      <c r="D165" t="s">
        <v>72</v>
      </c>
      <c r="E165">
        <v>1</v>
      </c>
      <c r="F165" t="s">
        <v>12</v>
      </c>
      <c r="G165">
        <v>34614</v>
      </c>
      <c r="H165">
        <v>2.8890044490668499E-2</v>
      </c>
      <c r="I165">
        <v>1.41247963641802E-2</v>
      </c>
      <c r="J165">
        <v>6.2431599929670004E-4</v>
      </c>
      <c r="K165">
        <v>1.412479636418025</v>
      </c>
      <c r="L165">
        <f t="shared" si="12"/>
        <v>0.4</v>
      </c>
      <c r="M165">
        <f t="shared" si="13"/>
        <v>0</v>
      </c>
      <c r="N165">
        <f t="shared" si="14"/>
        <v>7.2225111226671246E-2</v>
      </c>
      <c r="O165">
        <f t="shared" si="15"/>
        <v>3.1923499162188691E-3</v>
      </c>
      <c r="P165">
        <f t="shared" si="16"/>
        <v>0.3192349916218869</v>
      </c>
      <c r="Q165">
        <f>VLOOKUP(C165,Sheet2!A:AU,47,0)</f>
        <v>0.19533594380643504</v>
      </c>
      <c r="R165">
        <f t="shared" si="17"/>
        <v>0.51457093542832189</v>
      </c>
    </row>
    <row r="166" spans="1:18" x14ac:dyDescent="0.3">
      <c r="A166" s="1">
        <v>164</v>
      </c>
      <c r="B166">
        <v>164</v>
      </c>
      <c r="C166" t="s">
        <v>224</v>
      </c>
      <c r="D166" t="s">
        <v>225</v>
      </c>
      <c r="E166">
        <v>1</v>
      </c>
      <c r="F166" t="s">
        <v>12</v>
      </c>
      <c r="G166">
        <v>16275</v>
      </c>
      <c r="H166">
        <v>6.1443932411674299E-2</v>
      </c>
      <c r="I166">
        <v>5.2026701288585102E-2</v>
      </c>
      <c r="J166">
        <v>2.2995801969554002E-3</v>
      </c>
      <c r="K166">
        <v>5.2026701288585189</v>
      </c>
      <c r="L166">
        <f t="shared" si="12"/>
        <v>0.4</v>
      </c>
      <c r="M166">
        <f t="shared" si="13"/>
        <v>0</v>
      </c>
      <c r="N166">
        <f t="shared" si="14"/>
        <v>0.15360983102918574</v>
      </c>
      <c r="O166">
        <f t="shared" si="15"/>
        <v>6.7895545314900106E-3</v>
      </c>
      <c r="P166">
        <f t="shared" si="16"/>
        <v>0.67895545314900108</v>
      </c>
      <c r="Q166">
        <f>VLOOKUP(C166,Sheet2!A:AU,47,0)</f>
        <v>1.1084080096156972</v>
      </c>
      <c r="R166">
        <f t="shared" si="17"/>
        <v>1.7873634627646982</v>
      </c>
    </row>
    <row r="167" spans="1:18" x14ac:dyDescent="0.3">
      <c r="A167" s="1">
        <v>165</v>
      </c>
      <c r="B167">
        <v>165</v>
      </c>
      <c r="C167" t="s">
        <v>226</v>
      </c>
      <c r="D167" t="s">
        <v>225</v>
      </c>
      <c r="E167">
        <v>2</v>
      </c>
      <c r="F167" t="s">
        <v>12</v>
      </c>
      <c r="G167">
        <v>17434</v>
      </c>
      <c r="H167">
        <v>0.11471836641046231</v>
      </c>
      <c r="I167">
        <v>0.1140531645246593</v>
      </c>
      <c r="J167">
        <v>5.0411498719899004E-3</v>
      </c>
      <c r="K167">
        <v>11.405316452465939</v>
      </c>
      <c r="L167">
        <f t="shared" si="12"/>
        <v>0.4</v>
      </c>
      <c r="M167">
        <f t="shared" si="13"/>
        <v>0</v>
      </c>
      <c r="N167">
        <f t="shared" si="14"/>
        <v>0.28679591602615573</v>
      </c>
      <c r="O167">
        <f t="shared" si="15"/>
        <v>1.2676379488356085E-2</v>
      </c>
      <c r="P167">
        <f t="shared" si="16"/>
        <v>1.2676379488356084</v>
      </c>
      <c r="Q167">
        <f>VLOOKUP(C167,Sheet2!A:AU,47,0)</f>
        <v>2.3901663789481424</v>
      </c>
      <c r="R167">
        <f t="shared" si="17"/>
        <v>3.6578043277837509</v>
      </c>
    </row>
    <row r="168" spans="1:18" x14ac:dyDescent="0.3">
      <c r="A168" s="1">
        <v>166</v>
      </c>
      <c r="B168">
        <v>166</v>
      </c>
      <c r="C168" t="s">
        <v>227</v>
      </c>
      <c r="D168" t="s">
        <v>225</v>
      </c>
      <c r="E168">
        <v>1</v>
      </c>
      <c r="F168" t="s">
        <v>12</v>
      </c>
      <c r="G168">
        <v>25493</v>
      </c>
      <c r="H168">
        <v>3.9226454320793899E-2</v>
      </c>
      <c r="I168">
        <v>2.6159292016182001E-2</v>
      </c>
      <c r="J168">
        <v>1.1562407071151999E-3</v>
      </c>
      <c r="K168">
        <v>2.6159292016182039</v>
      </c>
      <c r="L168">
        <f t="shared" si="12"/>
        <v>0.4</v>
      </c>
      <c r="M168">
        <f t="shared" si="13"/>
        <v>0</v>
      </c>
      <c r="N168">
        <f t="shared" si="14"/>
        <v>9.8066135801984741E-2</v>
      </c>
      <c r="O168">
        <f t="shared" si="15"/>
        <v>4.334523202447726E-3</v>
      </c>
      <c r="P168">
        <f t="shared" si="16"/>
        <v>0.43345232024477259</v>
      </c>
      <c r="Q168">
        <f>VLOOKUP(C168,Sheet2!A:AU,47,0)</f>
        <v>0.39574692761073632</v>
      </c>
      <c r="R168">
        <f t="shared" si="17"/>
        <v>0.82919924785550891</v>
      </c>
    </row>
    <row r="169" spans="1:18" x14ac:dyDescent="0.3">
      <c r="A169" s="1">
        <v>167</v>
      </c>
      <c r="B169">
        <v>167</v>
      </c>
      <c r="C169" t="s">
        <v>228</v>
      </c>
      <c r="D169" t="s">
        <v>167</v>
      </c>
      <c r="E169">
        <v>1</v>
      </c>
      <c r="F169" t="s">
        <v>12</v>
      </c>
      <c r="G169">
        <v>27644</v>
      </c>
      <c r="H169">
        <v>3.6174215019534002E-2</v>
      </c>
      <c r="I169">
        <v>2.2605624814169101E-2</v>
      </c>
      <c r="J169">
        <v>9.9916861678619995E-4</v>
      </c>
      <c r="K169">
        <v>2.260562481416911</v>
      </c>
      <c r="L169">
        <f t="shared" si="12"/>
        <v>0.4</v>
      </c>
      <c r="M169">
        <f t="shared" si="13"/>
        <v>0</v>
      </c>
      <c r="N169">
        <f t="shared" si="14"/>
        <v>9.0435537548835002E-2</v>
      </c>
      <c r="O169">
        <f t="shared" si="15"/>
        <v>3.997250759658507E-3</v>
      </c>
      <c r="P169">
        <f t="shared" si="16"/>
        <v>0.39972507596585072</v>
      </c>
      <c r="Q169">
        <f>VLOOKUP(C169,Sheet2!A:AU,47,0)</f>
        <v>0.74582725902117097</v>
      </c>
      <c r="R169">
        <f t="shared" si="17"/>
        <v>1.1455523349870216</v>
      </c>
    </row>
    <row r="170" spans="1:18" x14ac:dyDescent="0.3">
      <c r="A170" s="1">
        <v>168</v>
      </c>
      <c r="B170">
        <v>168</v>
      </c>
      <c r="C170" t="s">
        <v>229</v>
      </c>
      <c r="D170" t="s">
        <v>167</v>
      </c>
      <c r="E170">
        <v>1</v>
      </c>
      <c r="F170" t="s">
        <v>12</v>
      </c>
      <c r="G170">
        <v>17592</v>
      </c>
      <c r="H170">
        <v>5.6844020009094998E-2</v>
      </c>
      <c r="I170">
        <v>4.6671106191427697E-2</v>
      </c>
      <c r="J170">
        <v>2.0628628936610999E-3</v>
      </c>
      <c r="K170">
        <v>4.6671106191427736</v>
      </c>
      <c r="L170">
        <f t="shared" si="12"/>
        <v>0.4</v>
      </c>
      <c r="M170">
        <f t="shared" si="13"/>
        <v>0</v>
      </c>
      <c r="N170">
        <f t="shared" si="14"/>
        <v>0.14211005002273749</v>
      </c>
      <c r="O170">
        <f t="shared" si="15"/>
        <v>6.2812642110049973E-3</v>
      </c>
      <c r="P170">
        <f t="shared" si="16"/>
        <v>0.62812642110049977</v>
      </c>
      <c r="Q170">
        <f>VLOOKUP(C170,Sheet2!A:AU,47,0)</f>
        <v>1.669450793039905</v>
      </c>
      <c r="R170">
        <f t="shared" si="17"/>
        <v>2.2975772141404045</v>
      </c>
    </row>
    <row r="171" spans="1:18" x14ac:dyDescent="0.3">
      <c r="A171" s="1">
        <v>169</v>
      </c>
      <c r="B171">
        <v>169</v>
      </c>
      <c r="C171" t="s">
        <v>230</v>
      </c>
      <c r="D171" t="s">
        <v>167</v>
      </c>
      <c r="E171">
        <v>1</v>
      </c>
      <c r="F171" t="s">
        <v>12</v>
      </c>
      <c r="G171">
        <v>25359</v>
      </c>
      <c r="H171">
        <v>3.9433731614022603E-2</v>
      </c>
      <c r="I171">
        <v>2.6400621232526501E-2</v>
      </c>
      <c r="J171">
        <v>1.1669074584776001E-3</v>
      </c>
      <c r="K171">
        <v>2.6400621232526502</v>
      </c>
      <c r="L171">
        <f t="shared" si="12"/>
        <v>0.4</v>
      </c>
      <c r="M171">
        <f t="shared" si="13"/>
        <v>0</v>
      </c>
      <c r="N171">
        <f t="shared" si="14"/>
        <v>9.8584329035056498E-2</v>
      </c>
      <c r="O171">
        <f t="shared" si="15"/>
        <v>4.3574273433494978E-3</v>
      </c>
      <c r="P171">
        <f t="shared" si="16"/>
        <v>0.43574273433494976</v>
      </c>
      <c r="Q171">
        <f>VLOOKUP(C171,Sheet2!A:AU,47,0)</f>
        <v>0.54183605216576236</v>
      </c>
      <c r="R171">
        <f t="shared" si="17"/>
        <v>0.97757878650071217</v>
      </c>
    </row>
    <row r="172" spans="1:18" x14ac:dyDescent="0.3">
      <c r="A172" s="1">
        <v>170</v>
      </c>
      <c r="B172">
        <v>170</v>
      </c>
      <c r="C172" t="s">
        <v>231</v>
      </c>
      <c r="D172" t="s">
        <v>72</v>
      </c>
      <c r="E172">
        <v>2</v>
      </c>
      <c r="F172" t="s">
        <v>12</v>
      </c>
      <c r="G172">
        <v>40180</v>
      </c>
      <c r="H172">
        <v>4.9776007964161199E-2</v>
      </c>
      <c r="I172">
        <v>3.8441947168035902E-2</v>
      </c>
      <c r="J172">
        <v>1.6991340648271E-3</v>
      </c>
      <c r="K172">
        <v>3.844194716803599</v>
      </c>
      <c r="L172">
        <f t="shared" si="12"/>
        <v>0.4</v>
      </c>
      <c r="M172">
        <f t="shared" si="13"/>
        <v>0</v>
      </c>
      <c r="N172">
        <f t="shared" si="14"/>
        <v>0.12444001991040299</v>
      </c>
      <c r="O172">
        <f t="shared" si="15"/>
        <v>5.5002488800398128E-3</v>
      </c>
      <c r="P172">
        <f t="shared" si="16"/>
        <v>0.5500248880039813</v>
      </c>
      <c r="Q172">
        <f>VLOOKUP(C172,Sheet2!A:AU,47,0)</f>
        <v>0.62067780960338237</v>
      </c>
      <c r="R172">
        <f t="shared" si="17"/>
        <v>1.1707026976073638</v>
      </c>
    </row>
    <row r="173" spans="1:18" x14ac:dyDescent="0.3">
      <c r="A173" s="1">
        <v>171</v>
      </c>
      <c r="B173">
        <v>171</v>
      </c>
      <c r="C173" t="s">
        <v>232</v>
      </c>
      <c r="D173" t="s">
        <v>72</v>
      </c>
      <c r="E173">
        <v>1</v>
      </c>
      <c r="F173" t="s">
        <v>12</v>
      </c>
      <c r="G173">
        <v>22698</v>
      </c>
      <c r="H173">
        <v>4.4056745087672898E-2</v>
      </c>
      <c r="I173">
        <v>3.1783112490336302E-2</v>
      </c>
      <c r="J173">
        <v>1.4048135720727999E-3</v>
      </c>
      <c r="K173">
        <v>3.178311249033638</v>
      </c>
      <c r="L173">
        <f t="shared" si="12"/>
        <v>0.4</v>
      </c>
      <c r="M173">
        <f t="shared" si="13"/>
        <v>0</v>
      </c>
      <c r="N173">
        <f t="shared" si="14"/>
        <v>0.11014186271918223</v>
      </c>
      <c r="O173">
        <f t="shared" si="15"/>
        <v>4.8682703321878554E-3</v>
      </c>
      <c r="P173">
        <f t="shared" si="16"/>
        <v>0.48682703321878557</v>
      </c>
      <c r="Q173">
        <f>VLOOKUP(C173,Sheet2!A:AU,47,0)</f>
        <v>1.2070734425177494</v>
      </c>
      <c r="R173">
        <f t="shared" si="17"/>
        <v>1.693900475736535</v>
      </c>
    </row>
    <row r="174" spans="1:18" x14ac:dyDescent="0.3">
      <c r="A174" s="1">
        <v>172</v>
      </c>
      <c r="B174">
        <v>172</v>
      </c>
      <c r="C174" t="s">
        <v>233</v>
      </c>
      <c r="D174" t="s">
        <v>64</v>
      </c>
      <c r="E174">
        <v>3</v>
      </c>
      <c r="F174" t="s">
        <v>24</v>
      </c>
      <c r="G174">
        <v>19903</v>
      </c>
      <c r="H174">
        <v>0.15073104557101941</v>
      </c>
      <c r="I174">
        <v>0.15598207774475381</v>
      </c>
      <c r="J174">
        <v>6.8944078363180998E-3</v>
      </c>
      <c r="K174">
        <v>15.59820777447538</v>
      </c>
      <c r="L174">
        <f t="shared" si="12"/>
        <v>0.4</v>
      </c>
      <c r="M174">
        <f t="shared" si="13"/>
        <v>0</v>
      </c>
      <c r="N174">
        <f t="shared" si="14"/>
        <v>0.37682761392754849</v>
      </c>
      <c r="O174">
        <f t="shared" si="15"/>
        <v>1.6655780535597645E-2</v>
      </c>
      <c r="P174">
        <f t="shared" si="16"/>
        <v>1.6655780535597644</v>
      </c>
      <c r="Q174">
        <f>VLOOKUP(C174,Sheet2!A:AU,47,0)</f>
        <v>5.5564431045120193</v>
      </c>
      <c r="R174">
        <f t="shared" si="17"/>
        <v>7.2220211580717839</v>
      </c>
    </row>
    <row r="175" spans="1:18" x14ac:dyDescent="0.3">
      <c r="A175" s="1">
        <v>173</v>
      </c>
      <c r="B175">
        <v>173</v>
      </c>
      <c r="C175" t="s">
        <v>234</v>
      </c>
      <c r="D175" t="s">
        <v>182</v>
      </c>
      <c r="E175">
        <v>1</v>
      </c>
      <c r="F175" t="s">
        <v>24</v>
      </c>
      <c r="G175">
        <v>7509</v>
      </c>
      <c r="H175">
        <v>0.1331735251032094</v>
      </c>
      <c r="I175">
        <v>0.1355401731374142</v>
      </c>
      <c r="J175">
        <v>5.9908756526737003E-3</v>
      </c>
      <c r="K175">
        <v>13.55401731374142</v>
      </c>
      <c r="L175">
        <f t="shared" si="12"/>
        <v>0.4</v>
      </c>
      <c r="M175">
        <f t="shared" si="13"/>
        <v>0</v>
      </c>
      <c r="N175">
        <f t="shared" si="14"/>
        <v>0.33293381275802347</v>
      </c>
      <c r="O175">
        <f t="shared" si="15"/>
        <v>1.4715674523904638E-2</v>
      </c>
      <c r="P175">
        <f t="shared" si="16"/>
        <v>1.4715674523904638</v>
      </c>
      <c r="Q175">
        <f>VLOOKUP(C175,Sheet2!A:AU,47,0)</f>
        <v>6.0422382256066891</v>
      </c>
      <c r="R175">
        <f t="shared" si="17"/>
        <v>7.5138056779971532</v>
      </c>
    </row>
    <row r="176" spans="1:18" x14ac:dyDescent="0.3">
      <c r="A176" s="1">
        <v>174</v>
      </c>
      <c r="B176">
        <v>174</v>
      </c>
      <c r="C176" t="s">
        <v>235</v>
      </c>
      <c r="D176" t="s">
        <v>97</v>
      </c>
      <c r="E176">
        <v>1</v>
      </c>
      <c r="F176" t="s">
        <v>24</v>
      </c>
      <c r="G176">
        <v>26202</v>
      </c>
      <c r="H176">
        <v>3.8165025570567099E-2</v>
      </c>
      <c r="I176">
        <v>2.4923489654487201E-2</v>
      </c>
      <c r="J176">
        <v>1.1016182427283001E-3</v>
      </c>
      <c r="K176">
        <v>2.4923489654487261</v>
      </c>
      <c r="L176">
        <f t="shared" si="12"/>
        <v>0.4</v>
      </c>
      <c r="M176">
        <f t="shared" si="13"/>
        <v>0</v>
      </c>
      <c r="N176">
        <f t="shared" si="14"/>
        <v>9.541256392641774E-2</v>
      </c>
      <c r="O176">
        <f t="shared" si="15"/>
        <v>4.2172353255476641E-3</v>
      </c>
      <c r="P176">
        <f t="shared" si="16"/>
        <v>0.42172353255476641</v>
      </c>
      <c r="Q176">
        <f>VLOOKUP(C176,Sheet2!A:AU,47,0)</f>
        <v>0.38791845366137478</v>
      </c>
      <c r="R176">
        <f t="shared" si="17"/>
        <v>0.80964198621614125</v>
      </c>
    </row>
    <row r="177" spans="1:18" x14ac:dyDescent="0.3">
      <c r="A177" s="1">
        <v>175</v>
      </c>
      <c r="B177">
        <v>175</v>
      </c>
      <c r="C177" t="s">
        <v>236</v>
      </c>
      <c r="D177" t="s">
        <v>237</v>
      </c>
      <c r="E177">
        <v>1</v>
      </c>
      <c r="F177" t="s">
        <v>12</v>
      </c>
      <c r="G177">
        <v>16010</v>
      </c>
      <c r="H177">
        <v>6.24609618988132E-2</v>
      </c>
      <c r="I177">
        <v>5.3210810388560903E-2</v>
      </c>
      <c r="J177">
        <v>2.3519178191742998E-3</v>
      </c>
      <c r="K177">
        <v>5.3210810388560974</v>
      </c>
      <c r="L177">
        <f t="shared" si="12"/>
        <v>0.4</v>
      </c>
      <c r="M177">
        <f t="shared" si="13"/>
        <v>0</v>
      </c>
      <c r="N177">
        <f t="shared" si="14"/>
        <v>0.15615240474703299</v>
      </c>
      <c r="O177">
        <f t="shared" si="15"/>
        <v>6.9019362898188582E-3</v>
      </c>
      <c r="P177">
        <f t="shared" si="16"/>
        <v>0.69019362898188585</v>
      </c>
      <c r="Q177">
        <f>VLOOKUP(C177,Sheet2!A:AU,47,0)</f>
        <v>2.5517527063703462</v>
      </c>
      <c r="R177">
        <f t="shared" si="17"/>
        <v>3.2419463353522322</v>
      </c>
    </row>
    <row r="178" spans="1:18" x14ac:dyDescent="0.3">
      <c r="A178" s="1">
        <v>176</v>
      </c>
      <c r="B178">
        <v>176</v>
      </c>
      <c r="C178" t="s">
        <v>238</v>
      </c>
      <c r="D178" t="s">
        <v>237</v>
      </c>
      <c r="E178">
        <v>2</v>
      </c>
      <c r="F178" t="s">
        <v>12</v>
      </c>
      <c r="G178">
        <v>14255</v>
      </c>
      <c r="H178">
        <v>0.14030164854437041</v>
      </c>
      <c r="I178">
        <v>0.14383931877592859</v>
      </c>
      <c r="J178">
        <v>6.3576978898959996E-3</v>
      </c>
      <c r="K178">
        <v>14.383931877592859</v>
      </c>
      <c r="L178">
        <f t="shared" si="12"/>
        <v>0.4</v>
      </c>
      <c r="M178">
        <f t="shared" si="13"/>
        <v>0</v>
      </c>
      <c r="N178">
        <f t="shared" si="14"/>
        <v>0.35075412136092599</v>
      </c>
      <c r="O178">
        <f t="shared" si="15"/>
        <v>1.5503332164152929E-2</v>
      </c>
      <c r="P178">
        <f t="shared" si="16"/>
        <v>1.550333216415293</v>
      </c>
      <c r="Q178">
        <f>VLOOKUP(C178,Sheet2!A:AU,47,0)</f>
        <v>5.0300482451551671</v>
      </c>
      <c r="R178">
        <f t="shared" si="17"/>
        <v>6.5803814615704601</v>
      </c>
    </row>
    <row r="179" spans="1:18" x14ac:dyDescent="0.3">
      <c r="A179" s="1">
        <v>177</v>
      </c>
      <c r="B179">
        <v>177</v>
      </c>
      <c r="C179" t="s">
        <v>239</v>
      </c>
      <c r="D179" t="s">
        <v>237</v>
      </c>
      <c r="E179">
        <v>3</v>
      </c>
      <c r="F179" t="s">
        <v>12</v>
      </c>
      <c r="G179">
        <v>15489</v>
      </c>
      <c r="H179">
        <v>0.19368584156498159</v>
      </c>
      <c r="I179">
        <v>0.2059935724627113</v>
      </c>
      <c r="J179">
        <v>9.1049159028518001E-3</v>
      </c>
      <c r="K179">
        <v>20.599357246271129</v>
      </c>
      <c r="L179">
        <f t="shared" si="12"/>
        <v>0.4</v>
      </c>
      <c r="M179">
        <f t="shared" si="13"/>
        <v>0</v>
      </c>
      <c r="N179">
        <f t="shared" si="14"/>
        <v>0.48421460391245397</v>
      </c>
      <c r="O179">
        <f t="shared" si="15"/>
        <v>2.1402285492930467E-2</v>
      </c>
      <c r="P179">
        <f t="shared" si="16"/>
        <v>2.1402285492930466</v>
      </c>
      <c r="Q179">
        <f>VLOOKUP(C179,Sheet2!A:AU,47,0)</f>
        <v>5.5523700705517331</v>
      </c>
      <c r="R179">
        <f t="shared" si="17"/>
        <v>7.6925986198447802</v>
      </c>
    </row>
    <row r="180" spans="1:18" x14ac:dyDescent="0.3">
      <c r="A180" s="1">
        <v>178</v>
      </c>
      <c r="B180">
        <v>178</v>
      </c>
      <c r="C180" t="s">
        <v>240</v>
      </c>
      <c r="D180" t="s">
        <v>109</v>
      </c>
      <c r="E180">
        <v>2</v>
      </c>
      <c r="F180" t="s">
        <v>24</v>
      </c>
      <c r="G180">
        <v>82978</v>
      </c>
      <c r="H180">
        <v>2.41027742293137E-2</v>
      </c>
      <c r="I180">
        <v>8.5510638891654993E-3</v>
      </c>
      <c r="J180">
        <v>3.7795702390110001E-4</v>
      </c>
      <c r="K180">
        <v>0.85510638891655844</v>
      </c>
      <c r="L180">
        <f t="shared" si="12"/>
        <v>0.4</v>
      </c>
      <c r="M180">
        <f t="shared" si="13"/>
        <v>0</v>
      </c>
      <c r="N180">
        <f t="shared" si="14"/>
        <v>6.0256935573284251E-2</v>
      </c>
      <c r="O180">
        <f t="shared" si="15"/>
        <v>2.663356552339164E-3</v>
      </c>
      <c r="P180">
        <f t="shared" si="16"/>
        <v>0.26633565523391639</v>
      </c>
      <c r="Q180">
        <f>VLOOKUP(C180,Sheet2!A:AU,47,0)</f>
        <v>0.12727947840360515</v>
      </c>
      <c r="R180">
        <f t="shared" si="17"/>
        <v>0.39361513363752154</v>
      </c>
    </row>
    <row r="181" spans="1:18" x14ac:dyDescent="0.3">
      <c r="A181" s="1">
        <v>179</v>
      </c>
      <c r="B181">
        <v>179</v>
      </c>
      <c r="C181" t="s">
        <v>241</v>
      </c>
      <c r="D181" t="s">
        <v>109</v>
      </c>
      <c r="E181">
        <v>2</v>
      </c>
      <c r="F181" t="s">
        <v>24</v>
      </c>
      <c r="G181">
        <v>17798</v>
      </c>
      <c r="H181">
        <v>0.1123721766490617</v>
      </c>
      <c r="I181">
        <v>0.11132153807540079</v>
      </c>
      <c r="J181">
        <v>4.9204119829327E-3</v>
      </c>
      <c r="K181">
        <v>11.13215380754008</v>
      </c>
      <c r="L181">
        <f t="shared" si="12"/>
        <v>0.4</v>
      </c>
      <c r="M181">
        <f t="shared" si="13"/>
        <v>0</v>
      </c>
      <c r="N181">
        <f t="shared" si="14"/>
        <v>0.28093044162265424</v>
      </c>
      <c r="O181">
        <f t="shared" si="15"/>
        <v>1.2417125519721317E-2</v>
      </c>
      <c r="P181">
        <f t="shared" si="16"/>
        <v>1.2417125519721317</v>
      </c>
      <c r="Q181">
        <f>VLOOKUP(C181,Sheet2!A:AU,47,0)</f>
        <v>2.4930028118031085</v>
      </c>
      <c r="R181">
        <f t="shared" si="17"/>
        <v>3.7347153637752402</v>
      </c>
    </row>
    <row r="182" spans="1:18" x14ac:dyDescent="0.3">
      <c r="A182" s="1">
        <v>180</v>
      </c>
      <c r="B182">
        <v>180</v>
      </c>
      <c r="C182" t="s">
        <v>242</v>
      </c>
      <c r="D182" t="s">
        <v>129</v>
      </c>
      <c r="E182">
        <v>1</v>
      </c>
      <c r="F182" t="s">
        <v>12</v>
      </c>
      <c r="G182">
        <v>6379</v>
      </c>
      <c r="H182">
        <v>0.1567643831321523</v>
      </c>
      <c r="I182">
        <v>0.1630065839166063</v>
      </c>
      <c r="J182">
        <v>7.2048910091140001E-3</v>
      </c>
      <c r="K182">
        <v>16.30065839166064</v>
      </c>
      <c r="L182">
        <f t="shared" si="12"/>
        <v>0.4</v>
      </c>
      <c r="M182">
        <f t="shared" si="13"/>
        <v>0</v>
      </c>
      <c r="N182">
        <f t="shared" si="14"/>
        <v>0.39191095783038071</v>
      </c>
      <c r="O182">
        <f t="shared" si="15"/>
        <v>1.7322464336102829E-2</v>
      </c>
      <c r="P182">
        <f t="shared" si="16"/>
        <v>1.732246433610283</v>
      </c>
      <c r="Q182">
        <f>VLOOKUP(C182,Sheet2!A:AU,47,0)</f>
        <v>6.3116861521978738</v>
      </c>
      <c r="R182">
        <f t="shared" si="17"/>
        <v>8.0439325858081574</v>
      </c>
    </row>
    <row r="183" spans="1:18" x14ac:dyDescent="0.3">
      <c r="A183" s="1">
        <v>181</v>
      </c>
      <c r="B183">
        <v>181</v>
      </c>
      <c r="C183" t="s">
        <v>243</v>
      </c>
      <c r="D183" t="s">
        <v>124</v>
      </c>
      <c r="E183">
        <v>1</v>
      </c>
      <c r="F183" t="s">
        <v>12</v>
      </c>
      <c r="G183">
        <v>22926</v>
      </c>
      <c r="H183">
        <v>4.3618598970600997E-2</v>
      </c>
      <c r="I183">
        <v>3.1272986863789001E-2</v>
      </c>
      <c r="J183">
        <v>1.3822660193794E-3</v>
      </c>
      <c r="K183">
        <v>3.127298686378905</v>
      </c>
      <c r="L183">
        <f t="shared" si="12"/>
        <v>0.4</v>
      </c>
      <c r="M183">
        <f t="shared" si="13"/>
        <v>0</v>
      </c>
      <c r="N183">
        <f t="shared" si="14"/>
        <v>0.10904649742650249</v>
      </c>
      <c r="O183">
        <f t="shared" si="15"/>
        <v>4.8198551862514106E-3</v>
      </c>
      <c r="P183">
        <f t="shared" si="16"/>
        <v>0.48198551862514105</v>
      </c>
      <c r="Q183">
        <f>VLOOKUP(C183,Sheet2!A:AU,47,0)</f>
        <v>1.3412018034323392</v>
      </c>
      <c r="R183">
        <f t="shared" si="17"/>
        <v>1.8231873220574801</v>
      </c>
    </row>
    <row r="184" spans="1:18" x14ac:dyDescent="0.3">
      <c r="A184" s="1">
        <v>182</v>
      </c>
      <c r="B184">
        <v>182</v>
      </c>
      <c r="C184" t="s">
        <v>244</v>
      </c>
      <c r="D184" t="s">
        <v>33</v>
      </c>
      <c r="E184">
        <v>3</v>
      </c>
      <c r="F184" t="s">
        <v>17</v>
      </c>
      <c r="G184">
        <v>14731</v>
      </c>
      <c r="H184">
        <v>0.203652162107121</v>
      </c>
      <c r="I184">
        <v>0.21759717982754989</v>
      </c>
      <c r="J184">
        <v>9.6177953483777001E-3</v>
      </c>
      <c r="K184">
        <v>21.759717982754989</v>
      </c>
      <c r="L184">
        <f t="shared" si="12"/>
        <v>0.4</v>
      </c>
      <c r="M184">
        <f t="shared" si="13"/>
        <v>0</v>
      </c>
      <c r="N184">
        <f t="shared" si="14"/>
        <v>0.50913040526780251</v>
      </c>
      <c r="O184">
        <f t="shared" si="15"/>
        <v>2.2503563912836873E-2</v>
      </c>
      <c r="P184">
        <f t="shared" si="16"/>
        <v>2.2503563912836873</v>
      </c>
      <c r="Q184">
        <f>VLOOKUP(C184,Sheet2!A:AU,47,0)</f>
        <v>6.6165792676962489</v>
      </c>
      <c r="R184">
        <f t="shared" si="17"/>
        <v>8.8669356589799371</v>
      </c>
    </row>
    <row r="185" spans="1:18" x14ac:dyDescent="0.3">
      <c r="A185" s="1">
        <v>183</v>
      </c>
      <c r="B185">
        <v>183</v>
      </c>
      <c r="C185" t="s">
        <v>245</v>
      </c>
      <c r="D185" t="s">
        <v>33</v>
      </c>
      <c r="E185">
        <v>2</v>
      </c>
      <c r="F185" t="s">
        <v>17</v>
      </c>
      <c r="G185">
        <v>18727</v>
      </c>
      <c r="H185">
        <v>0.1067976718107545</v>
      </c>
      <c r="I185">
        <v>0.10483124257229989</v>
      </c>
      <c r="J185">
        <v>4.6335409216956003E-3</v>
      </c>
      <c r="K185">
        <v>10.48312425722999</v>
      </c>
      <c r="L185">
        <f t="shared" si="12"/>
        <v>0.4</v>
      </c>
      <c r="M185">
        <f t="shared" si="13"/>
        <v>0</v>
      </c>
      <c r="N185">
        <f t="shared" si="14"/>
        <v>0.26699417952688625</v>
      </c>
      <c r="O185">
        <f t="shared" si="15"/>
        <v>1.1801142735088373E-2</v>
      </c>
      <c r="P185">
        <f t="shared" si="16"/>
        <v>1.1801142735088372</v>
      </c>
      <c r="Q185">
        <f>VLOOKUP(C185,Sheet2!A:AU,47,0)</f>
        <v>2.0115926975589806</v>
      </c>
      <c r="R185">
        <f t="shared" si="17"/>
        <v>3.1917069710678181</v>
      </c>
    </row>
    <row r="186" spans="1:18" x14ac:dyDescent="0.3">
      <c r="A186" s="1">
        <v>184</v>
      </c>
      <c r="B186">
        <v>184</v>
      </c>
      <c r="C186" t="s">
        <v>246</v>
      </c>
      <c r="D186" t="s">
        <v>33</v>
      </c>
      <c r="E186">
        <v>2</v>
      </c>
      <c r="F186" t="s">
        <v>17</v>
      </c>
      <c r="G186">
        <v>16647</v>
      </c>
      <c r="H186">
        <v>0.1201417672853967</v>
      </c>
      <c r="I186">
        <v>0.1203675324068459</v>
      </c>
      <c r="J186">
        <v>5.3202449323825002E-3</v>
      </c>
      <c r="K186">
        <v>12.03675324068459</v>
      </c>
      <c r="L186">
        <f t="shared" si="12"/>
        <v>0.4</v>
      </c>
      <c r="M186">
        <f t="shared" si="13"/>
        <v>0</v>
      </c>
      <c r="N186">
        <f t="shared" si="14"/>
        <v>0.30035441821349174</v>
      </c>
      <c r="O186">
        <f t="shared" si="15"/>
        <v>1.3275665285036336E-2</v>
      </c>
      <c r="P186">
        <f t="shared" si="16"/>
        <v>1.3275665285036335</v>
      </c>
      <c r="Q186">
        <f>VLOOKUP(C186,Sheet2!A:AU,47,0)</f>
        <v>2.9165185352768166</v>
      </c>
      <c r="R186">
        <f t="shared" si="17"/>
        <v>4.2440850637804504</v>
      </c>
    </row>
    <row r="187" spans="1:18" x14ac:dyDescent="0.3">
      <c r="A187" s="1">
        <v>185</v>
      </c>
      <c r="B187">
        <v>185</v>
      </c>
      <c r="C187" t="s">
        <v>247</v>
      </c>
      <c r="D187" t="s">
        <v>33</v>
      </c>
      <c r="E187">
        <v>2</v>
      </c>
      <c r="F187" t="s">
        <v>17</v>
      </c>
      <c r="G187">
        <v>14817</v>
      </c>
      <c r="H187">
        <v>0.13498009043666059</v>
      </c>
      <c r="I187">
        <v>0.13764352459191151</v>
      </c>
      <c r="J187">
        <v>6.0838437869624E-3</v>
      </c>
      <c r="K187">
        <v>13.76435245919115</v>
      </c>
      <c r="L187">
        <f t="shared" si="12"/>
        <v>0.4</v>
      </c>
      <c r="M187">
        <f t="shared" si="13"/>
        <v>0</v>
      </c>
      <c r="N187">
        <f t="shared" si="14"/>
        <v>0.33745022609165148</v>
      </c>
      <c r="O187">
        <f t="shared" si="15"/>
        <v>1.4915299993250997E-2</v>
      </c>
      <c r="P187">
        <f t="shared" si="16"/>
        <v>1.4915299993250997</v>
      </c>
      <c r="Q187">
        <f>VLOOKUP(C187,Sheet2!A:AU,47,0)</f>
        <v>3.0634136285537328</v>
      </c>
      <c r="R187">
        <f t="shared" si="17"/>
        <v>4.5549436278788322</v>
      </c>
    </row>
    <row r="188" spans="1:18" x14ac:dyDescent="0.3">
      <c r="A188" s="1">
        <v>186</v>
      </c>
      <c r="B188">
        <v>186</v>
      </c>
      <c r="C188" t="s">
        <v>248</v>
      </c>
      <c r="D188" t="s">
        <v>33</v>
      </c>
      <c r="E188">
        <v>4</v>
      </c>
      <c r="F188" t="s">
        <v>17</v>
      </c>
      <c r="G188">
        <v>32890</v>
      </c>
      <c r="H188">
        <v>0.1216175129218607</v>
      </c>
      <c r="I188">
        <v>0.1220857164511477</v>
      </c>
      <c r="J188">
        <v>5.3961886671407E-3</v>
      </c>
      <c r="K188">
        <v>12.20857164511478</v>
      </c>
      <c r="L188">
        <f t="shared" si="12"/>
        <v>0.4</v>
      </c>
      <c r="M188">
        <f t="shared" si="13"/>
        <v>0</v>
      </c>
      <c r="N188">
        <f t="shared" si="14"/>
        <v>0.30404378230465173</v>
      </c>
      <c r="O188">
        <f t="shared" si="15"/>
        <v>1.3438735177865608E-2</v>
      </c>
      <c r="P188">
        <f t="shared" si="16"/>
        <v>1.3438735177865608</v>
      </c>
      <c r="Q188">
        <f>VLOOKUP(C188,Sheet2!A:AU,47,0)</f>
        <v>3.1295735355235443</v>
      </c>
      <c r="R188">
        <f t="shared" si="17"/>
        <v>4.4734470533101049</v>
      </c>
    </row>
    <row r="189" spans="1:18" x14ac:dyDescent="0.3">
      <c r="A189" s="1">
        <v>187</v>
      </c>
      <c r="B189">
        <v>187</v>
      </c>
      <c r="C189" t="s">
        <v>249</v>
      </c>
      <c r="D189" t="s">
        <v>33</v>
      </c>
      <c r="E189">
        <v>1</v>
      </c>
      <c r="F189" t="s">
        <v>17</v>
      </c>
      <c r="G189">
        <v>32928</v>
      </c>
      <c r="H189">
        <v>3.0369290573372201E-2</v>
      </c>
      <c r="I189">
        <v>1.5847055914943599E-2</v>
      </c>
      <c r="J189">
        <v>7.0043987144050002E-4</v>
      </c>
      <c r="K189">
        <v>1.5847055914943651</v>
      </c>
      <c r="L189">
        <f t="shared" si="12"/>
        <v>0.4</v>
      </c>
      <c r="M189">
        <f t="shared" si="13"/>
        <v>0</v>
      </c>
      <c r="N189">
        <f t="shared" si="14"/>
        <v>7.5923226433430496E-2</v>
      </c>
      <c r="O189">
        <f t="shared" si="15"/>
        <v>3.355806608357628E-3</v>
      </c>
      <c r="P189">
        <f t="shared" si="16"/>
        <v>0.33558066083576282</v>
      </c>
      <c r="Q189">
        <f>VLOOKUP(C189,Sheet2!A:AU,47,0)</f>
        <v>0.36735905710249206</v>
      </c>
      <c r="R189">
        <f t="shared" si="17"/>
        <v>0.70293971793825483</v>
      </c>
    </row>
    <row r="190" spans="1:18" x14ac:dyDescent="0.3">
      <c r="A190" s="1">
        <v>188</v>
      </c>
      <c r="B190">
        <v>188</v>
      </c>
      <c r="C190" t="s">
        <v>250</v>
      </c>
      <c r="D190" t="s">
        <v>127</v>
      </c>
      <c r="E190">
        <v>1</v>
      </c>
      <c r="F190" t="s">
        <v>12</v>
      </c>
      <c r="G190">
        <v>17191</v>
      </c>
      <c r="H190">
        <v>5.8169972660112798E-2</v>
      </c>
      <c r="I190">
        <v>4.8214888962784801E-2</v>
      </c>
      <c r="J190">
        <v>2.1310980921549999E-3</v>
      </c>
      <c r="K190">
        <v>4.8214888962784874</v>
      </c>
      <c r="L190">
        <f t="shared" si="12"/>
        <v>0.4</v>
      </c>
      <c r="M190">
        <f t="shared" si="13"/>
        <v>0</v>
      </c>
      <c r="N190">
        <f t="shared" si="14"/>
        <v>0.14542493165028197</v>
      </c>
      <c r="O190">
        <f t="shared" si="15"/>
        <v>6.427781978942464E-3</v>
      </c>
      <c r="P190">
        <f t="shared" si="16"/>
        <v>0.64277819789424639</v>
      </c>
      <c r="Q190">
        <f>VLOOKUP(C190,Sheet2!A:AU,47,0)</f>
        <v>0.77247018519117061</v>
      </c>
      <c r="R190">
        <f t="shared" si="17"/>
        <v>1.415248383085417</v>
      </c>
    </row>
    <row r="191" spans="1:18" x14ac:dyDescent="0.3">
      <c r="A191" s="1">
        <v>189</v>
      </c>
      <c r="B191">
        <v>189</v>
      </c>
      <c r="C191" t="s">
        <v>251</v>
      </c>
      <c r="D191" t="s">
        <v>97</v>
      </c>
      <c r="E191">
        <v>1</v>
      </c>
      <c r="F191" t="s">
        <v>24</v>
      </c>
      <c r="G191">
        <v>24346</v>
      </c>
      <c r="H191">
        <v>4.1074509159615497E-2</v>
      </c>
      <c r="I191">
        <v>2.8310948953936099E-2</v>
      </c>
      <c r="J191">
        <v>1.2513439437639E-3</v>
      </c>
      <c r="K191">
        <v>2.831094895393619</v>
      </c>
      <c r="L191">
        <f t="shared" si="12"/>
        <v>0.4</v>
      </c>
      <c r="M191">
        <f t="shared" si="13"/>
        <v>0</v>
      </c>
      <c r="N191">
        <f t="shared" si="14"/>
        <v>0.10268627289903874</v>
      </c>
      <c r="O191">
        <f t="shared" si="15"/>
        <v>4.5387332621375127E-3</v>
      </c>
      <c r="P191">
        <f t="shared" si="16"/>
        <v>0.45387332621375126</v>
      </c>
      <c r="Q191">
        <f>VLOOKUP(C191,Sheet2!A:AU,47,0)</f>
        <v>0.47225340456457282</v>
      </c>
      <c r="R191">
        <f t="shared" si="17"/>
        <v>0.92612673077832408</v>
      </c>
    </row>
    <row r="192" spans="1:18" x14ac:dyDescent="0.3">
      <c r="A192" s="1">
        <v>190</v>
      </c>
      <c r="B192">
        <v>190</v>
      </c>
      <c r="C192" t="s">
        <v>252</v>
      </c>
      <c r="D192" t="s">
        <v>36</v>
      </c>
      <c r="E192">
        <v>2</v>
      </c>
      <c r="F192" t="s">
        <v>12</v>
      </c>
      <c r="G192">
        <v>33893</v>
      </c>
      <c r="H192">
        <v>5.9009234945268899E-2</v>
      </c>
      <c r="I192">
        <v>4.9192026913736003E-2</v>
      </c>
      <c r="J192">
        <v>2.1742875895871001E-3</v>
      </c>
      <c r="K192">
        <v>4.9192026913735996</v>
      </c>
      <c r="L192">
        <f t="shared" si="12"/>
        <v>0.4</v>
      </c>
      <c r="M192">
        <f t="shared" si="13"/>
        <v>0</v>
      </c>
      <c r="N192">
        <f t="shared" si="14"/>
        <v>0.14752308736317224</v>
      </c>
      <c r="O192">
        <f t="shared" si="15"/>
        <v>6.5205204614522134E-3</v>
      </c>
      <c r="P192">
        <f t="shared" si="16"/>
        <v>0.65205204614522139</v>
      </c>
      <c r="Q192">
        <f>VLOOKUP(C192,Sheet2!A:AU,47,0)</f>
        <v>1.4390247041530815</v>
      </c>
      <c r="R192">
        <f t="shared" si="17"/>
        <v>2.0910767502983028</v>
      </c>
    </row>
    <row r="193" spans="1:18" x14ac:dyDescent="0.3">
      <c r="A193" s="1">
        <v>191</v>
      </c>
      <c r="B193">
        <v>191</v>
      </c>
      <c r="C193" t="s">
        <v>253</v>
      </c>
      <c r="D193" t="s">
        <v>36</v>
      </c>
      <c r="E193">
        <v>1</v>
      </c>
      <c r="F193" t="s">
        <v>12</v>
      </c>
      <c r="G193">
        <v>26204</v>
      </c>
      <c r="H193">
        <v>3.8162112654556497E-2</v>
      </c>
      <c r="I193">
        <v>2.4920098198881201E-2</v>
      </c>
      <c r="J193">
        <v>1.1014683403905001E-3</v>
      </c>
      <c r="K193">
        <v>2.4920098198881302</v>
      </c>
      <c r="L193">
        <f t="shared" si="12"/>
        <v>0.4</v>
      </c>
      <c r="M193">
        <f t="shared" si="13"/>
        <v>0</v>
      </c>
      <c r="N193">
        <f t="shared" si="14"/>
        <v>9.540528163639124E-2</v>
      </c>
      <c r="O193">
        <f t="shared" si="15"/>
        <v>4.2169134483284933E-3</v>
      </c>
      <c r="P193">
        <f t="shared" si="16"/>
        <v>0.42169134483284931</v>
      </c>
      <c r="Q193">
        <f>VLOOKUP(C193,Sheet2!A:AU,47,0)</f>
        <v>1.3174690035181906</v>
      </c>
      <c r="R193">
        <f t="shared" si="17"/>
        <v>1.7391603483510401</v>
      </c>
    </row>
    <row r="194" spans="1:18" x14ac:dyDescent="0.3">
      <c r="A194" s="1">
        <v>192</v>
      </c>
      <c r="B194">
        <v>192</v>
      </c>
      <c r="C194" t="s">
        <v>254</v>
      </c>
      <c r="D194" t="s">
        <v>77</v>
      </c>
      <c r="E194">
        <v>1</v>
      </c>
      <c r="F194" t="s">
        <v>24</v>
      </c>
      <c r="G194">
        <v>17932</v>
      </c>
      <c r="H194">
        <v>5.5766227972339898E-2</v>
      </c>
      <c r="I194">
        <v>4.54162523501754E-2</v>
      </c>
      <c r="J194">
        <v>2.0073983538776998E-3</v>
      </c>
      <c r="K194">
        <v>4.5416252350175403</v>
      </c>
      <c r="L194">
        <f t="shared" si="12"/>
        <v>0.4</v>
      </c>
      <c r="M194">
        <f t="shared" si="13"/>
        <v>0</v>
      </c>
      <c r="N194">
        <f t="shared" si="14"/>
        <v>0.13941556993084975</v>
      </c>
      <c r="O194">
        <f t="shared" si="15"/>
        <v>6.1621681909435596E-3</v>
      </c>
      <c r="P194">
        <f t="shared" si="16"/>
        <v>0.61621681909435599</v>
      </c>
      <c r="Q194">
        <f>VLOOKUP(C194,Sheet2!A:AU,47,0)</f>
        <v>0.91793539576806737</v>
      </c>
      <c r="R194">
        <f t="shared" si="17"/>
        <v>1.5341522148624234</v>
      </c>
    </row>
    <row r="195" spans="1:18" x14ac:dyDescent="0.3">
      <c r="A195" s="1">
        <v>193</v>
      </c>
      <c r="B195">
        <v>193</v>
      </c>
      <c r="C195" t="s">
        <v>255</v>
      </c>
      <c r="D195" t="s">
        <v>132</v>
      </c>
      <c r="E195">
        <v>1</v>
      </c>
      <c r="F195" t="s">
        <v>12</v>
      </c>
      <c r="G195">
        <v>22166</v>
      </c>
      <c r="H195">
        <v>4.51141387710908E-2</v>
      </c>
      <c r="I195">
        <v>3.3014216896477398E-2</v>
      </c>
      <c r="J195">
        <v>1.4592283868242999E-3</v>
      </c>
      <c r="K195">
        <v>3.301421689647746</v>
      </c>
      <c r="L195">
        <f t="shared" ref="L195:L258" si="18">MAX(H:H)</f>
        <v>0.4</v>
      </c>
      <c r="M195">
        <f t="shared" ref="M195:M258" si="19">MIN(H:H)</f>
        <v>0</v>
      </c>
      <c r="N195">
        <f t="shared" ref="N195:N258" si="20">(H195-M195)/(L195-M195)</f>
        <v>0.112785346927727</v>
      </c>
      <c r="O195">
        <f t="shared" ref="O195:O258" si="21">N195*0.0442</f>
        <v>4.9851123342055338E-3</v>
      </c>
      <c r="P195">
        <f t="shared" ref="P195:P258" si="22">O195*100</f>
        <v>0.49851123342055337</v>
      </c>
      <c r="Q195">
        <f>VLOOKUP(C195,Sheet2!A:AU,47,0)</f>
        <v>2.1841580858953829</v>
      </c>
      <c r="R195">
        <f t="shared" ref="R195:R258" si="23">IFERROR((P195+Q195),0)</f>
        <v>2.6826693193159361</v>
      </c>
    </row>
    <row r="196" spans="1:18" x14ac:dyDescent="0.3">
      <c r="A196" s="1">
        <v>194</v>
      </c>
      <c r="B196">
        <v>194</v>
      </c>
      <c r="C196" t="s">
        <v>256</v>
      </c>
      <c r="D196" t="s">
        <v>132</v>
      </c>
      <c r="E196">
        <v>1</v>
      </c>
      <c r="F196" t="s">
        <v>12</v>
      </c>
      <c r="G196">
        <v>27649</v>
      </c>
      <c r="H196">
        <v>3.6167673333574402E-2</v>
      </c>
      <c r="I196">
        <v>2.2598008447119799E-2</v>
      </c>
      <c r="J196">
        <v>9.9883197336260009E-4</v>
      </c>
      <c r="K196">
        <v>2.2598008447119842</v>
      </c>
      <c r="L196">
        <f t="shared" si="18"/>
        <v>0.4</v>
      </c>
      <c r="M196">
        <f t="shared" si="19"/>
        <v>0</v>
      </c>
      <c r="N196">
        <f t="shared" si="20"/>
        <v>9.0419183333936004E-2</v>
      </c>
      <c r="O196">
        <f t="shared" si="21"/>
        <v>3.9965279033599716E-3</v>
      </c>
      <c r="P196">
        <f t="shared" si="22"/>
        <v>0.39965279033599715</v>
      </c>
      <c r="Q196">
        <f>VLOOKUP(C196,Sheet2!A:AU,47,0)</f>
        <v>0.66420420427811444</v>
      </c>
      <c r="R196">
        <f t="shared" si="23"/>
        <v>1.0638569946141117</v>
      </c>
    </row>
    <row r="197" spans="1:18" x14ac:dyDescent="0.3">
      <c r="A197" s="1">
        <v>195</v>
      </c>
      <c r="B197">
        <v>195</v>
      </c>
      <c r="C197" t="s">
        <v>257</v>
      </c>
      <c r="D197" t="s">
        <v>132</v>
      </c>
      <c r="E197">
        <v>1</v>
      </c>
      <c r="F197" t="s">
        <v>12</v>
      </c>
      <c r="G197">
        <v>13534</v>
      </c>
      <c r="H197">
        <v>7.3887985813506696E-2</v>
      </c>
      <c r="I197">
        <v>6.6515088360967006E-2</v>
      </c>
      <c r="J197">
        <v>2.9399669055546998E-3</v>
      </c>
      <c r="K197">
        <v>6.6515088360967036</v>
      </c>
      <c r="L197">
        <f t="shared" si="18"/>
        <v>0.4</v>
      </c>
      <c r="M197">
        <f t="shared" si="19"/>
        <v>0</v>
      </c>
      <c r="N197">
        <f t="shared" si="20"/>
        <v>0.18471996453376674</v>
      </c>
      <c r="O197">
        <f t="shared" si="21"/>
        <v>8.1646224323924897E-3</v>
      </c>
      <c r="P197">
        <f t="shared" si="22"/>
        <v>0.81646224323924899</v>
      </c>
      <c r="Q197">
        <f>VLOOKUP(C197,Sheet2!A:AU,47,0)</f>
        <v>2.5262699079067854</v>
      </c>
      <c r="R197">
        <f t="shared" si="23"/>
        <v>3.3427321511460342</v>
      </c>
    </row>
    <row r="198" spans="1:18" x14ac:dyDescent="0.3">
      <c r="A198" s="1">
        <v>196</v>
      </c>
      <c r="B198">
        <v>196</v>
      </c>
      <c r="C198" t="s">
        <v>258</v>
      </c>
      <c r="D198" t="s">
        <v>132</v>
      </c>
      <c r="E198">
        <v>1</v>
      </c>
      <c r="F198" t="s">
        <v>12</v>
      </c>
      <c r="G198">
        <v>13785</v>
      </c>
      <c r="H198">
        <v>7.2542618788538196E-2</v>
      </c>
      <c r="I198">
        <v>6.4948701783962101E-2</v>
      </c>
      <c r="J198">
        <v>2.8707326188511001E-3</v>
      </c>
      <c r="K198">
        <v>6.4948701783962184</v>
      </c>
      <c r="L198">
        <f t="shared" si="18"/>
        <v>0.4</v>
      </c>
      <c r="M198">
        <f t="shared" si="19"/>
        <v>0</v>
      </c>
      <c r="N198">
        <f t="shared" si="20"/>
        <v>0.18135654697134548</v>
      </c>
      <c r="O198">
        <f t="shared" si="21"/>
        <v>8.0159593761334712E-3</v>
      </c>
      <c r="P198">
        <f t="shared" si="22"/>
        <v>0.80159593761334713</v>
      </c>
      <c r="Q198">
        <f>VLOOKUP(C198,Sheet2!A:AU,47,0)</f>
        <v>1.5590963446559585</v>
      </c>
      <c r="R198">
        <f t="shared" si="23"/>
        <v>2.3606922822693055</v>
      </c>
    </row>
    <row r="199" spans="1:18" x14ac:dyDescent="0.3">
      <c r="A199" s="1">
        <v>197</v>
      </c>
      <c r="B199">
        <v>197</v>
      </c>
      <c r="C199" t="s">
        <v>259</v>
      </c>
      <c r="D199" t="s">
        <v>91</v>
      </c>
      <c r="E199">
        <v>3</v>
      </c>
      <c r="F199" t="s">
        <v>24</v>
      </c>
      <c r="G199">
        <v>20677</v>
      </c>
      <c r="H199">
        <v>0.1450887459496058</v>
      </c>
      <c r="I199">
        <v>0.14941284999767929</v>
      </c>
      <c r="J199">
        <v>6.6040479698974003E-3</v>
      </c>
      <c r="K199">
        <v>14.941284999767939</v>
      </c>
      <c r="L199">
        <f t="shared" si="18"/>
        <v>0.4</v>
      </c>
      <c r="M199">
        <f t="shared" si="19"/>
        <v>0</v>
      </c>
      <c r="N199">
        <f t="shared" si="20"/>
        <v>0.36272186487401448</v>
      </c>
      <c r="O199">
        <f t="shared" si="21"/>
        <v>1.6032306427431441E-2</v>
      </c>
      <c r="P199">
        <f t="shared" si="22"/>
        <v>1.603230642743144</v>
      </c>
      <c r="Q199">
        <f>VLOOKUP(C199,Sheet2!A:AU,47,0)</f>
        <v>3.0103828356920896</v>
      </c>
      <c r="R199">
        <f t="shared" si="23"/>
        <v>4.6136134784352336</v>
      </c>
    </row>
    <row r="200" spans="1:18" x14ac:dyDescent="0.3">
      <c r="A200" s="1">
        <v>198</v>
      </c>
      <c r="B200">
        <v>198</v>
      </c>
      <c r="C200" t="s">
        <v>260</v>
      </c>
      <c r="D200" t="s">
        <v>33</v>
      </c>
      <c r="E200">
        <v>1</v>
      </c>
      <c r="F200" t="s">
        <v>17</v>
      </c>
      <c r="G200">
        <v>14226</v>
      </c>
      <c r="H200">
        <v>7.0293828201883804E-2</v>
      </c>
      <c r="I200">
        <v>6.2330475438245901E-2</v>
      </c>
      <c r="J200">
        <v>2.7550070143704001E-3</v>
      </c>
      <c r="K200">
        <v>6.2330475438245916</v>
      </c>
      <c r="L200">
        <f t="shared" si="18"/>
        <v>0.4</v>
      </c>
      <c r="M200">
        <f t="shared" si="19"/>
        <v>0</v>
      </c>
      <c r="N200">
        <f t="shared" si="20"/>
        <v>0.1757345705047095</v>
      </c>
      <c r="O200">
        <f t="shared" si="21"/>
        <v>7.767468016308161E-3</v>
      </c>
      <c r="P200">
        <f t="shared" si="22"/>
        <v>0.77674680163081611</v>
      </c>
      <c r="Q200">
        <f>VLOOKUP(C200,Sheet2!A:AU,47,0)</f>
        <v>1.04824349981124</v>
      </c>
      <c r="R200">
        <f t="shared" si="23"/>
        <v>1.8249903014420561</v>
      </c>
    </row>
    <row r="201" spans="1:18" x14ac:dyDescent="0.3">
      <c r="A201" s="1">
        <v>199</v>
      </c>
      <c r="B201">
        <v>199</v>
      </c>
      <c r="C201" t="s">
        <v>261</v>
      </c>
      <c r="D201" t="s">
        <v>33</v>
      </c>
      <c r="E201">
        <v>1</v>
      </c>
      <c r="F201" t="s">
        <v>17</v>
      </c>
      <c r="G201">
        <v>19701</v>
      </c>
      <c r="H201">
        <v>5.0758844728693901E-2</v>
      </c>
      <c r="I201">
        <v>3.9586246297403302E-2</v>
      </c>
      <c r="J201">
        <v>1.7497120863451999E-3</v>
      </c>
      <c r="K201">
        <v>3.9586246297403309</v>
      </c>
      <c r="L201">
        <f t="shared" si="18"/>
        <v>0.4</v>
      </c>
      <c r="M201">
        <f t="shared" si="19"/>
        <v>0</v>
      </c>
      <c r="N201">
        <f t="shared" si="20"/>
        <v>0.12689711182173474</v>
      </c>
      <c r="O201">
        <f t="shared" si="21"/>
        <v>5.608852342520676E-3</v>
      </c>
      <c r="P201">
        <f t="shared" si="22"/>
        <v>0.5608852342520676</v>
      </c>
      <c r="Q201">
        <f>VLOOKUP(C201,Sheet2!A:AU,47,0)</f>
        <v>1.1138429943243038</v>
      </c>
      <c r="R201">
        <f t="shared" si="23"/>
        <v>1.6747282285763714</v>
      </c>
    </row>
    <row r="202" spans="1:18" x14ac:dyDescent="0.3">
      <c r="A202" s="1">
        <v>200</v>
      </c>
      <c r="B202">
        <v>200</v>
      </c>
      <c r="C202" t="s">
        <v>262</v>
      </c>
      <c r="D202" t="s">
        <v>33</v>
      </c>
      <c r="E202">
        <v>1</v>
      </c>
      <c r="F202" t="s">
        <v>17</v>
      </c>
      <c r="G202">
        <v>16205</v>
      </c>
      <c r="H202">
        <v>6.1709348966368399E-2</v>
      </c>
      <c r="I202">
        <v>5.2335720999096801E-2</v>
      </c>
      <c r="J202">
        <v>2.3132388681600001E-3</v>
      </c>
      <c r="K202">
        <v>5.2335720999096811</v>
      </c>
      <c r="L202">
        <f t="shared" si="18"/>
        <v>0.4</v>
      </c>
      <c r="M202">
        <f t="shared" si="19"/>
        <v>0</v>
      </c>
      <c r="N202">
        <f t="shared" si="20"/>
        <v>0.15427337241592098</v>
      </c>
      <c r="O202">
        <f t="shared" si="21"/>
        <v>6.8188830607837083E-3</v>
      </c>
      <c r="P202">
        <f t="shared" si="22"/>
        <v>0.68188830607837081</v>
      </c>
      <c r="Q202">
        <f>VLOOKUP(C202,Sheet2!A:AU,47,0)</f>
        <v>1.1152084937130715</v>
      </c>
      <c r="R202">
        <f t="shared" si="23"/>
        <v>1.7970967997914422</v>
      </c>
    </row>
    <row r="203" spans="1:18" x14ac:dyDescent="0.3">
      <c r="A203" s="1">
        <v>201</v>
      </c>
      <c r="B203">
        <v>201</v>
      </c>
      <c r="C203" t="s">
        <v>263</v>
      </c>
      <c r="D203" t="s">
        <v>33</v>
      </c>
      <c r="E203">
        <v>2</v>
      </c>
      <c r="F203" t="s">
        <v>17</v>
      </c>
      <c r="G203">
        <v>31291</v>
      </c>
      <c r="H203">
        <v>6.3916142021667496E-2</v>
      </c>
      <c r="I203">
        <v>5.4905050376059299E-2</v>
      </c>
      <c r="J203">
        <v>2.4268032266217998E-3</v>
      </c>
      <c r="K203">
        <v>5.4905050376059332</v>
      </c>
      <c r="L203">
        <f t="shared" si="18"/>
        <v>0.4</v>
      </c>
      <c r="M203">
        <f t="shared" si="19"/>
        <v>0</v>
      </c>
      <c r="N203">
        <f t="shared" si="20"/>
        <v>0.15979035505416872</v>
      </c>
      <c r="O203">
        <f t="shared" si="21"/>
        <v>7.0627336933942577E-3</v>
      </c>
      <c r="P203">
        <f t="shared" si="22"/>
        <v>0.70627336933942575</v>
      </c>
      <c r="Q203">
        <f>VLOOKUP(C203,Sheet2!A:AU,47,0)</f>
        <v>1.1251901404340185</v>
      </c>
      <c r="R203">
        <f t="shared" si="23"/>
        <v>1.8314635097734442</v>
      </c>
    </row>
    <row r="204" spans="1:18" x14ac:dyDescent="0.3">
      <c r="A204" s="1">
        <v>202</v>
      </c>
      <c r="B204">
        <v>202</v>
      </c>
      <c r="C204" t="s">
        <v>264</v>
      </c>
      <c r="D204" t="s">
        <v>121</v>
      </c>
      <c r="E204">
        <v>1</v>
      </c>
      <c r="F204" t="s">
        <v>12</v>
      </c>
      <c r="G204">
        <v>21603</v>
      </c>
      <c r="H204">
        <v>4.6289867148081199E-2</v>
      </c>
      <c r="I204">
        <v>3.4383096253368599E-2</v>
      </c>
      <c r="J204">
        <v>1.5197328543988E-3</v>
      </c>
      <c r="K204">
        <v>3.4383096253368701</v>
      </c>
      <c r="L204">
        <f t="shared" si="18"/>
        <v>0.4</v>
      </c>
      <c r="M204">
        <f t="shared" si="19"/>
        <v>0</v>
      </c>
      <c r="N204">
        <f t="shared" si="20"/>
        <v>0.115724667870203</v>
      </c>
      <c r="O204">
        <f t="shared" si="21"/>
        <v>5.1150303198629725E-3</v>
      </c>
      <c r="P204">
        <f t="shared" si="22"/>
        <v>0.51150303198629721</v>
      </c>
      <c r="Q204">
        <f>VLOOKUP(C204,Sheet2!A:AU,47,0)</f>
        <v>1.1893996734419212</v>
      </c>
      <c r="R204">
        <f t="shared" si="23"/>
        <v>1.7009027054282184</v>
      </c>
    </row>
    <row r="205" spans="1:18" x14ac:dyDescent="0.3">
      <c r="A205" s="1">
        <v>203</v>
      </c>
      <c r="B205">
        <v>203</v>
      </c>
      <c r="C205" t="s">
        <v>265</v>
      </c>
      <c r="D205" t="s">
        <v>124</v>
      </c>
      <c r="E205">
        <v>1</v>
      </c>
      <c r="F205" t="s">
        <v>12</v>
      </c>
      <c r="G205">
        <v>20033</v>
      </c>
      <c r="H205">
        <v>4.9917635900763702E-2</v>
      </c>
      <c r="I205">
        <v>3.8606842021786499E-2</v>
      </c>
      <c r="J205">
        <v>1.7064224173629001E-3</v>
      </c>
      <c r="K205">
        <v>3.8606842021786552</v>
      </c>
      <c r="L205">
        <f t="shared" si="18"/>
        <v>0.4</v>
      </c>
      <c r="M205">
        <f t="shared" si="19"/>
        <v>0</v>
      </c>
      <c r="N205">
        <f t="shared" si="20"/>
        <v>0.12479408975190925</v>
      </c>
      <c r="O205">
        <f t="shared" si="21"/>
        <v>5.5158987670343891E-3</v>
      </c>
      <c r="P205">
        <f t="shared" si="22"/>
        <v>0.55158987670343895</v>
      </c>
      <c r="Q205">
        <f>VLOOKUP(C205,Sheet2!A:AU,47,0)</f>
        <v>1.544858021873712</v>
      </c>
      <c r="R205">
        <f t="shared" si="23"/>
        <v>2.0964478985771509</v>
      </c>
    </row>
    <row r="206" spans="1:18" x14ac:dyDescent="0.3">
      <c r="A206" s="1">
        <v>204</v>
      </c>
      <c r="B206">
        <v>204</v>
      </c>
      <c r="C206" t="s">
        <v>266</v>
      </c>
      <c r="D206" t="s">
        <v>237</v>
      </c>
      <c r="E206">
        <v>2</v>
      </c>
      <c r="F206" t="s">
        <v>12</v>
      </c>
      <c r="G206">
        <v>24436</v>
      </c>
      <c r="H206">
        <v>8.1846456048453101E-2</v>
      </c>
      <c r="I206">
        <v>7.5780991804531003E-2</v>
      </c>
      <c r="J206">
        <v>3.3495198377602002E-3</v>
      </c>
      <c r="K206">
        <v>7.578099180453103</v>
      </c>
      <c r="L206">
        <f t="shared" si="18"/>
        <v>0.4</v>
      </c>
      <c r="M206">
        <f t="shared" si="19"/>
        <v>0</v>
      </c>
      <c r="N206">
        <f t="shared" si="20"/>
        <v>0.20461614012113274</v>
      </c>
      <c r="O206">
        <f t="shared" si="21"/>
        <v>9.044033393354068E-3</v>
      </c>
      <c r="P206">
        <f t="shared" si="22"/>
        <v>0.90440333933540684</v>
      </c>
      <c r="Q206">
        <f>VLOOKUP(C206,Sheet2!A:AU,47,0)</f>
        <v>1.9605490551244869</v>
      </c>
      <c r="R206">
        <f t="shared" si="23"/>
        <v>2.8649523944598938</v>
      </c>
    </row>
    <row r="207" spans="1:18" x14ac:dyDescent="0.3">
      <c r="A207" s="1">
        <v>205</v>
      </c>
      <c r="B207">
        <v>205</v>
      </c>
      <c r="C207" t="s">
        <v>267</v>
      </c>
      <c r="D207" t="s">
        <v>50</v>
      </c>
      <c r="E207">
        <v>1</v>
      </c>
      <c r="F207" t="s">
        <v>12</v>
      </c>
      <c r="G207">
        <v>28271</v>
      </c>
      <c r="H207">
        <v>3.5371935906052102E-2</v>
      </c>
      <c r="I207">
        <v>2.1671545703378502E-2</v>
      </c>
      <c r="J207">
        <v>9.5788232008929997E-4</v>
      </c>
      <c r="K207">
        <v>2.1671545703378561</v>
      </c>
      <c r="L207">
        <f t="shared" si="18"/>
        <v>0.4</v>
      </c>
      <c r="M207">
        <f t="shared" si="19"/>
        <v>0</v>
      </c>
      <c r="N207">
        <f t="shared" si="20"/>
        <v>8.8429839765130247E-2</v>
      </c>
      <c r="O207">
        <f t="shared" si="21"/>
        <v>3.9085989176187571E-3</v>
      </c>
      <c r="P207">
        <f t="shared" si="22"/>
        <v>0.39085989176187569</v>
      </c>
      <c r="Q207">
        <f>VLOOKUP(C207,Sheet2!A:AU,47,0)</f>
        <v>0.92095148997176535</v>
      </c>
      <c r="R207">
        <f t="shared" si="23"/>
        <v>1.311811381733641</v>
      </c>
    </row>
    <row r="208" spans="1:18" x14ac:dyDescent="0.3">
      <c r="A208" s="1">
        <v>206</v>
      </c>
      <c r="B208">
        <v>206</v>
      </c>
      <c r="C208" t="s">
        <v>268</v>
      </c>
      <c r="D208" t="s">
        <v>97</v>
      </c>
      <c r="E208">
        <v>1</v>
      </c>
      <c r="F208" t="s">
        <v>24</v>
      </c>
      <c r="G208">
        <v>23527</v>
      </c>
      <c r="H208">
        <v>4.2504356696561399E-2</v>
      </c>
      <c r="I208">
        <v>2.99756946682797E-2</v>
      </c>
      <c r="J208">
        <v>1.3249257043379001E-3</v>
      </c>
      <c r="K208">
        <v>2.997569466827978</v>
      </c>
      <c r="L208">
        <f t="shared" si="18"/>
        <v>0.4</v>
      </c>
      <c r="M208">
        <f t="shared" si="19"/>
        <v>0</v>
      </c>
      <c r="N208">
        <f t="shared" si="20"/>
        <v>0.10626089174140349</v>
      </c>
      <c r="O208">
        <f t="shared" si="21"/>
        <v>4.6967314149700349E-3</v>
      </c>
      <c r="P208">
        <f t="shared" si="22"/>
        <v>0.46967314149700351</v>
      </c>
      <c r="Q208">
        <f>VLOOKUP(C208,Sheet2!A:AU,47,0)</f>
        <v>0.3586653562823568</v>
      </c>
      <c r="R208">
        <f t="shared" si="23"/>
        <v>0.82833849777936031</v>
      </c>
    </row>
    <row r="209" spans="1:18" x14ac:dyDescent="0.3">
      <c r="A209" s="1">
        <v>207</v>
      </c>
      <c r="B209">
        <v>207</v>
      </c>
      <c r="C209" t="s">
        <v>269</v>
      </c>
      <c r="D209" t="s">
        <v>89</v>
      </c>
      <c r="E209">
        <v>1</v>
      </c>
      <c r="F209" t="s">
        <v>24</v>
      </c>
      <c r="G209">
        <v>12445</v>
      </c>
      <c r="H209">
        <v>8.0353555644837205E-2</v>
      </c>
      <c r="I209">
        <v>7.4042834774047994E-2</v>
      </c>
      <c r="J209">
        <v>3.2726932970129001E-3</v>
      </c>
      <c r="K209">
        <v>7.4042834774047996</v>
      </c>
      <c r="L209">
        <f t="shared" si="18"/>
        <v>0.4</v>
      </c>
      <c r="M209">
        <f t="shared" si="19"/>
        <v>0</v>
      </c>
      <c r="N209">
        <f t="shared" si="20"/>
        <v>0.20088388911209301</v>
      </c>
      <c r="O209">
        <f t="shared" si="21"/>
        <v>8.879067898754511E-3</v>
      </c>
      <c r="P209">
        <f t="shared" si="22"/>
        <v>0.88790678987545113</v>
      </c>
      <c r="Q209">
        <f>VLOOKUP(C209,Sheet2!A:AU,47,0)</f>
        <v>1.7305221657650125</v>
      </c>
      <c r="R209">
        <f t="shared" si="23"/>
        <v>2.6184289556404634</v>
      </c>
    </row>
    <row r="210" spans="1:18" x14ac:dyDescent="0.3">
      <c r="A210" s="1">
        <v>208</v>
      </c>
      <c r="B210">
        <v>208</v>
      </c>
      <c r="C210" t="s">
        <v>270</v>
      </c>
      <c r="D210" t="s">
        <v>70</v>
      </c>
      <c r="E210">
        <v>3</v>
      </c>
      <c r="F210" t="s">
        <v>12</v>
      </c>
      <c r="G210">
        <v>35918</v>
      </c>
      <c r="H210">
        <v>8.3523581491174295E-2</v>
      </c>
      <c r="I210">
        <v>7.7733638727398302E-2</v>
      </c>
      <c r="J210">
        <v>3.435826831751E-3</v>
      </c>
      <c r="K210">
        <v>7.7733638727398366</v>
      </c>
      <c r="L210">
        <f t="shared" si="18"/>
        <v>0.4</v>
      </c>
      <c r="M210">
        <f t="shared" si="19"/>
        <v>0</v>
      </c>
      <c r="N210">
        <f t="shared" si="20"/>
        <v>0.20880895372793573</v>
      </c>
      <c r="O210">
        <f t="shared" si="21"/>
        <v>9.2293557547747599E-3</v>
      </c>
      <c r="P210">
        <f t="shared" si="22"/>
        <v>0.92293557547747596</v>
      </c>
      <c r="Q210">
        <f>VLOOKUP(C210,Sheet2!A:AU,47,0)</f>
        <v>1.8509973515373319</v>
      </c>
      <c r="R210">
        <f t="shared" si="23"/>
        <v>2.7739329270148079</v>
      </c>
    </row>
    <row r="211" spans="1:18" x14ac:dyDescent="0.3">
      <c r="A211" s="1">
        <v>209</v>
      </c>
      <c r="B211">
        <v>209</v>
      </c>
      <c r="C211" t="s">
        <v>271</v>
      </c>
      <c r="D211" t="s">
        <v>70</v>
      </c>
      <c r="E211">
        <v>1</v>
      </c>
      <c r="F211" t="s">
        <v>12</v>
      </c>
      <c r="G211">
        <v>18557</v>
      </c>
      <c r="H211">
        <v>5.3888020692999902E-2</v>
      </c>
      <c r="I211">
        <v>4.3229489469421699E-2</v>
      </c>
      <c r="J211">
        <v>1.9107434345484E-3</v>
      </c>
      <c r="K211">
        <v>4.3229489469421756</v>
      </c>
      <c r="L211">
        <f t="shared" si="18"/>
        <v>0.4</v>
      </c>
      <c r="M211">
        <f t="shared" si="19"/>
        <v>0</v>
      </c>
      <c r="N211">
        <f t="shared" si="20"/>
        <v>0.13472005173249973</v>
      </c>
      <c r="O211">
        <f t="shared" si="21"/>
        <v>5.9546262865764884E-3</v>
      </c>
      <c r="P211">
        <f t="shared" si="22"/>
        <v>0.59546262865764887</v>
      </c>
      <c r="Q211">
        <f>VLOOKUP(C211,Sheet2!A:AU,47,0)</f>
        <v>1.284883419716468</v>
      </c>
      <c r="R211">
        <f t="shared" si="23"/>
        <v>1.880346048374117</v>
      </c>
    </row>
    <row r="212" spans="1:18" x14ac:dyDescent="0.3">
      <c r="A212" s="1">
        <v>210</v>
      </c>
      <c r="B212">
        <v>210</v>
      </c>
      <c r="C212" t="s">
        <v>272</v>
      </c>
      <c r="D212" t="s">
        <v>70</v>
      </c>
      <c r="E212">
        <v>2</v>
      </c>
      <c r="F212" t="s">
        <v>12</v>
      </c>
      <c r="G212">
        <v>26523</v>
      </c>
      <c r="H212">
        <v>7.5406251178222597E-2</v>
      </c>
      <c r="I212">
        <v>6.8282777358456906E-2</v>
      </c>
      <c r="J212">
        <v>3.0180987592436999E-3</v>
      </c>
      <c r="K212">
        <v>6.8282777358456936</v>
      </c>
      <c r="L212">
        <f t="shared" si="18"/>
        <v>0.4</v>
      </c>
      <c r="M212">
        <f t="shared" si="19"/>
        <v>0</v>
      </c>
      <c r="N212">
        <f t="shared" si="20"/>
        <v>0.18851562794555649</v>
      </c>
      <c r="O212">
        <f t="shared" si="21"/>
        <v>8.3323907551935972E-3</v>
      </c>
      <c r="P212">
        <f t="shared" si="22"/>
        <v>0.83323907551935972</v>
      </c>
      <c r="Q212">
        <f>VLOOKUP(C212,Sheet2!A:AU,47,0)</f>
        <v>1.6170952928006674</v>
      </c>
      <c r="R212">
        <f t="shared" si="23"/>
        <v>2.4503343683200272</v>
      </c>
    </row>
    <row r="213" spans="1:18" x14ac:dyDescent="0.3">
      <c r="A213" s="1">
        <v>211</v>
      </c>
      <c r="B213">
        <v>211</v>
      </c>
      <c r="C213" t="s">
        <v>273</v>
      </c>
      <c r="D213" t="s">
        <v>70</v>
      </c>
      <c r="E213">
        <v>1</v>
      </c>
      <c r="F213" t="s">
        <v>12</v>
      </c>
      <c r="G213">
        <v>22099</v>
      </c>
      <c r="H213">
        <v>4.5250916331055699E-2</v>
      </c>
      <c r="I213">
        <v>3.3173464544136597E-2</v>
      </c>
      <c r="J213">
        <v>1.4662671328508001E-3</v>
      </c>
      <c r="K213">
        <v>3.3173464544136602</v>
      </c>
      <c r="L213">
        <f t="shared" si="18"/>
        <v>0.4</v>
      </c>
      <c r="M213">
        <f t="shared" si="19"/>
        <v>0</v>
      </c>
      <c r="N213">
        <f t="shared" si="20"/>
        <v>0.11312729082763924</v>
      </c>
      <c r="O213">
        <f t="shared" si="21"/>
        <v>5.0002262545816552E-3</v>
      </c>
      <c r="P213">
        <f t="shared" si="22"/>
        <v>0.50002262545816556</v>
      </c>
      <c r="Q213">
        <f>VLOOKUP(C213,Sheet2!A:AU,47,0)</f>
        <v>1.1374316514421878</v>
      </c>
      <c r="R213">
        <f t="shared" si="23"/>
        <v>1.6374542769003533</v>
      </c>
    </row>
    <row r="214" spans="1:18" x14ac:dyDescent="0.3">
      <c r="A214" s="1">
        <v>212</v>
      </c>
      <c r="B214">
        <v>212</v>
      </c>
      <c r="C214" t="s">
        <v>274</v>
      </c>
      <c r="D214" t="s">
        <v>70</v>
      </c>
      <c r="E214">
        <v>1</v>
      </c>
      <c r="F214" t="s">
        <v>12</v>
      </c>
      <c r="G214">
        <v>30301</v>
      </c>
      <c r="H214">
        <v>3.3002211148146901E-2</v>
      </c>
      <c r="I214">
        <v>1.8912517881906701E-2</v>
      </c>
      <c r="J214">
        <v>8.359332903802E-4</v>
      </c>
      <c r="K214">
        <v>1.8912517881906701</v>
      </c>
      <c r="L214">
        <f t="shared" si="18"/>
        <v>0.4</v>
      </c>
      <c r="M214">
        <f t="shared" si="19"/>
        <v>0</v>
      </c>
      <c r="N214">
        <f t="shared" si="20"/>
        <v>8.2505527870367246E-2</v>
      </c>
      <c r="O214">
        <f t="shared" si="21"/>
        <v>3.6467443318702326E-3</v>
      </c>
      <c r="P214">
        <f t="shared" si="22"/>
        <v>0.36467443318702325</v>
      </c>
      <c r="Q214">
        <f>VLOOKUP(C214,Sheet2!A:AU,47,0)</f>
        <v>0.49833544440953687</v>
      </c>
      <c r="R214">
        <f t="shared" si="23"/>
        <v>0.86300987759656012</v>
      </c>
    </row>
    <row r="215" spans="1:18" x14ac:dyDescent="0.3">
      <c r="A215" s="1">
        <v>213</v>
      </c>
      <c r="B215">
        <v>213</v>
      </c>
      <c r="C215" t="s">
        <v>275</v>
      </c>
      <c r="D215" t="s">
        <v>70</v>
      </c>
      <c r="E215">
        <v>1</v>
      </c>
      <c r="F215" t="s">
        <v>12</v>
      </c>
      <c r="G215">
        <v>21172</v>
      </c>
      <c r="H215">
        <v>4.7232193463064398E-2</v>
      </c>
      <c r="I215">
        <v>3.5480229796524002E-2</v>
      </c>
      <c r="J215">
        <v>1.5682261570062999E-3</v>
      </c>
      <c r="K215">
        <v>3.5480229796524059</v>
      </c>
      <c r="L215">
        <f t="shared" si="18"/>
        <v>0.4</v>
      </c>
      <c r="M215">
        <f t="shared" si="19"/>
        <v>0</v>
      </c>
      <c r="N215">
        <f t="shared" si="20"/>
        <v>0.118080483657661</v>
      </c>
      <c r="O215">
        <f t="shared" si="21"/>
        <v>5.2191573776686163E-3</v>
      </c>
      <c r="P215">
        <f t="shared" si="22"/>
        <v>0.52191573776686162</v>
      </c>
      <c r="Q215">
        <f>VLOOKUP(C215,Sheet2!A:AU,47,0)</f>
        <v>0.60310022356960835</v>
      </c>
      <c r="R215">
        <f t="shared" si="23"/>
        <v>1.1250159613364699</v>
      </c>
    </row>
    <row r="216" spans="1:18" x14ac:dyDescent="0.3">
      <c r="A216" s="1">
        <v>214</v>
      </c>
      <c r="B216">
        <v>214</v>
      </c>
      <c r="C216" t="s">
        <v>276</v>
      </c>
      <c r="D216" t="s">
        <v>111</v>
      </c>
      <c r="E216">
        <v>2</v>
      </c>
      <c r="F216" t="s">
        <v>24</v>
      </c>
      <c r="G216">
        <v>22321</v>
      </c>
      <c r="H216">
        <v>8.9601720353030698E-2</v>
      </c>
      <c r="I216">
        <v>8.4810306246142303E-2</v>
      </c>
      <c r="J216">
        <v>3.7486155360793999E-3</v>
      </c>
      <c r="K216">
        <v>8.4810306246142364</v>
      </c>
      <c r="L216">
        <f t="shared" si="18"/>
        <v>0.4</v>
      </c>
      <c r="M216">
        <f t="shared" si="19"/>
        <v>0</v>
      </c>
      <c r="N216">
        <f t="shared" si="20"/>
        <v>0.22400430088257672</v>
      </c>
      <c r="O216">
        <f t="shared" si="21"/>
        <v>9.9009900990098924E-3</v>
      </c>
      <c r="P216">
        <f t="shared" si="22"/>
        <v>0.9900990099009892</v>
      </c>
      <c r="Q216">
        <f>VLOOKUP(C216,Sheet2!A:AU,47,0)</f>
        <v>2.3330432648866104</v>
      </c>
      <c r="R216">
        <f t="shared" si="23"/>
        <v>3.3231422747875996</v>
      </c>
    </row>
    <row r="217" spans="1:18" x14ac:dyDescent="0.3">
      <c r="A217" s="1">
        <v>215</v>
      </c>
      <c r="B217">
        <v>215</v>
      </c>
      <c r="C217" t="s">
        <v>277</v>
      </c>
      <c r="D217" t="s">
        <v>111</v>
      </c>
      <c r="E217">
        <v>1</v>
      </c>
      <c r="F217" t="s">
        <v>24</v>
      </c>
      <c r="G217">
        <v>11019</v>
      </c>
      <c r="H217">
        <v>9.0752336872674394E-2</v>
      </c>
      <c r="I217">
        <v>8.6149948320164593E-2</v>
      </c>
      <c r="J217">
        <v>3.8078277157511998E-3</v>
      </c>
      <c r="K217">
        <v>8.614994832016464</v>
      </c>
      <c r="L217">
        <f t="shared" si="18"/>
        <v>0.4</v>
      </c>
      <c r="M217">
        <f t="shared" si="19"/>
        <v>0</v>
      </c>
      <c r="N217">
        <f t="shared" si="20"/>
        <v>0.22688084218168597</v>
      </c>
      <c r="O217">
        <f t="shared" si="21"/>
        <v>1.0028133224430521E-2</v>
      </c>
      <c r="P217">
        <f t="shared" si="22"/>
        <v>1.002813322443052</v>
      </c>
      <c r="Q217">
        <f>VLOOKUP(C217,Sheet2!A:AU,47,0)</f>
        <v>2.9759593385713727</v>
      </c>
      <c r="R217">
        <f t="shared" si="23"/>
        <v>3.9787726610144247</v>
      </c>
    </row>
    <row r="218" spans="1:18" x14ac:dyDescent="0.3">
      <c r="A218" s="1">
        <v>216</v>
      </c>
      <c r="B218">
        <v>216</v>
      </c>
      <c r="C218" t="s">
        <v>278</v>
      </c>
      <c r="D218" t="s">
        <v>132</v>
      </c>
      <c r="E218">
        <v>5</v>
      </c>
      <c r="F218" t="s">
        <v>12</v>
      </c>
      <c r="G218">
        <v>28748</v>
      </c>
      <c r="H218">
        <v>0.17392514261861691</v>
      </c>
      <c r="I218">
        <v>0.18298654686496019</v>
      </c>
      <c r="J218">
        <v>8.0880053714312006E-3</v>
      </c>
      <c r="K218">
        <v>18.298654686496029</v>
      </c>
      <c r="L218">
        <f t="shared" si="18"/>
        <v>0.4</v>
      </c>
      <c r="M218">
        <f t="shared" si="19"/>
        <v>0</v>
      </c>
      <c r="N218">
        <f t="shared" si="20"/>
        <v>0.43481285654654228</v>
      </c>
      <c r="O218">
        <f t="shared" si="21"/>
        <v>1.9218728259357169E-2</v>
      </c>
      <c r="P218">
        <f t="shared" si="22"/>
        <v>1.921872825935717</v>
      </c>
      <c r="Q218">
        <f>VLOOKUP(C218,Sheet2!A:AU,47,0)</f>
        <v>4.8295848689591008</v>
      </c>
      <c r="R218">
        <f t="shared" si="23"/>
        <v>6.7514576948948175</v>
      </c>
    </row>
    <row r="219" spans="1:18" x14ac:dyDescent="0.3">
      <c r="A219" s="1">
        <v>217</v>
      </c>
      <c r="B219">
        <v>217</v>
      </c>
      <c r="C219" t="s">
        <v>279</v>
      </c>
      <c r="D219" t="s">
        <v>164</v>
      </c>
      <c r="E219">
        <v>1</v>
      </c>
      <c r="F219" t="s">
        <v>24</v>
      </c>
      <c r="G219">
        <v>17353</v>
      </c>
      <c r="H219">
        <v>5.7626923298565003E-2</v>
      </c>
      <c r="I219">
        <v>4.7582626379569302E-2</v>
      </c>
      <c r="J219">
        <v>2.1031520859769001E-3</v>
      </c>
      <c r="K219">
        <v>4.758262637956939</v>
      </c>
      <c r="L219">
        <f t="shared" si="18"/>
        <v>0.4</v>
      </c>
      <c r="M219">
        <f t="shared" si="19"/>
        <v>0</v>
      </c>
      <c r="N219">
        <f t="shared" si="20"/>
        <v>0.14406730824641251</v>
      </c>
      <c r="O219">
        <f t="shared" si="21"/>
        <v>6.3677750244914332E-3</v>
      </c>
      <c r="P219">
        <f t="shared" si="22"/>
        <v>0.63677750244914333</v>
      </c>
      <c r="Q219">
        <f>VLOOKUP(C219,Sheet2!A:AU,47,0)</f>
        <v>1.2536169459811173</v>
      </c>
      <c r="R219">
        <f t="shared" si="23"/>
        <v>1.8903944484302606</v>
      </c>
    </row>
    <row r="220" spans="1:18" x14ac:dyDescent="0.3">
      <c r="A220" s="1">
        <v>218</v>
      </c>
      <c r="B220">
        <v>218</v>
      </c>
      <c r="C220" t="s">
        <v>280</v>
      </c>
      <c r="D220" t="s">
        <v>198</v>
      </c>
      <c r="E220">
        <v>1</v>
      </c>
      <c r="F220" t="s">
        <v>12</v>
      </c>
      <c r="G220">
        <v>22813</v>
      </c>
      <c r="H220">
        <v>4.3834655678779602E-2</v>
      </c>
      <c r="I220">
        <v>3.1524537794711198E-2</v>
      </c>
      <c r="J220">
        <v>1.3933845705262E-3</v>
      </c>
      <c r="K220">
        <v>3.15245377947112</v>
      </c>
      <c r="L220">
        <f t="shared" si="18"/>
        <v>0.4</v>
      </c>
      <c r="M220">
        <f t="shared" si="19"/>
        <v>0</v>
      </c>
      <c r="N220">
        <f t="shared" si="20"/>
        <v>0.109586639196949</v>
      </c>
      <c r="O220">
        <f t="shared" si="21"/>
        <v>4.8437294525051459E-3</v>
      </c>
      <c r="P220">
        <f t="shared" si="22"/>
        <v>0.48437294525051461</v>
      </c>
      <c r="Q220">
        <f>VLOOKUP(C220,Sheet2!A:AU,47,0)</f>
        <v>0.74291119769519154</v>
      </c>
      <c r="R220">
        <f t="shared" si="23"/>
        <v>1.2272841429457062</v>
      </c>
    </row>
    <row r="221" spans="1:18" x14ac:dyDescent="0.3">
      <c r="A221" s="1">
        <v>219</v>
      </c>
      <c r="B221">
        <v>219</v>
      </c>
      <c r="C221" t="s">
        <v>281</v>
      </c>
      <c r="D221" t="s">
        <v>198</v>
      </c>
      <c r="E221">
        <v>1</v>
      </c>
      <c r="F221" t="s">
        <v>12</v>
      </c>
      <c r="G221">
        <v>21554</v>
      </c>
      <c r="H221">
        <v>4.6395100677368399E-2</v>
      </c>
      <c r="I221">
        <v>3.4505617754689202E-2</v>
      </c>
      <c r="J221">
        <v>1.5251483047572E-3</v>
      </c>
      <c r="K221">
        <v>3.4505617754689251</v>
      </c>
      <c r="L221">
        <f t="shared" si="18"/>
        <v>0.4</v>
      </c>
      <c r="M221">
        <f t="shared" si="19"/>
        <v>0</v>
      </c>
      <c r="N221">
        <f t="shared" si="20"/>
        <v>0.11598775169342099</v>
      </c>
      <c r="O221">
        <f t="shared" si="21"/>
        <v>5.126658624849208E-3</v>
      </c>
      <c r="P221">
        <f t="shared" si="22"/>
        <v>0.51266586248492085</v>
      </c>
      <c r="Q221">
        <f>VLOOKUP(C221,Sheet2!A:AU,47,0)</f>
        <v>2.0060117587670026</v>
      </c>
      <c r="R221">
        <f t="shared" si="23"/>
        <v>2.5186776212519235</v>
      </c>
    </row>
    <row r="222" spans="1:18" x14ac:dyDescent="0.3">
      <c r="A222" s="1">
        <v>220</v>
      </c>
      <c r="B222">
        <v>220</v>
      </c>
      <c r="C222" t="s">
        <v>282</v>
      </c>
      <c r="D222" t="s">
        <v>72</v>
      </c>
      <c r="E222">
        <v>1</v>
      </c>
      <c r="L222">
        <f t="shared" si="18"/>
        <v>0.4</v>
      </c>
      <c r="M222">
        <f t="shared" si="19"/>
        <v>0</v>
      </c>
      <c r="N222">
        <f t="shared" si="20"/>
        <v>0</v>
      </c>
      <c r="O222">
        <f t="shared" si="21"/>
        <v>0</v>
      </c>
      <c r="P222">
        <f t="shared" si="22"/>
        <v>0</v>
      </c>
      <c r="Q222">
        <f>VLOOKUP(C222,Sheet2!A:AU,47,0)</f>
        <v>0.33743395628618278</v>
      </c>
      <c r="R222">
        <f t="shared" si="23"/>
        <v>0.33743395628618278</v>
      </c>
    </row>
    <row r="223" spans="1:18" x14ac:dyDescent="0.3">
      <c r="A223" s="1">
        <v>221</v>
      </c>
      <c r="B223">
        <v>221</v>
      </c>
      <c r="C223" t="s">
        <v>282</v>
      </c>
      <c r="D223" t="s">
        <v>124</v>
      </c>
      <c r="E223">
        <v>1</v>
      </c>
      <c r="L223">
        <f t="shared" si="18"/>
        <v>0.4</v>
      </c>
      <c r="M223">
        <f t="shared" si="19"/>
        <v>0</v>
      </c>
      <c r="N223">
        <f t="shared" si="20"/>
        <v>0</v>
      </c>
      <c r="O223">
        <f t="shared" si="21"/>
        <v>0</v>
      </c>
      <c r="P223">
        <f t="shared" si="22"/>
        <v>0</v>
      </c>
      <c r="Q223">
        <f>VLOOKUP(C223,Sheet2!A:AU,47,0)</f>
        <v>0.33743395628618278</v>
      </c>
      <c r="R223">
        <f t="shared" si="23"/>
        <v>0.33743395628618278</v>
      </c>
    </row>
    <row r="224" spans="1:18" x14ac:dyDescent="0.3">
      <c r="A224" s="1">
        <v>222</v>
      </c>
      <c r="B224">
        <v>222</v>
      </c>
      <c r="C224" t="s">
        <v>282</v>
      </c>
      <c r="D224" t="s">
        <v>172</v>
      </c>
      <c r="E224">
        <v>1</v>
      </c>
      <c r="F224" t="s">
        <v>12</v>
      </c>
      <c r="G224">
        <v>29076</v>
      </c>
      <c r="H224">
        <v>3.4392626220938201E-2</v>
      </c>
      <c r="I224">
        <v>2.0531353089003099E-2</v>
      </c>
      <c r="J224">
        <v>9.0748580653389997E-4</v>
      </c>
      <c r="K224">
        <v>2.053135308900313</v>
      </c>
      <c r="L224">
        <f t="shared" si="18"/>
        <v>0.4</v>
      </c>
      <c r="M224">
        <f t="shared" si="19"/>
        <v>0</v>
      </c>
      <c r="N224">
        <f t="shared" si="20"/>
        <v>8.5981565552345499E-2</v>
      </c>
      <c r="O224">
        <f t="shared" si="21"/>
        <v>3.8003851974136712E-3</v>
      </c>
      <c r="P224">
        <f t="shared" si="22"/>
        <v>0.3800385197413671</v>
      </c>
      <c r="Q224">
        <f>VLOOKUP(C224,Sheet2!A:AU,47,0)</f>
        <v>0.33743395628618278</v>
      </c>
      <c r="R224">
        <f t="shared" si="23"/>
        <v>0.71747247602754993</v>
      </c>
    </row>
    <row r="225" spans="1:18" x14ac:dyDescent="0.3">
      <c r="A225" s="1">
        <v>223</v>
      </c>
      <c r="B225">
        <v>223</v>
      </c>
      <c r="C225" t="s">
        <v>282</v>
      </c>
      <c r="D225" t="s">
        <v>198</v>
      </c>
      <c r="E225">
        <v>1</v>
      </c>
      <c r="L225">
        <f t="shared" si="18"/>
        <v>0.4</v>
      </c>
      <c r="M225">
        <f t="shared" si="19"/>
        <v>0</v>
      </c>
      <c r="N225">
        <f t="shared" si="20"/>
        <v>0</v>
      </c>
      <c r="O225">
        <f t="shared" si="21"/>
        <v>0</v>
      </c>
      <c r="P225">
        <f t="shared" si="22"/>
        <v>0</v>
      </c>
      <c r="Q225">
        <f>VLOOKUP(C225,Sheet2!A:AU,47,0)</f>
        <v>0.33743395628618278</v>
      </c>
      <c r="R225">
        <f t="shared" si="23"/>
        <v>0.33743395628618278</v>
      </c>
    </row>
    <row r="226" spans="1:18" x14ac:dyDescent="0.3">
      <c r="A226" s="1">
        <v>224</v>
      </c>
      <c r="B226">
        <v>224</v>
      </c>
      <c r="C226" t="s">
        <v>283</v>
      </c>
      <c r="D226" t="s">
        <v>39</v>
      </c>
      <c r="E226">
        <v>1</v>
      </c>
      <c r="F226" t="s">
        <v>12</v>
      </c>
      <c r="G226">
        <v>13268</v>
      </c>
      <c r="H226">
        <v>7.5369309617123903E-2</v>
      </c>
      <c r="I226">
        <v>6.8239766964739199E-2</v>
      </c>
      <c r="J226">
        <v>3.0161976998414001E-3</v>
      </c>
      <c r="K226">
        <v>6.8239766964739212</v>
      </c>
      <c r="L226">
        <f t="shared" si="18"/>
        <v>0.4</v>
      </c>
      <c r="M226">
        <f t="shared" si="19"/>
        <v>0</v>
      </c>
      <c r="N226">
        <f t="shared" si="20"/>
        <v>0.18842327404280976</v>
      </c>
      <c r="O226">
        <f t="shared" si="21"/>
        <v>8.3283087126921913E-3</v>
      </c>
      <c r="P226">
        <f t="shared" si="22"/>
        <v>0.83283087126921918</v>
      </c>
      <c r="Q226">
        <f>VLOOKUP(C226,Sheet2!A:AU,47,0)</f>
        <v>0.79329734070173741</v>
      </c>
      <c r="R226">
        <f t="shared" si="23"/>
        <v>1.6261282119709566</v>
      </c>
    </row>
    <row r="227" spans="1:18" x14ac:dyDescent="0.3">
      <c r="A227" s="1">
        <v>225</v>
      </c>
      <c r="B227">
        <v>225</v>
      </c>
      <c r="C227" t="s">
        <v>284</v>
      </c>
      <c r="D227" t="s">
        <v>89</v>
      </c>
      <c r="E227">
        <v>2</v>
      </c>
      <c r="F227" t="s">
        <v>24</v>
      </c>
      <c r="G227">
        <v>22890</v>
      </c>
      <c r="H227">
        <v>8.7374399301004796E-2</v>
      </c>
      <c r="I227">
        <v>8.2217076492606803E-2</v>
      </c>
      <c r="J227">
        <v>3.6339947809731999E-3</v>
      </c>
      <c r="K227">
        <v>8.2217076492606811</v>
      </c>
      <c r="L227">
        <f t="shared" si="18"/>
        <v>0.4</v>
      </c>
      <c r="M227">
        <f t="shared" si="19"/>
        <v>0</v>
      </c>
      <c r="N227">
        <f t="shared" si="20"/>
        <v>0.21843599825251198</v>
      </c>
      <c r="O227">
        <f t="shared" si="21"/>
        <v>9.6548711227610294E-3</v>
      </c>
      <c r="P227">
        <f t="shared" si="22"/>
        <v>0.96548711227610295</v>
      </c>
      <c r="Q227">
        <f>VLOOKUP(C227,Sheet2!A:AU,47,0)</f>
        <v>1.5772133340526906</v>
      </c>
      <c r="R227">
        <f t="shared" si="23"/>
        <v>2.5427004463287934</v>
      </c>
    </row>
    <row r="228" spans="1:18" x14ac:dyDescent="0.3">
      <c r="A228" s="1">
        <v>226</v>
      </c>
      <c r="B228">
        <v>226</v>
      </c>
      <c r="C228" t="s">
        <v>285</v>
      </c>
      <c r="D228" t="s">
        <v>286</v>
      </c>
      <c r="E228">
        <v>1</v>
      </c>
      <c r="F228" t="s">
        <v>24</v>
      </c>
      <c r="G228">
        <v>27196</v>
      </c>
      <c r="H228">
        <v>3.6770113251948802E-2</v>
      </c>
      <c r="I228">
        <v>2.3299418385137001E-2</v>
      </c>
      <c r="J228">
        <v>1.0298342926229999E-3</v>
      </c>
      <c r="K228">
        <v>2.3299418385137041</v>
      </c>
      <c r="L228">
        <f t="shared" si="18"/>
        <v>0.4</v>
      </c>
      <c r="M228">
        <f t="shared" si="19"/>
        <v>0</v>
      </c>
      <c r="N228">
        <f t="shared" si="20"/>
        <v>9.1925283129871999E-2</v>
      </c>
      <c r="O228">
        <f t="shared" si="21"/>
        <v>4.0630975143403428E-3</v>
      </c>
      <c r="P228">
        <f t="shared" si="22"/>
        <v>0.40630975143403425</v>
      </c>
      <c r="Q228">
        <f>VLOOKUP(C228,Sheet2!A:AU,47,0)</f>
        <v>0.2935845887383095</v>
      </c>
      <c r="R228">
        <f t="shared" si="23"/>
        <v>0.69989434017234375</v>
      </c>
    </row>
    <row r="229" spans="1:18" x14ac:dyDescent="0.3">
      <c r="A229" s="1">
        <v>227</v>
      </c>
      <c r="B229">
        <v>227</v>
      </c>
      <c r="C229" t="s">
        <v>287</v>
      </c>
      <c r="D229" t="s">
        <v>172</v>
      </c>
      <c r="E229">
        <v>1</v>
      </c>
      <c r="F229" t="s">
        <v>12</v>
      </c>
      <c r="G229">
        <v>23472</v>
      </c>
      <c r="H229">
        <v>4.2603953646898403E-2</v>
      </c>
      <c r="I229">
        <v>3.00916536023276E-2</v>
      </c>
      <c r="J229">
        <v>1.3300510892228E-3</v>
      </c>
      <c r="K229">
        <v>3.0091653602327688</v>
      </c>
      <c r="L229">
        <f t="shared" si="18"/>
        <v>0.4</v>
      </c>
      <c r="M229">
        <f t="shared" si="19"/>
        <v>0</v>
      </c>
      <c r="N229">
        <f t="shared" si="20"/>
        <v>0.106509884117246</v>
      </c>
      <c r="O229">
        <f t="shared" si="21"/>
        <v>4.7077368779822734E-3</v>
      </c>
      <c r="P229">
        <f t="shared" si="22"/>
        <v>0.47077368779822731</v>
      </c>
      <c r="Q229">
        <f>VLOOKUP(C229,Sheet2!A:AU,47,0)</f>
        <v>1.7610537966542463</v>
      </c>
      <c r="R229">
        <f t="shared" si="23"/>
        <v>2.2318274844524737</v>
      </c>
    </row>
    <row r="230" spans="1:18" x14ac:dyDescent="0.3">
      <c r="A230" s="1">
        <v>228</v>
      </c>
      <c r="B230">
        <v>228</v>
      </c>
      <c r="C230" t="s">
        <v>288</v>
      </c>
      <c r="D230" t="s">
        <v>89</v>
      </c>
      <c r="E230">
        <v>1</v>
      </c>
      <c r="F230" t="s">
        <v>24</v>
      </c>
      <c r="G230">
        <v>24409</v>
      </c>
      <c r="H230">
        <v>4.0968495227170297E-2</v>
      </c>
      <c r="I230">
        <v>2.8187518843285402E-2</v>
      </c>
      <c r="J230">
        <v>1.2458883328732E-3</v>
      </c>
      <c r="K230">
        <v>2.818751884328544</v>
      </c>
      <c r="L230">
        <f t="shared" si="18"/>
        <v>0.4</v>
      </c>
      <c r="M230">
        <f t="shared" si="19"/>
        <v>0</v>
      </c>
      <c r="N230">
        <f t="shared" si="20"/>
        <v>0.10242123806792573</v>
      </c>
      <c r="O230">
        <f t="shared" si="21"/>
        <v>4.5270187226023181E-3</v>
      </c>
      <c r="P230">
        <f t="shared" si="22"/>
        <v>0.45270187226023179</v>
      </c>
      <c r="Q230">
        <f>VLOOKUP(C230,Sheet2!A:AU,47,0)</f>
        <v>0.35769892699007805</v>
      </c>
      <c r="R230">
        <f t="shared" si="23"/>
        <v>0.81040079925030983</v>
      </c>
    </row>
    <row r="231" spans="1:18" x14ac:dyDescent="0.3">
      <c r="A231" s="1">
        <v>229</v>
      </c>
      <c r="B231">
        <v>229</v>
      </c>
      <c r="C231" t="s">
        <v>289</v>
      </c>
      <c r="D231" t="s">
        <v>124</v>
      </c>
      <c r="E231">
        <v>2</v>
      </c>
      <c r="F231" t="s">
        <v>12</v>
      </c>
      <c r="G231">
        <v>23612</v>
      </c>
      <c r="H231">
        <v>8.4702693545654698E-2</v>
      </c>
      <c r="I231">
        <v>7.9106457639000594E-2</v>
      </c>
      <c r="J231">
        <v>3.4965054276438002E-3</v>
      </c>
      <c r="K231">
        <v>7.9106457639000638</v>
      </c>
      <c r="L231">
        <f t="shared" si="18"/>
        <v>0.4</v>
      </c>
      <c r="M231">
        <f t="shared" si="19"/>
        <v>0</v>
      </c>
      <c r="N231">
        <f t="shared" si="20"/>
        <v>0.21175673386413674</v>
      </c>
      <c r="O231">
        <f t="shared" si="21"/>
        <v>9.3596476367948447E-3</v>
      </c>
      <c r="P231">
        <f t="shared" si="22"/>
        <v>0.93596476367948445</v>
      </c>
      <c r="Q231">
        <f>VLOOKUP(C231,Sheet2!A:AU,47,0)</f>
        <v>4.1773863166690708</v>
      </c>
      <c r="R231">
        <f t="shared" si="23"/>
        <v>5.1133510803485551</v>
      </c>
    </row>
    <row r="232" spans="1:18" x14ac:dyDescent="0.3">
      <c r="A232" s="1">
        <v>230</v>
      </c>
      <c r="B232">
        <v>230</v>
      </c>
      <c r="C232" t="s">
        <v>290</v>
      </c>
      <c r="D232" t="s">
        <v>124</v>
      </c>
      <c r="E232">
        <v>1</v>
      </c>
      <c r="F232" t="s">
        <v>12</v>
      </c>
      <c r="G232">
        <v>22832</v>
      </c>
      <c r="H232">
        <v>4.3798177995795301E-2</v>
      </c>
      <c r="I232">
        <v>3.1482067485920799E-2</v>
      </c>
      <c r="J232">
        <v>1.3915073828777E-3</v>
      </c>
      <c r="K232">
        <v>3.1482067485920822</v>
      </c>
      <c r="L232">
        <f t="shared" si="18"/>
        <v>0.4</v>
      </c>
      <c r="M232">
        <f t="shared" si="19"/>
        <v>0</v>
      </c>
      <c r="N232">
        <f t="shared" si="20"/>
        <v>0.10949544498948825</v>
      </c>
      <c r="O232">
        <f t="shared" si="21"/>
        <v>4.8396986685353815E-3</v>
      </c>
      <c r="P232">
        <f t="shared" si="22"/>
        <v>0.48396986685353816</v>
      </c>
      <c r="Q232">
        <f>VLOOKUP(C232,Sheet2!A:AU,47,0)</f>
        <v>2.6432109068021781</v>
      </c>
      <c r="R232">
        <f t="shared" si="23"/>
        <v>3.1271807736557165</v>
      </c>
    </row>
    <row r="233" spans="1:18" x14ac:dyDescent="0.3">
      <c r="A233" s="1">
        <v>231</v>
      </c>
      <c r="B233">
        <v>231</v>
      </c>
      <c r="C233" t="s">
        <v>291</v>
      </c>
      <c r="D233" t="s">
        <v>26</v>
      </c>
      <c r="E233">
        <v>1</v>
      </c>
      <c r="F233" t="s">
        <v>17</v>
      </c>
      <c r="G233">
        <v>37436</v>
      </c>
      <c r="H233">
        <v>2.6712255582861399E-2</v>
      </c>
      <c r="I233">
        <v>1.15892359933445E-2</v>
      </c>
      <c r="J233">
        <v>5.1224423090580004E-4</v>
      </c>
      <c r="K233">
        <v>1.158923599334458</v>
      </c>
      <c r="L233">
        <f t="shared" si="18"/>
        <v>0.4</v>
      </c>
      <c r="M233">
        <f t="shared" si="19"/>
        <v>0</v>
      </c>
      <c r="N233">
        <f t="shared" si="20"/>
        <v>6.6780638957153499E-2</v>
      </c>
      <c r="O233">
        <f t="shared" si="21"/>
        <v>2.9517042419061851E-3</v>
      </c>
      <c r="P233">
        <f t="shared" si="22"/>
        <v>0.29517042419061851</v>
      </c>
      <c r="Q233">
        <f>VLOOKUP(C233,Sheet2!A:AU,47,0)</f>
        <v>9.0754647190297466E-2</v>
      </c>
      <c r="R233">
        <f t="shared" si="23"/>
        <v>0.38592507138091597</v>
      </c>
    </row>
    <row r="234" spans="1:18" x14ac:dyDescent="0.3">
      <c r="A234" s="1">
        <v>232</v>
      </c>
      <c r="B234">
        <v>232</v>
      </c>
      <c r="C234" t="s">
        <v>292</v>
      </c>
      <c r="D234" t="s">
        <v>121</v>
      </c>
      <c r="E234">
        <v>1</v>
      </c>
      <c r="F234" t="s">
        <v>12</v>
      </c>
      <c r="G234">
        <v>32781</v>
      </c>
      <c r="H234">
        <v>3.0505475732894E-2</v>
      </c>
      <c r="I234">
        <v>1.6005613841444999E-2</v>
      </c>
      <c r="J234">
        <v>7.0744813179179997E-4</v>
      </c>
      <c r="K234">
        <v>1.6005613841445001</v>
      </c>
      <c r="L234">
        <f t="shared" si="18"/>
        <v>0.4</v>
      </c>
      <c r="M234">
        <f t="shared" si="19"/>
        <v>0</v>
      </c>
      <c r="N234">
        <f t="shared" si="20"/>
        <v>7.6263689332234999E-2</v>
      </c>
      <c r="O234">
        <f t="shared" si="21"/>
        <v>3.3708550684847871E-3</v>
      </c>
      <c r="P234">
        <f t="shared" si="22"/>
        <v>0.33708550684847871</v>
      </c>
      <c r="Q234">
        <f>VLOOKUP(C234,Sheet2!A:AU,47,0)</f>
        <v>0.66761170999236041</v>
      </c>
      <c r="R234">
        <f t="shared" si="23"/>
        <v>1.0046972168408392</v>
      </c>
    </row>
    <row r="235" spans="1:18" x14ac:dyDescent="0.3">
      <c r="A235" s="1">
        <v>233</v>
      </c>
      <c r="B235">
        <v>233</v>
      </c>
      <c r="C235" t="s">
        <v>293</v>
      </c>
      <c r="D235" t="s">
        <v>16</v>
      </c>
      <c r="E235">
        <v>2</v>
      </c>
      <c r="F235" t="s">
        <v>17</v>
      </c>
      <c r="G235">
        <v>19690</v>
      </c>
      <c r="H235">
        <v>0.1015744032503809</v>
      </c>
      <c r="I235">
        <v>9.8749885136582699E-2</v>
      </c>
      <c r="J235">
        <v>4.3647449230368998E-3</v>
      </c>
      <c r="K235">
        <v>9.874988513658268</v>
      </c>
      <c r="L235">
        <f t="shared" si="18"/>
        <v>0.4</v>
      </c>
      <c r="M235">
        <f t="shared" si="19"/>
        <v>0</v>
      </c>
      <c r="N235">
        <f t="shared" si="20"/>
        <v>0.25393600812595224</v>
      </c>
      <c r="O235">
        <f t="shared" si="21"/>
        <v>1.122397155916709E-2</v>
      </c>
      <c r="P235">
        <f t="shared" si="22"/>
        <v>1.122397155916709</v>
      </c>
      <c r="Q235">
        <f>VLOOKUP(C235,Sheet2!A:AU,47,0)</f>
        <v>2.9892597854917655</v>
      </c>
      <c r="R235">
        <f t="shared" si="23"/>
        <v>4.1116569414084747</v>
      </c>
    </row>
    <row r="236" spans="1:18" x14ac:dyDescent="0.3">
      <c r="A236" s="1">
        <v>234</v>
      </c>
      <c r="B236">
        <v>234</v>
      </c>
      <c r="C236" t="s">
        <v>294</v>
      </c>
      <c r="D236" t="s">
        <v>16</v>
      </c>
      <c r="E236">
        <v>4</v>
      </c>
      <c r="F236" t="s">
        <v>17</v>
      </c>
      <c r="G236">
        <v>12982</v>
      </c>
      <c r="H236">
        <v>0.30811893390848871</v>
      </c>
      <c r="I236">
        <v>0.33922595922812132</v>
      </c>
      <c r="J236">
        <v>1.49937873978829E-2</v>
      </c>
      <c r="K236">
        <v>33.922595922812143</v>
      </c>
      <c r="L236">
        <f t="shared" si="18"/>
        <v>0.4</v>
      </c>
      <c r="M236">
        <f t="shared" si="19"/>
        <v>0</v>
      </c>
      <c r="N236">
        <f t="shared" si="20"/>
        <v>0.77029733477122175</v>
      </c>
      <c r="O236">
        <f t="shared" si="21"/>
        <v>3.4047142196888001E-2</v>
      </c>
      <c r="P236">
        <f t="shared" si="22"/>
        <v>3.4047142196888003</v>
      </c>
      <c r="Q236">
        <f>VLOOKUP(C236,Sheet2!A:AU,47,0)</f>
        <v>8.0399999999999991</v>
      </c>
      <c r="R236">
        <f t="shared" si="23"/>
        <v>11.4447142196888</v>
      </c>
    </row>
    <row r="237" spans="1:18" x14ac:dyDescent="0.3">
      <c r="A237" s="1">
        <v>235</v>
      </c>
      <c r="B237">
        <v>235</v>
      </c>
      <c r="C237" t="s">
        <v>295</v>
      </c>
      <c r="D237" t="s">
        <v>222</v>
      </c>
      <c r="E237">
        <v>2</v>
      </c>
      <c r="F237" t="s">
        <v>24</v>
      </c>
      <c r="G237">
        <v>28694</v>
      </c>
      <c r="H237">
        <v>6.9700982783857196E-2</v>
      </c>
      <c r="I237">
        <v>6.16402362040432E-2</v>
      </c>
      <c r="J237">
        <v>2.7244984402187001E-3</v>
      </c>
      <c r="K237">
        <v>6.1640236204043273</v>
      </c>
      <c r="L237">
        <f t="shared" si="18"/>
        <v>0.4</v>
      </c>
      <c r="M237">
        <f t="shared" si="19"/>
        <v>0</v>
      </c>
      <c r="N237">
        <f t="shared" si="20"/>
        <v>0.17425245695964298</v>
      </c>
      <c r="O237">
        <f t="shared" si="21"/>
        <v>7.7019585976162205E-3</v>
      </c>
      <c r="P237">
        <f t="shared" si="22"/>
        <v>0.77019585976162208</v>
      </c>
      <c r="Q237">
        <f>VLOOKUP(C237,Sheet2!A:AU,47,0)</f>
        <v>1.5314205759394475</v>
      </c>
      <c r="R237">
        <f t="shared" si="23"/>
        <v>2.3016164357010696</v>
      </c>
    </row>
    <row r="238" spans="1:18" x14ac:dyDescent="0.3">
      <c r="A238" s="1">
        <v>236</v>
      </c>
      <c r="B238">
        <v>236</v>
      </c>
      <c r="C238" t="s">
        <v>296</v>
      </c>
      <c r="D238" t="s">
        <v>50</v>
      </c>
      <c r="E238">
        <v>1</v>
      </c>
      <c r="F238" t="s">
        <v>12</v>
      </c>
      <c r="G238">
        <v>30007</v>
      </c>
      <c r="H238">
        <v>3.3325557369947002E-2</v>
      </c>
      <c r="I238">
        <v>1.92889840596508E-2</v>
      </c>
      <c r="J238">
        <v>8.5257309543649998E-4</v>
      </c>
      <c r="K238">
        <v>1.9288984059650851</v>
      </c>
      <c r="L238">
        <f t="shared" si="18"/>
        <v>0.4</v>
      </c>
      <c r="M238">
        <f t="shared" si="19"/>
        <v>0</v>
      </c>
      <c r="N238">
        <f t="shared" si="20"/>
        <v>8.3313893424867502E-2</v>
      </c>
      <c r="O238">
        <f t="shared" si="21"/>
        <v>3.6824740893791437E-3</v>
      </c>
      <c r="P238">
        <f t="shared" si="22"/>
        <v>0.36824740893791436</v>
      </c>
      <c r="Q238">
        <f>VLOOKUP(C238,Sheet2!A:AU,47,0)</f>
        <v>0.96323481063514649</v>
      </c>
      <c r="R238">
        <f t="shared" si="23"/>
        <v>1.3314822195730609</v>
      </c>
    </row>
    <row r="239" spans="1:18" x14ac:dyDescent="0.3">
      <c r="A239" s="1">
        <v>237</v>
      </c>
      <c r="B239">
        <v>237</v>
      </c>
      <c r="C239" t="s">
        <v>297</v>
      </c>
      <c r="D239" t="s">
        <v>298</v>
      </c>
      <c r="E239">
        <v>3</v>
      </c>
      <c r="F239" t="s">
        <v>17</v>
      </c>
      <c r="G239">
        <v>17448</v>
      </c>
      <c r="H239">
        <v>0.17193947730398901</v>
      </c>
      <c r="I239">
        <v>0.1806746725306459</v>
      </c>
      <c r="J239">
        <v>7.9858205258544999E-3</v>
      </c>
      <c r="K239">
        <v>18.067467253064599</v>
      </c>
      <c r="L239">
        <f t="shared" si="18"/>
        <v>0.4</v>
      </c>
      <c r="M239">
        <f t="shared" si="19"/>
        <v>0</v>
      </c>
      <c r="N239">
        <f t="shared" si="20"/>
        <v>0.42984869325997249</v>
      </c>
      <c r="O239">
        <f t="shared" si="21"/>
        <v>1.8999312242090786E-2</v>
      </c>
      <c r="P239">
        <f t="shared" si="22"/>
        <v>1.8999312242090787</v>
      </c>
      <c r="Q239">
        <f>VLOOKUP(C239,Sheet2!A:AU,47,0)</f>
        <v>4.4965112916171268</v>
      </c>
      <c r="R239">
        <f t="shared" si="23"/>
        <v>6.3964425158262053</v>
      </c>
    </row>
    <row r="240" spans="1:18" x14ac:dyDescent="0.3">
      <c r="A240" s="1">
        <v>238</v>
      </c>
      <c r="B240">
        <v>238</v>
      </c>
      <c r="C240" t="s">
        <v>299</v>
      </c>
      <c r="D240" t="s">
        <v>59</v>
      </c>
      <c r="E240">
        <v>2</v>
      </c>
      <c r="F240" t="s">
        <v>24</v>
      </c>
      <c r="G240">
        <v>37402</v>
      </c>
      <c r="H240">
        <v>5.3473076306079802E-2</v>
      </c>
      <c r="I240">
        <v>4.2746377199080199E-2</v>
      </c>
      <c r="J240">
        <v>1.8893898721993E-3</v>
      </c>
      <c r="K240">
        <v>4.2746377199080268</v>
      </c>
      <c r="L240">
        <f t="shared" si="18"/>
        <v>0.4</v>
      </c>
      <c r="M240">
        <f t="shared" si="19"/>
        <v>0</v>
      </c>
      <c r="N240">
        <f t="shared" si="20"/>
        <v>0.13368269076519951</v>
      </c>
      <c r="O240">
        <f t="shared" si="21"/>
        <v>5.9087749318218188E-3</v>
      </c>
      <c r="P240">
        <f t="shared" si="22"/>
        <v>0.59087749318218186</v>
      </c>
      <c r="Q240">
        <f>VLOOKUP(C240,Sheet2!A:AU,47,0)</f>
        <v>1.157111666121317</v>
      </c>
      <c r="R240">
        <f t="shared" si="23"/>
        <v>1.7479891593034989</v>
      </c>
    </row>
    <row r="241" spans="1:18" x14ac:dyDescent="0.3">
      <c r="A241" s="1">
        <v>239</v>
      </c>
      <c r="B241">
        <v>239</v>
      </c>
      <c r="C241" t="s">
        <v>300</v>
      </c>
      <c r="D241" t="s">
        <v>111</v>
      </c>
      <c r="E241">
        <v>4</v>
      </c>
      <c r="F241" t="s">
        <v>24</v>
      </c>
      <c r="G241">
        <v>31801</v>
      </c>
      <c r="H241">
        <v>0.1257822081066633</v>
      </c>
      <c r="I241">
        <v>0.12693459598641391</v>
      </c>
      <c r="J241">
        <v>5.6105091425993998E-3</v>
      </c>
      <c r="K241">
        <v>12.6934595986414</v>
      </c>
      <c r="L241">
        <f t="shared" si="18"/>
        <v>0.4</v>
      </c>
      <c r="M241">
        <f t="shared" si="19"/>
        <v>0</v>
      </c>
      <c r="N241">
        <f t="shared" si="20"/>
        <v>0.31445552026665824</v>
      </c>
      <c r="O241">
        <f t="shared" si="21"/>
        <v>1.3898933995786296E-2</v>
      </c>
      <c r="P241">
        <f t="shared" si="22"/>
        <v>1.3898933995786296</v>
      </c>
      <c r="Q241">
        <f>VLOOKUP(C241,Sheet2!A:AU,47,0)</f>
        <v>4.4775075674294831</v>
      </c>
      <c r="R241">
        <f t="shared" si="23"/>
        <v>5.8674009670081126</v>
      </c>
    </row>
    <row r="242" spans="1:18" x14ac:dyDescent="0.3">
      <c r="A242" s="1">
        <v>240</v>
      </c>
      <c r="B242">
        <v>240</v>
      </c>
      <c r="C242" t="s">
        <v>301</v>
      </c>
      <c r="D242" t="s">
        <v>39</v>
      </c>
      <c r="E242">
        <v>2</v>
      </c>
      <c r="F242" t="s">
        <v>12</v>
      </c>
      <c r="G242">
        <v>24237</v>
      </c>
      <c r="H242">
        <v>8.2518463506209505E-2</v>
      </c>
      <c r="I242">
        <v>7.6563397974699701E-2</v>
      </c>
      <c r="J242">
        <v>3.3841021904816998E-3</v>
      </c>
      <c r="K242">
        <v>7.6563397974699718</v>
      </c>
      <c r="L242">
        <f t="shared" si="18"/>
        <v>0.4</v>
      </c>
      <c r="M242">
        <f t="shared" si="19"/>
        <v>0</v>
      </c>
      <c r="N242">
        <f t="shared" si="20"/>
        <v>0.20629615876552376</v>
      </c>
      <c r="O242">
        <f t="shared" si="21"/>
        <v>9.1182902174361518E-3</v>
      </c>
      <c r="P242">
        <f t="shared" si="22"/>
        <v>0.91182902174361513</v>
      </c>
      <c r="Q242">
        <f>VLOOKUP(C242,Sheet2!A:AU,47,0)</f>
        <v>2.9478218713596576</v>
      </c>
      <c r="R242">
        <f t="shared" si="23"/>
        <v>3.8596508931032725</v>
      </c>
    </row>
    <row r="243" spans="1:18" x14ac:dyDescent="0.3">
      <c r="A243" s="1">
        <v>241</v>
      </c>
      <c r="B243">
        <v>241</v>
      </c>
      <c r="C243" t="s">
        <v>302</v>
      </c>
      <c r="D243" t="s">
        <v>39</v>
      </c>
      <c r="E243">
        <v>2</v>
      </c>
      <c r="F243" t="s">
        <v>12</v>
      </c>
      <c r="G243">
        <v>21581</v>
      </c>
      <c r="H243">
        <v>9.2674111486956104E-2</v>
      </c>
      <c r="I243">
        <v>8.8387435863691993E-2</v>
      </c>
      <c r="J243">
        <v>3.9067246651751002E-3</v>
      </c>
      <c r="K243">
        <v>8.8387435863692012</v>
      </c>
      <c r="L243">
        <f t="shared" si="18"/>
        <v>0.4</v>
      </c>
      <c r="M243">
        <f t="shared" si="19"/>
        <v>0</v>
      </c>
      <c r="N243">
        <f t="shared" si="20"/>
        <v>0.23168527871739025</v>
      </c>
      <c r="O243">
        <f t="shared" si="21"/>
        <v>1.0240489319308649E-2</v>
      </c>
      <c r="P243">
        <f t="shared" si="22"/>
        <v>1.024048931930865</v>
      </c>
      <c r="Q243">
        <f>VLOOKUP(C243,Sheet2!A:AU,47,0)</f>
        <v>2.4820896217036874</v>
      </c>
      <c r="R243">
        <f t="shared" si="23"/>
        <v>3.5061385536345524</v>
      </c>
    </row>
    <row r="244" spans="1:18" x14ac:dyDescent="0.3">
      <c r="A244" s="1">
        <v>242</v>
      </c>
      <c r="B244">
        <v>242</v>
      </c>
      <c r="C244" t="s">
        <v>303</v>
      </c>
      <c r="D244" t="s">
        <v>121</v>
      </c>
      <c r="E244">
        <v>2</v>
      </c>
      <c r="F244" t="s">
        <v>12</v>
      </c>
      <c r="G244">
        <v>15520</v>
      </c>
      <c r="H244">
        <v>0.12886597938144331</v>
      </c>
      <c r="I244">
        <v>0.13052497529683429</v>
      </c>
      <c r="J244">
        <v>5.7692039081199999E-3</v>
      </c>
      <c r="K244">
        <v>13.05249752968343</v>
      </c>
      <c r="L244">
        <f t="shared" si="18"/>
        <v>0.4</v>
      </c>
      <c r="M244">
        <f t="shared" si="19"/>
        <v>0</v>
      </c>
      <c r="N244">
        <f t="shared" si="20"/>
        <v>0.32216494845360827</v>
      </c>
      <c r="O244">
        <f t="shared" si="21"/>
        <v>1.4239690721649486E-2</v>
      </c>
      <c r="P244">
        <f t="shared" si="22"/>
        <v>1.4239690721649485</v>
      </c>
      <c r="Q244">
        <f>VLOOKUP(C244,Sheet2!A:AU,47,0)</f>
        <v>3.838841666397335</v>
      </c>
      <c r="R244">
        <f t="shared" si="23"/>
        <v>5.2628107385622833</v>
      </c>
    </row>
    <row r="245" spans="1:18" x14ac:dyDescent="0.3">
      <c r="A245" s="1">
        <v>243</v>
      </c>
      <c r="B245">
        <v>243</v>
      </c>
      <c r="C245" t="s">
        <v>304</v>
      </c>
      <c r="D245" t="s">
        <v>66</v>
      </c>
      <c r="E245">
        <v>1</v>
      </c>
      <c r="F245" t="s">
        <v>24</v>
      </c>
      <c r="G245">
        <v>23717</v>
      </c>
      <c r="H245">
        <v>4.2163848716110799E-2</v>
      </c>
      <c r="I245">
        <v>2.95792473642786E-2</v>
      </c>
      <c r="J245">
        <v>1.3074027335011E-3</v>
      </c>
      <c r="K245">
        <v>2.9579247364278598</v>
      </c>
      <c r="L245">
        <f t="shared" si="18"/>
        <v>0.4</v>
      </c>
      <c r="M245">
        <f t="shared" si="19"/>
        <v>0</v>
      </c>
      <c r="N245">
        <f t="shared" si="20"/>
        <v>0.10540962179027699</v>
      </c>
      <c r="O245">
        <f t="shared" si="21"/>
        <v>4.6591052831302434E-3</v>
      </c>
      <c r="P245">
        <f t="shared" si="22"/>
        <v>0.46591052831302432</v>
      </c>
      <c r="Q245">
        <f>VLOOKUP(C245,Sheet2!A:AU,47,0)</f>
        <v>0.83975969650222571</v>
      </c>
      <c r="R245">
        <f t="shared" si="23"/>
        <v>1.3056702248152501</v>
      </c>
    </row>
    <row r="246" spans="1:18" x14ac:dyDescent="0.3">
      <c r="A246" s="1">
        <v>244</v>
      </c>
      <c r="B246">
        <v>244</v>
      </c>
      <c r="C246" t="s">
        <v>305</v>
      </c>
      <c r="D246" t="s">
        <v>66</v>
      </c>
      <c r="E246">
        <v>1</v>
      </c>
      <c r="F246" t="s">
        <v>24</v>
      </c>
      <c r="G246">
        <v>10171</v>
      </c>
      <c r="H246">
        <v>9.8318749385507803E-2</v>
      </c>
      <c r="I246">
        <v>9.4959386024691103E-2</v>
      </c>
      <c r="J246">
        <v>4.1972048622913004E-3</v>
      </c>
      <c r="K246">
        <v>9.4959386024691099</v>
      </c>
      <c r="L246">
        <f t="shared" si="18"/>
        <v>0.4</v>
      </c>
      <c r="M246">
        <f t="shared" si="19"/>
        <v>0</v>
      </c>
      <c r="N246">
        <f t="shared" si="20"/>
        <v>0.24579687346376949</v>
      </c>
      <c r="O246">
        <f t="shared" si="21"/>
        <v>1.0864221807098612E-2</v>
      </c>
      <c r="P246">
        <f t="shared" si="22"/>
        <v>1.0864221807098613</v>
      </c>
      <c r="Q246">
        <f>VLOOKUP(C246,Sheet2!A:AU,47,0)</f>
        <v>2.6616041082651862</v>
      </c>
      <c r="R246">
        <f t="shared" si="23"/>
        <v>3.7480262889750477</v>
      </c>
    </row>
    <row r="247" spans="1:18" x14ac:dyDescent="0.3">
      <c r="A247" s="1">
        <v>245</v>
      </c>
      <c r="B247">
        <v>245</v>
      </c>
      <c r="C247" t="s">
        <v>306</v>
      </c>
      <c r="D247" t="s">
        <v>172</v>
      </c>
      <c r="E247">
        <v>1</v>
      </c>
      <c r="F247" t="s">
        <v>12</v>
      </c>
      <c r="G247">
        <v>38053</v>
      </c>
      <c r="H247">
        <v>2.6279136993141099E-2</v>
      </c>
      <c r="I247">
        <v>1.1084963826271801E-2</v>
      </c>
      <c r="J247">
        <v>4.8995540112119998E-4</v>
      </c>
      <c r="K247">
        <v>1.1084963826271801</v>
      </c>
      <c r="L247">
        <f t="shared" si="18"/>
        <v>0.4</v>
      </c>
      <c r="M247">
        <f t="shared" si="19"/>
        <v>0</v>
      </c>
      <c r="N247">
        <f t="shared" si="20"/>
        <v>6.5697842482852736E-2</v>
      </c>
      <c r="O247">
        <f t="shared" si="21"/>
        <v>2.903844637742091E-3</v>
      </c>
      <c r="P247">
        <f t="shared" si="22"/>
        <v>0.29038446377420912</v>
      </c>
      <c r="Q247">
        <f>VLOOKUP(C247,Sheet2!A:AU,47,0)</f>
        <v>0.44953944604246809</v>
      </c>
      <c r="R247">
        <f t="shared" si="23"/>
        <v>0.73992390981667722</v>
      </c>
    </row>
    <row r="248" spans="1:18" x14ac:dyDescent="0.3">
      <c r="A248" s="1">
        <v>246</v>
      </c>
      <c r="B248">
        <v>246</v>
      </c>
      <c r="C248" t="s">
        <v>307</v>
      </c>
      <c r="D248" t="s">
        <v>116</v>
      </c>
      <c r="E248">
        <v>1</v>
      </c>
      <c r="F248" t="s">
        <v>12</v>
      </c>
      <c r="G248">
        <v>14865</v>
      </c>
      <c r="H248">
        <v>6.7272115708038996E-2</v>
      </c>
      <c r="I248">
        <v>5.88123500478622E-2</v>
      </c>
      <c r="J248">
        <v>2.5995058721154998E-3</v>
      </c>
      <c r="K248">
        <v>5.8812350047862294</v>
      </c>
      <c r="L248">
        <f t="shared" si="18"/>
        <v>0.4</v>
      </c>
      <c r="M248">
        <f t="shared" si="19"/>
        <v>0</v>
      </c>
      <c r="N248">
        <f t="shared" si="20"/>
        <v>0.16818028927009748</v>
      </c>
      <c r="O248">
        <f t="shared" si="21"/>
        <v>7.4335687857383093E-3</v>
      </c>
      <c r="P248">
        <f t="shared" si="22"/>
        <v>0.74335687857383093</v>
      </c>
      <c r="Q248">
        <f>VLOOKUP(C248,Sheet2!A:AU,47,0)</f>
        <v>1.6884720624578087</v>
      </c>
      <c r="R248">
        <f t="shared" si="23"/>
        <v>2.4318289410316396</v>
      </c>
    </row>
    <row r="249" spans="1:18" x14ac:dyDescent="0.3">
      <c r="A249" s="1">
        <v>247</v>
      </c>
      <c r="B249">
        <v>247</v>
      </c>
      <c r="C249" t="s">
        <v>308</v>
      </c>
      <c r="D249" t="s">
        <v>116</v>
      </c>
      <c r="E249">
        <v>1</v>
      </c>
      <c r="F249" t="s">
        <v>12</v>
      </c>
      <c r="G249">
        <v>14100</v>
      </c>
      <c r="H249">
        <v>7.09219858156028E-2</v>
      </c>
      <c r="I249">
        <v>6.3061828025392799E-2</v>
      </c>
      <c r="J249">
        <v>2.7873327987223001E-3</v>
      </c>
      <c r="K249">
        <v>6.306182802539281</v>
      </c>
      <c r="L249">
        <f t="shared" si="18"/>
        <v>0.4</v>
      </c>
      <c r="M249">
        <f t="shared" si="19"/>
        <v>0</v>
      </c>
      <c r="N249">
        <f t="shared" si="20"/>
        <v>0.17730496453900699</v>
      </c>
      <c r="O249">
        <f t="shared" si="21"/>
        <v>7.8368794326241099E-3</v>
      </c>
      <c r="P249">
        <f t="shared" si="22"/>
        <v>0.78368794326241098</v>
      </c>
      <c r="Q249">
        <f>VLOOKUP(C249,Sheet2!A:AU,47,0)</f>
        <v>1.6094860575969785</v>
      </c>
      <c r="R249">
        <f t="shared" si="23"/>
        <v>2.3931740008593896</v>
      </c>
    </row>
    <row r="250" spans="1:18" x14ac:dyDescent="0.3">
      <c r="A250" s="1">
        <v>248</v>
      </c>
      <c r="B250">
        <v>248</v>
      </c>
      <c r="C250" t="s">
        <v>309</v>
      </c>
      <c r="D250" t="s">
        <v>124</v>
      </c>
      <c r="E250">
        <v>2</v>
      </c>
      <c r="F250" t="s">
        <v>12</v>
      </c>
      <c r="G250">
        <v>29597</v>
      </c>
      <c r="H250">
        <v>6.7574416325978895E-2</v>
      </c>
      <c r="I250">
        <v>5.9164313208377901E-2</v>
      </c>
      <c r="J250">
        <v>2.6150626438102998E-3</v>
      </c>
      <c r="K250">
        <v>5.9164313208377912</v>
      </c>
      <c r="L250">
        <f t="shared" si="18"/>
        <v>0.4</v>
      </c>
      <c r="M250">
        <f t="shared" si="19"/>
        <v>0</v>
      </c>
      <c r="N250">
        <f t="shared" si="20"/>
        <v>0.16893604081494723</v>
      </c>
      <c r="O250">
        <f t="shared" si="21"/>
        <v>7.4669730040206684E-3</v>
      </c>
      <c r="P250">
        <f t="shared" si="22"/>
        <v>0.74669730040206683</v>
      </c>
      <c r="Q250">
        <f>VLOOKUP(C250,Sheet2!A:AU,47,0)</f>
        <v>1.1455945836166908</v>
      </c>
      <c r="R250">
        <f t="shared" si="23"/>
        <v>1.8922918840187575</v>
      </c>
    </row>
    <row r="251" spans="1:18" x14ac:dyDescent="0.3">
      <c r="A251" s="1">
        <v>249</v>
      </c>
      <c r="B251">
        <v>249</v>
      </c>
      <c r="C251" t="s">
        <v>310</v>
      </c>
      <c r="D251" t="s">
        <v>46</v>
      </c>
      <c r="E251">
        <v>1</v>
      </c>
      <c r="F251" t="s">
        <v>12</v>
      </c>
      <c r="G251">
        <v>45820</v>
      </c>
      <c r="H251">
        <v>2.1824530772588301E-2</v>
      </c>
      <c r="I251">
        <v>5.8985460977120001E-3</v>
      </c>
      <c r="J251">
        <v>2.6071573751880001E-4</v>
      </c>
      <c r="K251">
        <v>0.58985460977119997</v>
      </c>
      <c r="L251">
        <f t="shared" si="18"/>
        <v>0.4</v>
      </c>
      <c r="M251">
        <f t="shared" si="19"/>
        <v>0</v>
      </c>
      <c r="N251">
        <f t="shared" si="20"/>
        <v>5.4561326931470748E-2</v>
      </c>
      <c r="O251">
        <f t="shared" si="21"/>
        <v>2.4116106503710073E-3</v>
      </c>
      <c r="P251">
        <f t="shared" si="22"/>
        <v>0.24116106503710072</v>
      </c>
      <c r="Q251">
        <f>VLOOKUP(C251,Sheet2!A:AU,47,0)</f>
        <v>9.7409966609337484E-2</v>
      </c>
      <c r="R251">
        <f t="shared" si="23"/>
        <v>0.3385710316464382</v>
      </c>
    </row>
    <row r="252" spans="1:18" x14ac:dyDescent="0.3">
      <c r="A252" s="1">
        <v>250</v>
      </c>
      <c r="B252">
        <v>250</v>
      </c>
      <c r="C252" t="s">
        <v>311</v>
      </c>
      <c r="D252" t="s">
        <v>85</v>
      </c>
      <c r="E252">
        <v>4</v>
      </c>
      <c r="F252" t="s">
        <v>24</v>
      </c>
      <c r="G252">
        <v>27381</v>
      </c>
      <c r="H252">
        <v>0.1460867024579087</v>
      </c>
      <c r="I252">
        <v>0.15057475277218571</v>
      </c>
      <c r="J252">
        <v>6.6554040725305998E-3</v>
      </c>
      <c r="K252">
        <v>15.057475277218581</v>
      </c>
      <c r="L252">
        <f t="shared" si="18"/>
        <v>0.4</v>
      </c>
      <c r="M252">
        <f t="shared" si="19"/>
        <v>0</v>
      </c>
      <c r="N252">
        <f t="shared" si="20"/>
        <v>0.36521675614477173</v>
      </c>
      <c r="O252">
        <f t="shared" si="21"/>
        <v>1.6142580621598911E-2</v>
      </c>
      <c r="P252">
        <f t="shared" si="22"/>
        <v>1.6142580621598912</v>
      </c>
      <c r="Q252">
        <f>VLOOKUP(C252,Sheet2!A:AU,47,0)</f>
        <v>3.0465341928415728</v>
      </c>
      <c r="R252">
        <f t="shared" si="23"/>
        <v>4.6607922550014642</v>
      </c>
    </row>
    <row r="253" spans="1:18" x14ac:dyDescent="0.3">
      <c r="A253" s="1">
        <v>251</v>
      </c>
      <c r="B253">
        <v>251</v>
      </c>
      <c r="C253" t="s">
        <v>312</v>
      </c>
      <c r="D253" t="s">
        <v>79</v>
      </c>
      <c r="E253">
        <v>3</v>
      </c>
      <c r="F253" t="s">
        <v>24</v>
      </c>
      <c r="G253">
        <v>28992</v>
      </c>
      <c r="H253">
        <v>0.1034768211920529</v>
      </c>
      <c r="I253">
        <v>0.1009648360550937</v>
      </c>
      <c r="J253">
        <v>4.4626457536351E-3</v>
      </c>
      <c r="K253">
        <v>10.09648360550937</v>
      </c>
      <c r="L253">
        <f t="shared" si="18"/>
        <v>0.4</v>
      </c>
      <c r="M253">
        <f t="shared" si="19"/>
        <v>0</v>
      </c>
      <c r="N253">
        <f t="shared" si="20"/>
        <v>0.2586920529801322</v>
      </c>
      <c r="O253">
        <f t="shared" si="21"/>
        <v>1.1434188741721845E-2</v>
      </c>
      <c r="P253">
        <f t="shared" si="22"/>
        <v>1.1434188741721845</v>
      </c>
      <c r="Q253">
        <f>VLOOKUP(C253,Sheet2!A:AU,47,0)</f>
        <v>1.3477139233390549</v>
      </c>
      <c r="R253">
        <f t="shared" si="23"/>
        <v>2.4911327975112396</v>
      </c>
    </row>
    <row r="254" spans="1:18" x14ac:dyDescent="0.3">
      <c r="A254" s="1">
        <v>252</v>
      </c>
      <c r="B254">
        <v>252</v>
      </c>
      <c r="C254" t="s">
        <v>313</v>
      </c>
      <c r="D254" t="s">
        <v>79</v>
      </c>
      <c r="E254">
        <v>6</v>
      </c>
      <c r="F254" t="s">
        <v>24</v>
      </c>
      <c r="G254">
        <v>25074</v>
      </c>
      <c r="H254">
        <v>0.23929169657812871</v>
      </c>
      <c r="I254">
        <v>0.2590916474115143</v>
      </c>
      <c r="J254">
        <v>1.14518508155889E-2</v>
      </c>
      <c r="K254">
        <v>25.909164741151429</v>
      </c>
      <c r="L254">
        <f t="shared" si="18"/>
        <v>0.4</v>
      </c>
      <c r="M254">
        <f t="shared" si="19"/>
        <v>0</v>
      </c>
      <c r="N254">
        <f t="shared" si="20"/>
        <v>0.59822924144532175</v>
      </c>
      <c r="O254">
        <f t="shared" si="21"/>
        <v>2.6441732471883223E-2</v>
      </c>
      <c r="P254">
        <f t="shared" si="22"/>
        <v>2.6441732471883221</v>
      </c>
      <c r="Q254">
        <f>VLOOKUP(C254,Sheet2!A:AU,47,0)</f>
        <v>5.2023746242131432</v>
      </c>
      <c r="R254">
        <f t="shared" si="23"/>
        <v>7.8465478714014658</v>
      </c>
    </row>
    <row r="255" spans="1:18" x14ac:dyDescent="0.3">
      <c r="A255" s="1">
        <v>253</v>
      </c>
      <c r="B255">
        <v>253</v>
      </c>
      <c r="C255" t="s">
        <v>314</v>
      </c>
      <c r="D255" t="s">
        <v>85</v>
      </c>
      <c r="E255">
        <v>4</v>
      </c>
      <c r="F255" t="s">
        <v>24</v>
      </c>
      <c r="G255">
        <v>19724</v>
      </c>
      <c r="H255">
        <v>0.2027986209693774</v>
      </c>
      <c r="I255">
        <v>0.21660341726590659</v>
      </c>
      <c r="J255">
        <v>9.5738710431529997E-3</v>
      </c>
      <c r="K255">
        <v>21.660341726590659</v>
      </c>
      <c r="L255">
        <f t="shared" si="18"/>
        <v>0.4</v>
      </c>
      <c r="M255">
        <f t="shared" si="19"/>
        <v>0</v>
      </c>
      <c r="N255">
        <f t="shared" si="20"/>
        <v>0.50699655242344344</v>
      </c>
      <c r="O255">
        <f t="shared" si="21"/>
        <v>2.2409247617116202E-2</v>
      </c>
      <c r="P255">
        <f t="shared" si="22"/>
        <v>2.2409247617116201</v>
      </c>
      <c r="Q255">
        <f>VLOOKUP(C255,Sheet2!A:AU,47,0)</f>
        <v>4.6651465390717988</v>
      </c>
      <c r="R255">
        <f t="shared" si="23"/>
        <v>6.9060713007834185</v>
      </c>
    </row>
    <row r="256" spans="1:18" x14ac:dyDescent="0.3">
      <c r="A256" s="1">
        <v>254</v>
      </c>
      <c r="B256">
        <v>254</v>
      </c>
      <c r="C256" t="s">
        <v>315</v>
      </c>
      <c r="D256" t="s">
        <v>85</v>
      </c>
      <c r="E256">
        <v>3</v>
      </c>
      <c r="F256" t="s">
        <v>24</v>
      </c>
      <c r="G256">
        <v>23645</v>
      </c>
      <c r="H256">
        <v>0.12687671812222459</v>
      </c>
      <c r="I256">
        <v>0.1282089142690496</v>
      </c>
      <c r="J256">
        <v>5.6668340106919004E-3</v>
      </c>
      <c r="K256">
        <v>12.82089142690497</v>
      </c>
      <c r="L256">
        <f t="shared" si="18"/>
        <v>0.4</v>
      </c>
      <c r="M256">
        <f t="shared" si="19"/>
        <v>0</v>
      </c>
      <c r="N256">
        <f t="shared" si="20"/>
        <v>0.31719179530556146</v>
      </c>
      <c r="O256">
        <f t="shared" si="21"/>
        <v>1.4019877352505818E-2</v>
      </c>
      <c r="P256">
        <f t="shared" si="22"/>
        <v>1.4019877352505818</v>
      </c>
      <c r="Q256">
        <f>VLOOKUP(C256,Sheet2!A:AU,47,0)</f>
        <v>2.6534006586364298</v>
      </c>
      <c r="R256">
        <f t="shared" si="23"/>
        <v>4.0553883938870117</v>
      </c>
    </row>
    <row r="257" spans="1:18" x14ac:dyDescent="0.3">
      <c r="A257" s="1">
        <v>255</v>
      </c>
      <c r="B257">
        <v>255</v>
      </c>
      <c r="C257" t="s">
        <v>316</v>
      </c>
      <c r="D257" t="s">
        <v>114</v>
      </c>
      <c r="E257">
        <v>1</v>
      </c>
      <c r="F257" t="s">
        <v>17</v>
      </c>
      <c r="G257">
        <v>1142</v>
      </c>
      <c r="H257">
        <v>0.4</v>
      </c>
      <c r="I257">
        <v>1</v>
      </c>
      <c r="J257">
        <v>4.4200000000000003E-2</v>
      </c>
      <c r="K257">
        <v>100</v>
      </c>
      <c r="L257">
        <f t="shared" si="18"/>
        <v>0.4</v>
      </c>
      <c r="M257">
        <f t="shared" si="19"/>
        <v>0</v>
      </c>
      <c r="N257">
        <f t="shared" si="20"/>
        <v>1</v>
      </c>
      <c r="O257">
        <f t="shared" si="21"/>
        <v>4.4200000000000003E-2</v>
      </c>
      <c r="P257">
        <f t="shared" si="22"/>
        <v>4.42</v>
      </c>
      <c r="Q257">
        <f>VLOOKUP(C257,Sheet2!A:AU,47,0)</f>
        <v>8.0399999999999991</v>
      </c>
      <c r="R257">
        <f t="shared" si="23"/>
        <v>12.459999999999999</v>
      </c>
    </row>
    <row r="258" spans="1:18" x14ac:dyDescent="0.3">
      <c r="A258" s="1">
        <v>256</v>
      </c>
      <c r="B258">
        <v>256</v>
      </c>
      <c r="C258" t="s">
        <v>317</v>
      </c>
      <c r="D258" t="s">
        <v>114</v>
      </c>
      <c r="E258">
        <v>2</v>
      </c>
      <c r="F258" t="s">
        <v>17</v>
      </c>
      <c r="G258">
        <v>6396</v>
      </c>
      <c r="H258">
        <v>0.31269543464665411</v>
      </c>
      <c r="I258">
        <v>0.34455429654639569</v>
      </c>
      <c r="J258">
        <v>1.5229299907350601E-2</v>
      </c>
      <c r="K258">
        <v>34.455429654639573</v>
      </c>
      <c r="L258">
        <f t="shared" si="18"/>
        <v>0.4</v>
      </c>
      <c r="M258">
        <f t="shared" si="19"/>
        <v>0</v>
      </c>
      <c r="N258">
        <f t="shared" si="20"/>
        <v>0.7817385866166352</v>
      </c>
      <c r="O258">
        <f t="shared" si="21"/>
        <v>3.4552845528455278E-2</v>
      </c>
      <c r="P258">
        <f t="shared" si="22"/>
        <v>3.4552845528455278</v>
      </c>
      <c r="Q258">
        <f>VLOOKUP(C258,Sheet2!A:AU,47,0)</f>
        <v>5.8745551848160185</v>
      </c>
      <c r="R258">
        <f t="shared" si="23"/>
        <v>9.3298397376615458</v>
      </c>
    </row>
    <row r="259" spans="1:18" x14ac:dyDescent="0.3">
      <c r="A259" s="1">
        <v>257</v>
      </c>
      <c r="B259">
        <v>257</v>
      </c>
      <c r="C259" t="s">
        <v>318</v>
      </c>
      <c r="D259" t="s">
        <v>116</v>
      </c>
      <c r="E259">
        <v>1</v>
      </c>
      <c r="F259" t="s">
        <v>12</v>
      </c>
      <c r="G259">
        <v>9074</v>
      </c>
      <c r="H259">
        <v>0.1102049812651531</v>
      </c>
      <c r="I259">
        <v>0.1087983115534925</v>
      </c>
      <c r="J259">
        <v>4.8088853706643002E-3</v>
      </c>
      <c r="K259">
        <v>10.87983115534926</v>
      </c>
      <c r="L259">
        <f t="shared" ref="L259:L322" si="24">MAX(H:H)</f>
        <v>0.4</v>
      </c>
      <c r="M259">
        <f t="shared" ref="M259:M322" si="25">MIN(H:H)</f>
        <v>0</v>
      </c>
      <c r="N259">
        <f t="shared" ref="N259:N322" si="26">(H259-M259)/(L259-M259)</f>
        <v>0.27551245316288275</v>
      </c>
      <c r="O259">
        <f t="shared" ref="O259:O322" si="27">N259*0.0442</f>
        <v>1.2177650429799418E-2</v>
      </c>
      <c r="P259">
        <f t="shared" ref="P259:P322" si="28">O259*100</f>
        <v>1.2177650429799418</v>
      </c>
      <c r="Q259">
        <f>VLOOKUP(C259,Sheet2!A:AU,47,0)</f>
        <v>3.8756012274482194</v>
      </c>
      <c r="R259">
        <f t="shared" ref="R259:R322" si="29">IFERROR((P259+Q259),0)</f>
        <v>5.0933662704281613</v>
      </c>
    </row>
    <row r="260" spans="1:18" x14ac:dyDescent="0.3">
      <c r="A260" s="1">
        <v>258</v>
      </c>
      <c r="B260">
        <v>258</v>
      </c>
      <c r="C260" t="s">
        <v>319</v>
      </c>
      <c r="D260" t="s">
        <v>237</v>
      </c>
      <c r="E260">
        <v>2</v>
      </c>
      <c r="F260" t="s">
        <v>12</v>
      </c>
      <c r="G260">
        <v>27311</v>
      </c>
      <c r="H260">
        <v>7.3230566438431399E-2</v>
      </c>
      <c r="I260">
        <v>6.57496668325145E-2</v>
      </c>
      <c r="J260">
        <v>2.9061352739971E-3</v>
      </c>
      <c r="K260">
        <v>6.5749666832514571</v>
      </c>
      <c r="L260">
        <f t="shared" si="24"/>
        <v>0.4</v>
      </c>
      <c r="M260">
        <f t="shared" si="25"/>
        <v>0</v>
      </c>
      <c r="N260">
        <f t="shared" si="26"/>
        <v>0.1830764160960785</v>
      </c>
      <c r="O260">
        <f t="shared" si="27"/>
        <v>8.0919775914466696E-3</v>
      </c>
      <c r="P260">
        <f t="shared" si="28"/>
        <v>0.80919775914466696</v>
      </c>
      <c r="Q260">
        <f>VLOOKUP(C260,Sheet2!A:AU,47,0)</f>
        <v>1.9341367024769789</v>
      </c>
      <c r="R260">
        <f t="shared" si="29"/>
        <v>2.7433344616216457</v>
      </c>
    </row>
    <row r="261" spans="1:18" x14ac:dyDescent="0.3">
      <c r="A261" s="1">
        <v>259</v>
      </c>
      <c r="B261">
        <v>259</v>
      </c>
      <c r="C261" t="s">
        <v>320</v>
      </c>
      <c r="D261" t="s">
        <v>237</v>
      </c>
      <c r="E261">
        <v>2</v>
      </c>
      <c r="F261" t="s">
        <v>12</v>
      </c>
      <c r="G261">
        <v>22419</v>
      </c>
      <c r="H261">
        <v>8.9210045051072703E-2</v>
      </c>
      <c r="I261">
        <v>8.4354285751998201E-2</v>
      </c>
      <c r="J261">
        <v>3.7284594302382998E-3</v>
      </c>
      <c r="K261">
        <v>8.4354285751998219</v>
      </c>
      <c r="L261">
        <f t="shared" si="24"/>
        <v>0.4</v>
      </c>
      <c r="M261">
        <f t="shared" si="25"/>
        <v>0</v>
      </c>
      <c r="N261">
        <f t="shared" si="26"/>
        <v>0.22302511262768174</v>
      </c>
      <c r="O261">
        <f t="shared" si="27"/>
        <v>9.8577099781435341E-3</v>
      </c>
      <c r="P261">
        <f t="shared" si="28"/>
        <v>0.9857709978143534</v>
      </c>
      <c r="Q261">
        <f>VLOOKUP(C261,Sheet2!A:AU,47,0)</f>
        <v>3.0416022364220958</v>
      </c>
      <c r="R261">
        <f t="shared" si="29"/>
        <v>4.0273732342364497</v>
      </c>
    </row>
    <row r="262" spans="1:18" x14ac:dyDescent="0.3">
      <c r="A262" s="1">
        <v>260</v>
      </c>
      <c r="B262">
        <v>260</v>
      </c>
      <c r="C262" t="s">
        <v>321</v>
      </c>
      <c r="D262" t="s">
        <v>114</v>
      </c>
      <c r="E262">
        <v>1</v>
      </c>
      <c r="F262" t="s">
        <v>17</v>
      </c>
      <c r="G262">
        <v>9400</v>
      </c>
      <c r="H262">
        <v>0.1063829787234042</v>
      </c>
      <c r="I262">
        <v>0.10434842288551779</v>
      </c>
      <c r="J262">
        <v>4.6122002915397996E-3</v>
      </c>
      <c r="K262">
        <v>10.43484228855179</v>
      </c>
      <c r="L262">
        <f t="shared" si="24"/>
        <v>0.4</v>
      </c>
      <c r="M262">
        <f t="shared" si="25"/>
        <v>0</v>
      </c>
      <c r="N262">
        <f t="shared" si="26"/>
        <v>0.26595744680851047</v>
      </c>
      <c r="O262">
        <f t="shared" si="27"/>
        <v>1.1755319148936164E-2</v>
      </c>
      <c r="P262">
        <f t="shared" si="28"/>
        <v>1.1755319148936163</v>
      </c>
      <c r="Q262">
        <f>VLOOKUP(C262,Sheet2!A:AU,47,0)</f>
        <v>2.4631983096098313</v>
      </c>
      <c r="R262">
        <f t="shared" si="29"/>
        <v>3.6387302245034476</v>
      </c>
    </row>
    <row r="263" spans="1:18" x14ac:dyDescent="0.3">
      <c r="A263" s="1">
        <v>261</v>
      </c>
      <c r="B263">
        <v>261</v>
      </c>
      <c r="C263" t="s">
        <v>322</v>
      </c>
      <c r="D263" t="s">
        <v>11</v>
      </c>
      <c r="E263">
        <v>2</v>
      </c>
      <c r="F263" t="s">
        <v>12</v>
      </c>
      <c r="G263">
        <v>21733</v>
      </c>
      <c r="H263">
        <v>9.2025951318271695E-2</v>
      </c>
      <c r="I263">
        <v>8.7632794662343805E-2</v>
      </c>
      <c r="J263">
        <v>3.8733695240756E-3</v>
      </c>
      <c r="K263">
        <v>8.7632794662343887</v>
      </c>
      <c r="L263">
        <f t="shared" si="24"/>
        <v>0.4</v>
      </c>
      <c r="M263">
        <f t="shared" si="25"/>
        <v>0</v>
      </c>
      <c r="N263">
        <f t="shared" si="26"/>
        <v>0.23006487829567923</v>
      </c>
      <c r="O263">
        <f t="shared" si="27"/>
        <v>1.0168867620669023E-2</v>
      </c>
      <c r="P263">
        <f t="shared" si="28"/>
        <v>1.0168867620669022</v>
      </c>
      <c r="Q263">
        <f>VLOOKUP(C263,Sheet2!A:AU,47,0)</f>
        <v>2.0807736748686754</v>
      </c>
      <c r="R263">
        <f t="shared" si="29"/>
        <v>3.0976604369355778</v>
      </c>
    </row>
    <row r="264" spans="1:18" x14ac:dyDescent="0.3">
      <c r="A264" s="1">
        <v>262</v>
      </c>
      <c r="B264">
        <v>262</v>
      </c>
      <c r="C264" t="s">
        <v>323</v>
      </c>
      <c r="D264" t="s">
        <v>109</v>
      </c>
      <c r="E264">
        <v>1</v>
      </c>
      <c r="F264" t="s">
        <v>24</v>
      </c>
      <c r="G264">
        <v>8425</v>
      </c>
      <c r="H264">
        <v>0.1186943620178041</v>
      </c>
      <c r="I264">
        <v>0.11868234454318741</v>
      </c>
      <c r="J264">
        <v>5.2457596288088002E-3</v>
      </c>
      <c r="K264">
        <v>11.86823445431874</v>
      </c>
      <c r="L264">
        <f t="shared" si="24"/>
        <v>0.4</v>
      </c>
      <c r="M264">
        <f t="shared" si="25"/>
        <v>0</v>
      </c>
      <c r="N264">
        <f t="shared" si="26"/>
        <v>0.29673590504451025</v>
      </c>
      <c r="O264">
        <f t="shared" si="27"/>
        <v>1.3115727002967354E-2</v>
      </c>
      <c r="P264">
        <f t="shared" si="28"/>
        <v>1.3115727002967354</v>
      </c>
      <c r="Q264">
        <f>VLOOKUP(C264,Sheet2!A:AU,47,0)</f>
        <v>4.5516575024274823</v>
      </c>
      <c r="R264">
        <f t="shared" si="29"/>
        <v>5.8632302027242176</v>
      </c>
    </row>
    <row r="265" spans="1:18" x14ac:dyDescent="0.3">
      <c r="A265" s="1">
        <v>263</v>
      </c>
      <c r="B265">
        <v>263</v>
      </c>
      <c r="C265" t="s">
        <v>324</v>
      </c>
      <c r="D265" t="s">
        <v>237</v>
      </c>
      <c r="E265">
        <v>3</v>
      </c>
      <c r="F265" t="s">
        <v>12</v>
      </c>
      <c r="G265">
        <v>19864</v>
      </c>
      <c r="H265">
        <v>0.1510269834877164</v>
      </c>
      <c r="I265">
        <v>0.15632663292689961</v>
      </c>
      <c r="J265">
        <v>6.9096371753688997E-3</v>
      </c>
      <c r="K265">
        <v>15.63266329268996</v>
      </c>
      <c r="L265">
        <f t="shared" si="24"/>
        <v>0.4</v>
      </c>
      <c r="M265">
        <f t="shared" si="25"/>
        <v>0</v>
      </c>
      <c r="N265">
        <f t="shared" si="26"/>
        <v>0.37756745871929098</v>
      </c>
      <c r="O265">
        <f t="shared" si="27"/>
        <v>1.6688481675392663E-2</v>
      </c>
      <c r="P265">
        <f t="shared" si="28"/>
        <v>1.6688481675392663</v>
      </c>
      <c r="Q265">
        <f>VLOOKUP(C265,Sheet2!A:AU,47,0)</f>
        <v>4.7979503598492323</v>
      </c>
      <c r="R265">
        <f t="shared" si="29"/>
        <v>6.4667985273884989</v>
      </c>
    </row>
    <row r="266" spans="1:18" x14ac:dyDescent="0.3">
      <c r="A266" s="1">
        <v>264</v>
      </c>
      <c r="B266">
        <v>264</v>
      </c>
      <c r="C266" t="s">
        <v>325</v>
      </c>
      <c r="D266" t="s">
        <v>237</v>
      </c>
      <c r="E266">
        <v>1</v>
      </c>
      <c r="F266" t="s">
        <v>12</v>
      </c>
      <c r="G266">
        <v>22363</v>
      </c>
      <c r="H266">
        <v>4.47167195814515E-2</v>
      </c>
      <c r="I266">
        <v>3.2551508897439102E-2</v>
      </c>
      <c r="J266">
        <v>1.4387766932668E-3</v>
      </c>
      <c r="K266">
        <v>3.2551508897439181</v>
      </c>
      <c r="L266">
        <f t="shared" si="24"/>
        <v>0.4</v>
      </c>
      <c r="M266">
        <f t="shared" si="25"/>
        <v>0</v>
      </c>
      <c r="N266">
        <f t="shared" si="26"/>
        <v>0.11179179895362874</v>
      </c>
      <c r="O266">
        <f t="shared" si="27"/>
        <v>4.9411975137503908E-3</v>
      </c>
      <c r="P266">
        <f t="shared" si="28"/>
        <v>0.49411975137503905</v>
      </c>
      <c r="Q266">
        <f>VLOOKUP(C266,Sheet2!A:AU,47,0)</f>
        <v>2.0591920707428648</v>
      </c>
      <c r="R266">
        <f t="shared" si="29"/>
        <v>2.5533118221179039</v>
      </c>
    </row>
    <row r="267" spans="1:18" x14ac:dyDescent="0.3">
      <c r="A267" s="1">
        <v>265</v>
      </c>
      <c r="B267">
        <v>265</v>
      </c>
      <c r="C267" t="s">
        <v>326</v>
      </c>
      <c r="D267" t="s">
        <v>143</v>
      </c>
      <c r="E267">
        <v>4</v>
      </c>
      <c r="F267" t="s">
        <v>24</v>
      </c>
      <c r="G267">
        <v>10725</v>
      </c>
      <c r="H267">
        <v>0.37296037296037299</v>
      </c>
      <c r="I267">
        <v>0.41471967795289172</v>
      </c>
      <c r="J267">
        <v>1.83306097655178E-2</v>
      </c>
      <c r="K267">
        <v>41.471967795289167</v>
      </c>
      <c r="L267">
        <f t="shared" si="24"/>
        <v>0.4</v>
      </c>
      <c r="M267">
        <f t="shared" si="25"/>
        <v>0</v>
      </c>
      <c r="N267">
        <f t="shared" si="26"/>
        <v>0.93240093240093247</v>
      </c>
      <c r="O267">
        <f t="shared" si="27"/>
        <v>4.1212121212121221E-2</v>
      </c>
      <c r="P267">
        <f t="shared" si="28"/>
        <v>4.121212121212122</v>
      </c>
      <c r="Q267">
        <f>VLOOKUP(C267,Sheet2!A:AU,47,0)</f>
        <v>8.0399999999999991</v>
      </c>
      <c r="R267">
        <f t="shared" si="29"/>
        <v>12.16121212121212</v>
      </c>
    </row>
    <row r="268" spans="1:18" x14ac:dyDescent="0.3">
      <c r="A268" s="1">
        <v>266</v>
      </c>
      <c r="B268">
        <v>266</v>
      </c>
      <c r="C268" t="s">
        <v>327</v>
      </c>
      <c r="D268" t="s">
        <v>143</v>
      </c>
      <c r="E268">
        <v>1</v>
      </c>
      <c r="F268" t="s">
        <v>24</v>
      </c>
      <c r="G268">
        <v>14249</v>
      </c>
      <c r="H268">
        <v>7.0180363534283099E-2</v>
      </c>
      <c r="I268">
        <v>6.2198370570952601E-2</v>
      </c>
      <c r="J268">
        <v>2.7491679792361E-3</v>
      </c>
      <c r="K268">
        <v>6.2198370570952681</v>
      </c>
      <c r="L268">
        <f t="shared" si="24"/>
        <v>0.4</v>
      </c>
      <c r="M268">
        <f t="shared" si="25"/>
        <v>0</v>
      </c>
      <c r="N268">
        <f t="shared" si="26"/>
        <v>0.17545090883570774</v>
      </c>
      <c r="O268">
        <f t="shared" si="27"/>
        <v>7.7549301705382824E-3</v>
      </c>
      <c r="P268">
        <f t="shared" si="28"/>
        <v>0.77549301705382823</v>
      </c>
      <c r="Q268">
        <f>VLOOKUP(C268,Sheet2!A:AU,47,0)</f>
        <v>2.2900275341935901</v>
      </c>
      <c r="R268">
        <f t="shared" si="29"/>
        <v>3.0655205512474182</v>
      </c>
    </row>
    <row r="269" spans="1:18" x14ac:dyDescent="0.3">
      <c r="A269" s="1">
        <v>267</v>
      </c>
      <c r="B269">
        <v>267</v>
      </c>
      <c r="C269" t="s">
        <v>328</v>
      </c>
      <c r="D269" t="s">
        <v>31</v>
      </c>
      <c r="E269">
        <v>2</v>
      </c>
      <c r="F269" t="s">
        <v>24</v>
      </c>
      <c r="G269">
        <v>16866</v>
      </c>
      <c r="H269">
        <v>0.1185817621249851</v>
      </c>
      <c r="I269">
        <v>0.118551246517585</v>
      </c>
      <c r="J269">
        <v>5.2399650960772001E-3</v>
      </c>
      <c r="K269">
        <v>11.85512465175851</v>
      </c>
      <c r="L269">
        <f t="shared" si="24"/>
        <v>0.4</v>
      </c>
      <c r="M269">
        <f t="shared" si="25"/>
        <v>0</v>
      </c>
      <c r="N269">
        <f t="shared" si="26"/>
        <v>0.29645440531246275</v>
      </c>
      <c r="O269">
        <f t="shared" si="27"/>
        <v>1.3103284714810854E-2</v>
      </c>
      <c r="P269">
        <f t="shared" si="28"/>
        <v>1.3103284714810854</v>
      </c>
      <c r="Q269">
        <f>VLOOKUP(C269,Sheet2!A:AU,47,0)</f>
        <v>2.9740681587178672</v>
      </c>
      <c r="R269">
        <f t="shared" si="29"/>
        <v>4.2843966301989527</v>
      </c>
    </row>
    <row r="270" spans="1:18" x14ac:dyDescent="0.3">
      <c r="A270" s="1">
        <v>268</v>
      </c>
      <c r="B270">
        <v>268</v>
      </c>
      <c r="C270" t="s">
        <v>329</v>
      </c>
      <c r="D270" t="s">
        <v>31</v>
      </c>
      <c r="E270">
        <v>4</v>
      </c>
      <c r="F270" t="s">
        <v>24</v>
      </c>
      <c r="G270">
        <v>24074</v>
      </c>
      <c r="H270">
        <v>0.1661543573980227</v>
      </c>
      <c r="I270">
        <v>0.17393916170059451</v>
      </c>
      <c r="J270">
        <v>7.6881109471662002E-3</v>
      </c>
      <c r="K270">
        <v>17.393916170059448</v>
      </c>
      <c r="L270">
        <f t="shared" si="24"/>
        <v>0.4</v>
      </c>
      <c r="M270">
        <f t="shared" si="25"/>
        <v>0</v>
      </c>
      <c r="N270">
        <f t="shared" si="26"/>
        <v>0.41538589349505672</v>
      </c>
      <c r="O270">
        <f t="shared" si="27"/>
        <v>1.836005649248151E-2</v>
      </c>
      <c r="P270">
        <f t="shared" si="28"/>
        <v>1.8360056492481509</v>
      </c>
      <c r="Q270">
        <f>VLOOKUP(C270,Sheet2!A:AU,47,0)</f>
        <v>4.636816916466481</v>
      </c>
      <c r="R270">
        <f t="shared" si="29"/>
        <v>6.4728225657146314</v>
      </c>
    </row>
    <row r="271" spans="1:18" x14ac:dyDescent="0.3">
      <c r="A271" s="1">
        <v>269</v>
      </c>
      <c r="B271">
        <v>269</v>
      </c>
      <c r="C271" t="s">
        <v>330</v>
      </c>
      <c r="D271" t="s">
        <v>31</v>
      </c>
      <c r="E271">
        <v>2</v>
      </c>
      <c r="F271" t="s">
        <v>24</v>
      </c>
      <c r="G271">
        <v>20897</v>
      </c>
      <c r="H271">
        <v>9.5707517825525196E-2</v>
      </c>
      <c r="I271">
        <v>9.1919176186707197E-2</v>
      </c>
      <c r="J271">
        <v>4.0628275874523999E-3</v>
      </c>
      <c r="K271">
        <v>9.1919176186707183</v>
      </c>
      <c r="L271">
        <f t="shared" si="24"/>
        <v>0.4</v>
      </c>
      <c r="M271">
        <f t="shared" si="25"/>
        <v>0</v>
      </c>
      <c r="N271">
        <f t="shared" si="26"/>
        <v>0.23926879456381298</v>
      </c>
      <c r="O271">
        <f t="shared" si="27"/>
        <v>1.0575680719720534E-2</v>
      </c>
      <c r="P271">
        <f t="shared" si="28"/>
        <v>1.0575680719720533</v>
      </c>
      <c r="Q271">
        <f>VLOOKUP(C271,Sheet2!A:AU,47,0)</f>
        <v>1.8757094387045148</v>
      </c>
      <c r="R271">
        <f t="shared" si="29"/>
        <v>2.9332775106765681</v>
      </c>
    </row>
    <row r="272" spans="1:18" x14ac:dyDescent="0.3">
      <c r="A272" s="1">
        <v>270</v>
      </c>
      <c r="B272">
        <v>270</v>
      </c>
      <c r="C272" t="s">
        <v>331</v>
      </c>
      <c r="D272" t="s">
        <v>14</v>
      </c>
      <c r="E272">
        <v>4</v>
      </c>
      <c r="F272" t="s">
        <v>12</v>
      </c>
      <c r="G272">
        <v>31189</v>
      </c>
      <c r="H272">
        <v>0.1282503446728013</v>
      </c>
      <c r="I272">
        <v>0.12980820290234379</v>
      </c>
      <c r="J272">
        <v>5.7375225682835002E-3</v>
      </c>
      <c r="K272">
        <v>12.98082029023438</v>
      </c>
      <c r="L272">
        <f t="shared" si="24"/>
        <v>0.4</v>
      </c>
      <c r="M272">
        <f t="shared" si="25"/>
        <v>0</v>
      </c>
      <c r="N272">
        <f t="shared" si="26"/>
        <v>0.32062586168200324</v>
      </c>
      <c r="O272">
        <f t="shared" si="27"/>
        <v>1.4171663086344544E-2</v>
      </c>
      <c r="P272">
        <f t="shared" si="28"/>
        <v>1.4171663086344544</v>
      </c>
      <c r="Q272">
        <f>VLOOKUP(C272,Sheet2!A:AU,47,0)</f>
        <v>3.6299452856275187</v>
      </c>
      <c r="R272">
        <f t="shared" si="29"/>
        <v>5.0471115942619731</v>
      </c>
    </row>
    <row r="273" spans="1:18" x14ac:dyDescent="0.3">
      <c r="A273" s="1">
        <v>271</v>
      </c>
      <c r="B273">
        <v>271</v>
      </c>
      <c r="C273" t="s">
        <v>332</v>
      </c>
      <c r="D273" t="s">
        <v>14</v>
      </c>
      <c r="E273">
        <v>2</v>
      </c>
      <c r="F273" t="s">
        <v>12</v>
      </c>
      <c r="G273">
        <v>9965</v>
      </c>
      <c r="H273">
        <v>0.2007024586051179</v>
      </c>
      <c r="I273">
        <v>0.2141628932084095</v>
      </c>
      <c r="J273">
        <v>9.4659998798117002E-3</v>
      </c>
      <c r="K273">
        <v>21.41628932084096</v>
      </c>
      <c r="L273">
        <f t="shared" si="24"/>
        <v>0.4</v>
      </c>
      <c r="M273">
        <f t="shared" si="25"/>
        <v>0</v>
      </c>
      <c r="N273">
        <f t="shared" si="26"/>
        <v>0.50175614651279477</v>
      </c>
      <c r="O273">
        <f t="shared" si="27"/>
        <v>2.2177621675865532E-2</v>
      </c>
      <c r="P273">
        <f t="shared" si="28"/>
        <v>2.2177621675865531</v>
      </c>
      <c r="Q273">
        <f>VLOOKUP(C273,Sheet2!A:AU,47,0)</f>
        <v>6.579746316497177</v>
      </c>
      <c r="R273">
        <f t="shared" si="29"/>
        <v>8.7975084840837301</v>
      </c>
    </row>
    <row r="274" spans="1:18" x14ac:dyDescent="0.3">
      <c r="A274" s="1">
        <v>272</v>
      </c>
      <c r="B274">
        <v>272</v>
      </c>
      <c r="C274" t="s">
        <v>333</v>
      </c>
      <c r="D274" t="s">
        <v>14</v>
      </c>
      <c r="E274">
        <v>1</v>
      </c>
      <c r="F274" t="s">
        <v>12</v>
      </c>
      <c r="G274">
        <v>18327</v>
      </c>
      <c r="H274">
        <v>5.4564304032302002E-2</v>
      </c>
      <c r="I274">
        <v>4.4016873971401499E-2</v>
      </c>
      <c r="J274">
        <v>1.9455458295359E-3</v>
      </c>
      <c r="K274">
        <v>4.4016873971401571</v>
      </c>
      <c r="L274">
        <f t="shared" si="24"/>
        <v>0.4</v>
      </c>
      <c r="M274">
        <f t="shared" si="25"/>
        <v>0</v>
      </c>
      <c r="N274">
        <f t="shared" si="26"/>
        <v>0.13641076008075501</v>
      </c>
      <c r="O274">
        <f t="shared" si="27"/>
        <v>6.0293555955693717E-3</v>
      </c>
      <c r="P274">
        <f t="shared" si="28"/>
        <v>0.60293555955693723</v>
      </c>
      <c r="Q274">
        <f>VLOOKUP(C274,Sheet2!A:AU,47,0)</f>
        <v>1.4649738408898412</v>
      </c>
      <c r="R274">
        <f t="shared" si="29"/>
        <v>2.0679094004467782</v>
      </c>
    </row>
    <row r="275" spans="1:18" x14ac:dyDescent="0.3">
      <c r="A275" s="1">
        <v>273</v>
      </c>
      <c r="B275">
        <v>273</v>
      </c>
      <c r="C275" t="s">
        <v>334</v>
      </c>
      <c r="D275" t="s">
        <v>14</v>
      </c>
      <c r="E275">
        <v>4</v>
      </c>
      <c r="F275" t="s">
        <v>12</v>
      </c>
      <c r="G275">
        <v>17203</v>
      </c>
      <c r="H275">
        <v>0.2325175841423007</v>
      </c>
      <c r="I275">
        <v>0.25120467040548028</v>
      </c>
      <c r="J275">
        <v>1.11032464319222E-2</v>
      </c>
      <c r="K275">
        <v>25.120467040548029</v>
      </c>
      <c r="L275">
        <f t="shared" si="24"/>
        <v>0.4</v>
      </c>
      <c r="M275">
        <f t="shared" si="25"/>
        <v>0</v>
      </c>
      <c r="N275">
        <f t="shared" si="26"/>
        <v>0.58129396035575176</v>
      </c>
      <c r="O275">
        <f t="shared" si="27"/>
        <v>2.569319304772423E-2</v>
      </c>
      <c r="P275">
        <f t="shared" si="28"/>
        <v>2.569319304772423</v>
      </c>
      <c r="Q275">
        <f>VLOOKUP(C275,Sheet2!A:AU,47,0)</f>
        <v>7.4519735042539672</v>
      </c>
      <c r="R275">
        <f t="shared" si="29"/>
        <v>10.02129280902639</v>
      </c>
    </row>
    <row r="276" spans="1:18" x14ac:dyDescent="0.3">
      <c r="A276" s="1">
        <v>274</v>
      </c>
      <c r="B276">
        <v>274</v>
      </c>
      <c r="C276" t="s">
        <v>335</v>
      </c>
      <c r="D276" t="s">
        <v>89</v>
      </c>
      <c r="E276">
        <v>2</v>
      </c>
      <c r="F276" t="s">
        <v>24</v>
      </c>
      <c r="G276">
        <v>36044</v>
      </c>
      <c r="H276">
        <v>5.54877372100765E-2</v>
      </c>
      <c r="I276">
        <v>4.5092010575452597E-2</v>
      </c>
      <c r="J276">
        <v>1.9930668674350001E-3</v>
      </c>
      <c r="K276">
        <v>4.5092010575452681</v>
      </c>
      <c r="L276">
        <f t="shared" si="24"/>
        <v>0.4</v>
      </c>
      <c r="M276">
        <f t="shared" si="25"/>
        <v>0</v>
      </c>
      <c r="N276">
        <f t="shared" si="26"/>
        <v>0.13871934302519123</v>
      </c>
      <c r="O276">
        <f t="shared" si="27"/>
        <v>6.1313949617134529E-3</v>
      </c>
      <c r="P276">
        <f t="shared" si="28"/>
        <v>0.61313949617134533</v>
      </c>
      <c r="Q276">
        <f>VLOOKUP(C276,Sheet2!A:AU,47,0)</f>
        <v>0.86754118118488632</v>
      </c>
      <c r="R276">
        <f t="shared" si="29"/>
        <v>1.4806806773562315</v>
      </c>
    </row>
    <row r="277" spans="1:18" x14ac:dyDescent="0.3">
      <c r="A277" s="1">
        <v>275</v>
      </c>
      <c r="B277">
        <v>275</v>
      </c>
      <c r="C277" t="s">
        <v>336</v>
      </c>
      <c r="D277" t="s">
        <v>148</v>
      </c>
      <c r="E277">
        <v>1</v>
      </c>
      <c r="F277" t="s">
        <v>12</v>
      </c>
      <c r="G277">
        <v>17751</v>
      </c>
      <c r="H277">
        <v>5.6334854374401402E-2</v>
      </c>
      <c r="I277">
        <v>4.6078293820636197E-2</v>
      </c>
      <c r="J277">
        <v>2.0366605868721E-3</v>
      </c>
      <c r="K277">
        <v>4.6078293820636267</v>
      </c>
      <c r="L277">
        <f t="shared" si="24"/>
        <v>0.4</v>
      </c>
      <c r="M277">
        <f t="shared" si="25"/>
        <v>0</v>
      </c>
      <c r="N277">
        <f t="shared" si="26"/>
        <v>0.1408371359360035</v>
      </c>
      <c r="O277">
        <f t="shared" si="27"/>
        <v>6.2250014083713549E-3</v>
      </c>
      <c r="P277">
        <f t="shared" si="28"/>
        <v>0.62250014083713545</v>
      </c>
      <c r="Q277">
        <f>VLOOKUP(C277,Sheet2!A:AU,47,0)</f>
        <v>1.4395464713812538</v>
      </c>
      <c r="R277">
        <f t="shared" si="29"/>
        <v>2.0620466122183894</v>
      </c>
    </row>
    <row r="278" spans="1:18" x14ac:dyDescent="0.3">
      <c r="A278" s="1">
        <v>276</v>
      </c>
      <c r="B278">
        <v>276</v>
      </c>
      <c r="C278" t="s">
        <v>337</v>
      </c>
      <c r="D278" t="s">
        <v>148</v>
      </c>
      <c r="E278">
        <v>1</v>
      </c>
      <c r="F278" t="s">
        <v>12</v>
      </c>
      <c r="G278">
        <v>19444</v>
      </c>
      <c r="H278">
        <v>5.1429746965644903E-2</v>
      </c>
      <c r="I278">
        <v>4.0367365678909702E-2</v>
      </c>
      <c r="J278">
        <v>1.7842375630078E-3</v>
      </c>
      <c r="K278">
        <v>4.0367365678909746</v>
      </c>
      <c r="L278">
        <f t="shared" si="24"/>
        <v>0.4</v>
      </c>
      <c r="M278">
        <f t="shared" si="25"/>
        <v>0</v>
      </c>
      <c r="N278">
        <f t="shared" si="26"/>
        <v>0.12857436741411224</v>
      </c>
      <c r="O278">
        <f t="shared" si="27"/>
        <v>5.6829870397037616E-3</v>
      </c>
      <c r="P278">
        <f t="shared" si="28"/>
        <v>0.56829870397037618</v>
      </c>
      <c r="Q278">
        <f>VLOOKUP(C278,Sheet2!A:AU,47,0)</f>
        <v>0.54416585583603794</v>
      </c>
      <c r="R278">
        <f t="shared" si="29"/>
        <v>1.1124645598064142</v>
      </c>
    </row>
    <row r="279" spans="1:18" x14ac:dyDescent="0.3">
      <c r="A279" s="1">
        <v>277</v>
      </c>
      <c r="B279">
        <v>277</v>
      </c>
      <c r="C279" t="s">
        <v>338</v>
      </c>
      <c r="D279" t="s">
        <v>198</v>
      </c>
      <c r="E279">
        <v>1</v>
      </c>
      <c r="F279" t="s">
        <v>12</v>
      </c>
      <c r="G279">
        <v>36571</v>
      </c>
      <c r="H279">
        <v>2.7344070438325398E-2</v>
      </c>
      <c r="I279">
        <v>1.23248466411336E-2</v>
      </c>
      <c r="J279">
        <v>5.4475822153810004E-4</v>
      </c>
      <c r="K279">
        <v>1.232484664113366</v>
      </c>
      <c r="L279">
        <f t="shared" si="24"/>
        <v>0.4</v>
      </c>
      <c r="M279">
        <f t="shared" si="25"/>
        <v>0</v>
      </c>
      <c r="N279">
        <f t="shared" si="26"/>
        <v>6.8360176095813491E-2</v>
      </c>
      <c r="O279">
        <f t="shared" si="27"/>
        <v>3.0215197834349565E-3</v>
      </c>
      <c r="P279">
        <f t="shared" si="28"/>
        <v>0.30215197834349566</v>
      </c>
      <c r="Q279">
        <f>VLOOKUP(C279,Sheet2!A:AU,47,0)</f>
        <v>0.27662849628857888</v>
      </c>
      <c r="R279">
        <f t="shared" si="29"/>
        <v>0.5787804746320746</v>
      </c>
    </row>
    <row r="280" spans="1:18" x14ac:dyDescent="0.3">
      <c r="A280" s="1">
        <v>278</v>
      </c>
      <c r="B280">
        <v>278</v>
      </c>
      <c r="C280" t="s">
        <v>339</v>
      </c>
      <c r="D280" t="s">
        <v>198</v>
      </c>
      <c r="E280">
        <v>1</v>
      </c>
      <c r="F280" t="s">
        <v>12</v>
      </c>
      <c r="G280">
        <v>18931</v>
      </c>
      <c r="H280">
        <v>5.2823411335904E-2</v>
      </c>
      <c r="I280">
        <v>4.1989983984479499E-2</v>
      </c>
      <c r="J280">
        <v>1.8559572921139E-3</v>
      </c>
      <c r="K280">
        <v>4.1989983984479569</v>
      </c>
      <c r="L280">
        <f t="shared" si="24"/>
        <v>0.4</v>
      </c>
      <c r="M280">
        <f t="shared" si="25"/>
        <v>0</v>
      </c>
      <c r="N280">
        <f t="shared" si="26"/>
        <v>0.13205852833975998</v>
      </c>
      <c r="O280">
        <f t="shared" si="27"/>
        <v>5.8369869526173918E-3</v>
      </c>
      <c r="P280">
        <f t="shared" si="28"/>
        <v>0.58369869526173923</v>
      </c>
      <c r="Q280">
        <f>VLOOKUP(C280,Sheet2!A:AU,47,0)</f>
        <v>1.1111201154638473</v>
      </c>
      <c r="R280">
        <f t="shared" si="29"/>
        <v>1.6948188107255864</v>
      </c>
    </row>
    <row r="281" spans="1:18" x14ac:dyDescent="0.3">
      <c r="A281" s="1">
        <v>279</v>
      </c>
      <c r="B281">
        <v>279</v>
      </c>
      <c r="C281" t="s">
        <v>340</v>
      </c>
      <c r="D281" t="s">
        <v>132</v>
      </c>
      <c r="E281">
        <v>2</v>
      </c>
      <c r="F281" t="s">
        <v>12</v>
      </c>
      <c r="G281">
        <v>22776</v>
      </c>
      <c r="H281">
        <v>8.7811731647347999E-2</v>
      </c>
      <c r="I281">
        <v>8.2726254660563006E-2</v>
      </c>
      <c r="J281">
        <v>3.6565004559967998E-3</v>
      </c>
      <c r="K281">
        <v>8.2726254660563026</v>
      </c>
      <c r="L281">
        <f t="shared" si="24"/>
        <v>0.4</v>
      </c>
      <c r="M281">
        <f t="shared" si="25"/>
        <v>0</v>
      </c>
      <c r="N281">
        <f t="shared" si="26"/>
        <v>0.21952932911836998</v>
      </c>
      <c r="O281">
        <f t="shared" si="27"/>
        <v>9.7031963470319543E-3</v>
      </c>
      <c r="P281">
        <f t="shared" si="28"/>
        <v>0.97031963470319538</v>
      </c>
      <c r="Q281">
        <f>VLOOKUP(C281,Sheet2!A:AU,47,0)</f>
        <v>1.6325011315167552</v>
      </c>
      <c r="R281">
        <f t="shared" si="29"/>
        <v>2.6028207662199505</v>
      </c>
    </row>
    <row r="282" spans="1:18" x14ac:dyDescent="0.3">
      <c r="A282" s="1">
        <v>280</v>
      </c>
      <c r="B282">
        <v>280</v>
      </c>
      <c r="C282" t="s">
        <v>341</v>
      </c>
      <c r="D282" t="s">
        <v>132</v>
      </c>
      <c r="E282">
        <v>1</v>
      </c>
      <c r="F282" t="s">
        <v>12</v>
      </c>
      <c r="G282">
        <v>22004</v>
      </c>
      <c r="H282">
        <v>4.5446282494091897E-2</v>
      </c>
      <c r="I282">
        <v>3.3400925846295497E-2</v>
      </c>
      <c r="J282">
        <v>1.4763209224062E-3</v>
      </c>
      <c r="K282">
        <v>3.3400925846295491</v>
      </c>
      <c r="L282">
        <f t="shared" si="24"/>
        <v>0.4</v>
      </c>
      <c r="M282">
        <f t="shared" si="25"/>
        <v>0</v>
      </c>
      <c r="N282">
        <f t="shared" si="26"/>
        <v>0.11361570623522974</v>
      </c>
      <c r="O282">
        <f t="shared" si="27"/>
        <v>5.021814215597155E-3</v>
      </c>
      <c r="P282">
        <f t="shared" si="28"/>
        <v>0.50218142155971546</v>
      </c>
      <c r="Q282">
        <f>VLOOKUP(C282,Sheet2!A:AU,47,0)</f>
        <v>0.76520302255931572</v>
      </c>
      <c r="R282">
        <f t="shared" si="29"/>
        <v>1.2673844441190312</v>
      </c>
    </row>
    <row r="283" spans="1:18" x14ac:dyDescent="0.3">
      <c r="A283" s="1">
        <v>281</v>
      </c>
      <c r="B283">
        <v>281</v>
      </c>
      <c r="C283" t="s">
        <v>342</v>
      </c>
      <c r="D283" t="s">
        <v>36</v>
      </c>
      <c r="E283">
        <v>1</v>
      </c>
      <c r="F283" t="s">
        <v>12</v>
      </c>
      <c r="G283">
        <v>25673</v>
      </c>
      <c r="H283">
        <v>3.8951427569820403E-2</v>
      </c>
      <c r="I283">
        <v>2.5839083327365502E-2</v>
      </c>
      <c r="J283">
        <v>1.1420874830694999E-3</v>
      </c>
      <c r="K283">
        <v>2.58390833273655</v>
      </c>
      <c r="L283">
        <f t="shared" si="24"/>
        <v>0.4</v>
      </c>
      <c r="M283">
        <f t="shared" si="25"/>
        <v>0</v>
      </c>
      <c r="N283">
        <f t="shared" si="26"/>
        <v>9.7378568924551004E-2</v>
      </c>
      <c r="O283">
        <f t="shared" si="27"/>
        <v>4.3041327464651549E-3</v>
      </c>
      <c r="P283">
        <f t="shared" si="28"/>
        <v>0.43041327464651546</v>
      </c>
      <c r="Q283">
        <f>VLOOKUP(C283,Sheet2!A:AU,47,0)</f>
        <v>0.87820756668677868</v>
      </c>
      <c r="R283">
        <f t="shared" si="29"/>
        <v>1.308620841333294</v>
      </c>
    </row>
    <row r="284" spans="1:18" x14ac:dyDescent="0.3">
      <c r="A284" s="1">
        <v>282</v>
      </c>
      <c r="B284">
        <v>282</v>
      </c>
      <c r="C284" t="s">
        <v>343</v>
      </c>
      <c r="D284" t="s">
        <v>36</v>
      </c>
      <c r="E284">
        <v>2</v>
      </c>
      <c r="F284" t="s">
        <v>12</v>
      </c>
      <c r="G284">
        <v>19253</v>
      </c>
      <c r="H284">
        <v>0.1038799148184698</v>
      </c>
      <c r="I284">
        <v>0.1014341506985906</v>
      </c>
      <c r="J284">
        <v>4.4833894608776997E-3</v>
      </c>
      <c r="K284">
        <v>10.14341506985906</v>
      </c>
      <c r="L284">
        <f t="shared" si="24"/>
        <v>0.4</v>
      </c>
      <c r="M284">
        <f t="shared" si="25"/>
        <v>0</v>
      </c>
      <c r="N284">
        <f t="shared" si="26"/>
        <v>0.25969978704617447</v>
      </c>
      <c r="O284">
        <f t="shared" si="27"/>
        <v>1.1478730587440913E-2</v>
      </c>
      <c r="P284">
        <f t="shared" si="28"/>
        <v>1.1478730587440913</v>
      </c>
      <c r="Q284">
        <f>VLOOKUP(C284,Sheet2!A:AU,47,0)</f>
        <v>2.4631983096098313</v>
      </c>
      <c r="R284">
        <f t="shared" si="29"/>
        <v>3.6110713683539224</v>
      </c>
    </row>
    <row r="285" spans="1:18" x14ac:dyDescent="0.3">
      <c r="A285" s="1">
        <v>283</v>
      </c>
      <c r="B285">
        <v>283</v>
      </c>
      <c r="C285" t="s">
        <v>344</v>
      </c>
      <c r="D285" t="s">
        <v>124</v>
      </c>
      <c r="E285">
        <v>2</v>
      </c>
      <c r="F285" t="s">
        <v>12</v>
      </c>
      <c r="G285">
        <v>22097</v>
      </c>
      <c r="H285">
        <v>9.0510023985156299E-2</v>
      </c>
      <c r="I285">
        <v>8.5867827792903598E-2</v>
      </c>
      <c r="J285">
        <v>3.7953579884463001E-3</v>
      </c>
      <c r="K285">
        <v>8.5867827792903633</v>
      </c>
      <c r="L285">
        <f t="shared" si="24"/>
        <v>0.4</v>
      </c>
      <c r="M285">
        <f t="shared" si="25"/>
        <v>0</v>
      </c>
      <c r="N285">
        <f t="shared" si="26"/>
        <v>0.22627505996289074</v>
      </c>
      <c r="O285">
        <f t="shared" si="27"/>
        <v>1.0001357650359772E-2</v>
      </c>
      <c r="P285">
        <f t="shared" si="28"/>
        <v>1.0001357650359772</v>
      </c>
      <c r="Q285">
        <f>VLOOKUP(C285,Sheet2!A:AU,47,0)</f>
        <v>4.7841186376506215</v>
      </c>
      <c r="R285">
        <f t="shared" si="29"/>
        <v>5.7842544026865985</v>
      </c>
    </row>
    <row r="286" spans="1:18" x14ac:dyDescent="0.3">
      <c r="A286" s="1">
        <v>284</v>
      </c>
      <c r="B286">
        <v>284</v>
      </c>
      <c r="C286" t="s">
        <v>345</v>
      </c>
      <c r="D286" t="s">
        <v>210</v>
      </c>
      <c r="E286">
        <v>3</v>
      </c>
      <c r="F286" t="s">
        <v>12</v>
      </c>
      <c r="G286">
        <v>18473</v>
      </c>
      <c r="H286">
        <v>0.1623991771775023</v>
      </c>
      <c r="I286">
        <v>0.1695670730567575</v>
      </c>
      <c r="J286">
        <v>7.4948646291085998E-3</v>
      </c>
      <c r="K286">
        <v>16.956707305675749</v>
      </c>
      <c r="L286">
        <f t="shared" si="24"/>
        <v>0.4</v>
      </c>
      <c r="M286">
        <f t="shared" si="25"/>
        <v>0</v>
      </c>
      <c r="N286">
        <f t="shared" si="26"/>
        <v>0.40599794294375574</v>
      </c>
      <c r="O286">
        <f t="shared" si="27"/>
        <v>1.7945109078114006E-2</v>
      </c>
      <c r="P286">
        <f t="shared" si="28"/>
        <v>1.7945109078114005</v>
      </c>
      <c r="Q286">
        <f>VLOOKUP(C286,Sheet2!A:AU,47,0)</f>
        <v>5.6475167236553192</v>
      </c>
      <c r="R286">
        <f t="shared" si="29"/>
        <v>7.4420276314667202</v>
      </c>
    </row>
    <row r="287" spans="1:18" x14ac:dyDescent="0.3">
      <c r="A287" s="1">
        <v>285</v>
      </c>
      <c r="B287">
        <v>285</v>
      </c>
      <c r="C287" t="s">
        <v>346</v>
      </c>
      <c r="D287" t="s">
        <v>210</v>
      </c>
      <c r="E287">
        <v>1</v>
      </c>
      <c r="F287" t="s">
        <v>12</v>
      </c>
      <c r="G287">
        <v>20398</v>
      </c>
      <c r="H287">
        <v>4.9024414158250797E-2</v>
      </c>
      <c r="I287">
        <v>3.7566880047250999E-2</v>
      </c>
      <c r="J287">
        <v>1.6604560980884001E-3</v>
      </c>
      <c r="K287">
        <v>3.7566880047251061</v>
      </c>
      <c r="L287">
        <f t="shared" si="24"/>
        <v>0.4</v>
      </c>
      <c r="M287">
        <f t="shared" si="25"/>
        <v>0</v>
      </c>
      <c r="N287">
        <f t="shared" si="26"/>
        <v>0.12256103539562699</v>
      </c>
      <c r="O287">
        <f t="shared" si="27"/>
        <v>5.417197764486713E-3</v>
      </c>
      <c r="P287">
        <f t="shared" si="28"/>
        <v>0.54171977644867131</v>
      </c>
      <c r="Q287">
        <f>VLOOKUP(C287,Sheet2!A:AU,47,0)</f>
        <v>0.78970161969138097</v>
      </c>
      <c r="R287">
        <f t="shared" si="29"/>
        <v>1.3314213961400523</v>
      </c>
    </row>
    <row r="288" spans="1:18" x14ac:dyDescent="0.3">
      <c r="A288" s="1">
        <v>286</v>
      </c>
      <c r="B288">
        <v>286</v>
      </c>
      <c r="C288" t="s">
        <v>347</v>
      </c>
      <c r="D288" t="s">
        <v>210</v>
      </c>
      <c r="E288">
        <v>4</v>
      </c>
      <c r="F288" t="s">
        <v>12</v>
      </c>
      <c r="G288">
        <v>13596</v>
      </c>
      <c r="H288">
        <v>0.29420417769932328</v>
      </c>
      <c r="I288">
        <v>0.32302525938649801</v>
      </c>
      <c r="J288">
        <v>1.4277716464883201E-2</v>
      </c>
      <c r="K288">
        <v>32.302525938649808</v>
      </c>
      <c r="L288">
        <f t="shared" si="24"/>
        <v>0.4</v>
      </c>
      <c r="M288">
        <f t="shared" si="25"/>
        <v>0</v>
      </c>
      <c r="N288">
        <f t="shared" si="26"/>
        <v>0.73551044424830814</v>
      </c>
      <c r="O288">
        <f t="shared" si="27"/>
        <v>3.2509561635775223E-2</v>
      </c>
      <c r="P288">
        <f t="shared" si="28"/>
        <v>3.2509561635775222</v>
      </c>
      <c r="Q288">
        <f>VLOOKUP(C288,Sheet2!A:AU,47,0)</f>
        <v>8.0399999999999991</v>
      </c>
      <c r="R288">
        <f t="shared" si="29"/>
        <v>11.290956163577521</v>
      </c>
    </row>
    <row r="289" spans="1:18" x14ac:dyDescent="0.3">
      <c r="A289" s="1">
        <v>287</v>
      </c>
      <c r="B289">
        <v>287</v>
      </c>
      <c r="C289" t="s">
        <v>348</v>
      </c>
      <c r="D289" t="s">
        <v>210</v>
      </c>
      <c r="E289">
        <v>1</v>
      </c>
      <c r="F289" t="s">
        <v>12</v>
      </c>
      <c r="G289">
        <v>16662</v>
      </c>
      <c r="H289">
        <v>6.0016804705317402E-2</v>
      </c>
      <c r="I289">
        <v>5.0365122223971499E-2</v>
      </c>
      <c r="J289">
        <v>2.2261384022995E-3</v>
      </c>
      <c r="K289">
        <v>5.0365122223971559</v>
      </c>
      <c r="L289">
        <f t="shared" si="24"/>
        <v>0.4</v>
      </c>
      <c r="M289">
        <f t="shared" si="25"/>
        <v>0</v>
      </c>
      <c r="N289">
        <f t="shared" si="26"/>
        <v>0.15004201176329349</v>
      </c>
      <c r="O289">
        <f t="shared" si="27"/>
        <v>6.6318569199375725E-3</v>
      </c>
      <c r="P289">
        <f t="shared" si="28"/>
        <v>0.66318569199375721</v>
      </c>
      <c r="Q289">
        <f>VLOOKUP(C289,Sheet2!A:AU,47,0)</f>
        <v>0.98357373892827582</v>
      </c>
      <c r="R289">
        <f t="shared" si="29"/>
        <v>1.646759430922033</v>
      </c>
    </row>
    <row r="290" spans="1:18" x14ac:dyDescent="0.3">
      <c r="A290" s="1">
        <v>288</v>
      </c>
      <c r="B290">
        <v>288</v>
      </c>
      <c r="C290" t="s">
        <v>349</v>
      </c>
      <c r="D290" t="s">
        <v>210</v>
      </c>
      <c r="E290">
        <v>1</v>
      </c>
      <c r="F290" t="s">
        <v>12</v>
      </c>
      <c r="G290">
        <v>13646</v>
      </c>
      <c r="H290">
        <v>7.3281547706287503E-2</v>
      </c>
      <c r="I290">
        <v>6.5809023403744907E-2</v>
      </c>
      <c r="J290">
        <v>2.9087588344455001E-3</v>
      </c>
      <c r="K290">
        <v>6.5809023403744984</v>
      </c>
      <c r="L290">
        <f t="shared" si="24"/>
        <v>0.4</v>
      </c>
      <c r="M290">
        <f t="shared" si="25"/>
        <v>0</v>
      </c>
      <c r="N290">
        <f t="shared" si="26"/>
        <v>0.18320386926571874</v>
      </c>
      <c r="O290">
        <f t="shared" si="27"/>
        <v>8.0976110215447688E-3</v>
      </c>
      <c r="P290">
        <f t="shared" si="28"/>
        <v>0.80976110215447683</v>
      </c>
      <c r="Q290">
        <f>VLOOKUP(C290,Sheet2!A:AU,47,0)</f>
        <v>1.5425066115640709</v>
      </c>
      <c r="R290">
        <f t="shared" si="29"/>
        <v>2.3522677137185477</v>
      </c>
    </row>
    <row r="291" spans="1:18" x14ac:dyDescent="0.3">
      <c r="A291" s="1">
        <v>289</v>
      </c>
      <c r="B291">
        <v>289</v>
      </c>
      <c r="C291" t="s">
        <v>350</v>
      </c>
      <c r="D291" t="s">
        <v>210</v>
      </c>
      <c r="E291">
        <v>2</v>
      </c>
      <c r="F291" t="s">
        <v>12</v>
      </c>
      <c r="G291">
        <v>17881</v>
      </c>
      <c r="H291">
        <v>0.1118505676416307</v>
      </c>
      <c r="I291">
        <v>0.1107142381100223</v>
      </c>
      <c r="J291">
        <v>4.8935693244628996E-3</v>
      </c>
      <c r="K291">
        <v>11.071423811002241</v>
      </c>
      <c r="L291">
        <f t="shared" si="24"/>
        <v>0.4</v>
      </c>
      <c r="M291">
        <f t="shared" si="25"/>
        <v>0</v>
      </c>
      <c r="N291">
        <f t="shared" si="26"/>
        <v>0.27962641910407676</v>
      </c>
      <c r="O291">
        <f t="shared" si="27"/>
        <v>1.2359487724400193E-2</v>
      </c>
      <c r="P291">
        <f t="shared" si="28"/>
        <v>1.2359487724400193</v>
      </c>
      <c r="Q291">
        <f>VLOOKUP(C291,Sheet2!A:AU,47,0)</f>
        <v>3.481349342952198</v>
      </c>
      <c r="R291">
        <f t="shared" si="29"/>
        <v>4.7172981153922171</v>
      </c>
    </row>
    <row r="292" spans="1:18" x14ac:dyDescent="0.3">
      <c r="A292" s="1">
        <v>290</v>
      </c>
      <c r="B292">
        <v>290</v>
      </c>
      <c r="C292" t="s">
        <v>351</v>
      </c>
      <c r="D292" t="s">
        <v>160</v>
      </c>
      <c r="E292">
        <v>4</v>
      </c>
      <c r="F292" t="s">
        <v>24</v>
      </c>
      <c r="G292">
        <v>44577</v>
      </c>
      <c r="H292">
        <v>8.9732373196940093E-2</v>
      </c>
      <c r="I292">
        <v>8.49624229972957E-2</v>
      </c>
      <c r="J292">
        <v>3.7553390964804E-3</v>
      </c>
      <c r="K292">
        <v>8.496242299729575</v>
      </c>
      <c r="L292">
        <f t="shared" si="24"/>
        <v>0.4</v>
      </c>
      <c r="M292">
        <f t="shared" si="25"/>
        <v>0</v>
      </c>
      <c r="N292">
        <f t="shared" si="26"/>
        <v>0.22433093299235021</v>
      </c>
      <c r="O292">
        <f t="shared" si="27"/>
        <v>9.9154272382618799E-3</v>
      </c>
      <c r="P292">
        <f t="shared" si="28"/>
        <v>0.99154272382618802</v>
      </c>
      <c r="Q292">
        <f>VLOOKUP(C292,Sheet2!A:AU,47,0)</f>
        <v>1.5071098706591008</v>
      </c>
      <c r="R292">
        <f t="shared" si="29"/>
        <v>2.4986525944852889</v>
      </c>
    </row>
    <row r="293" spans="1:18" x14ac:dyDescent="0.3">
      <c r="A293" s="1">
        <v>291</v>
      </c>
      <c r="B293">
        <v>291</v>
      </c>
      <c r="C293" t="s">
        <v>352</v>
      </c>
      <c r="D293" t="s">
        <v>210</v>
      </c>
      <c r="E293">
        <v>1</v>
      </c>
      <c r="F293" t="s">
        <v>12</v>
      </c>
      <c r="G293">
        <v>18475</v>
      </c>
      <c r="H293">
        <v>5.4127198917456001E-2</v>
      </c>
      <c r="I293">
        <v>4.3507960364981703E-2</v>
      </c>
      <c r="J293">
        <v>1.9230518481321E-3</v>
      </c>
      <c r="K293">
        <v>4.3507960364981741</v>
      </c>
      <c r="L293">
        <f t="shared" si="24"/>
        <v>0.4</v>
      </c>
      <c r="M293">
        <f t="shared" si="25"/>
        <v>0</v>
      </c>
      <c r="N293">
        <f t="shared" si="26"/>
        <v>0.13531799729364</v>
      </c>
      <c r="O293">
        <f t="shared" si="27"/>
        <v>5.9810554803788885E-3</v>
      </c>
      <c r="P293">
        <f t="shared" si="28"/>
        <v>0.59810554803788885</v>
      </c>
      <c r="Q293">
        <f>VLOOKUP(C293,Sheet2!A:AU,47,0)</f>
        <v>0.49317632059907468</v>
      </c>
      <c r="R293">
        <f t="shared" si="29"/>
        <v>1.0912818686369636</v>
      </c>
    </row>
    <row r="294" spans="1:18" x14ac:dyDescent="0.3">
      <c r="A294" s="1">
        <v>292</v>
      </c>
      <c r="B294">
        <v>292</v>
      </c>
      <c r="C294" t="s">
        <v>353</v>
      </c>
      <c r="D294" t="s">
        <v>210</v>
      </c>
      <c r="E294">
        <v>2</v>
      </c>
      <c r="F294" t="s">
        <v>12</v>
      </c>
      <c r="G294">
        <v>31021</v>
      </c>
      <c r="H294">
        <v>6.4472454143966906E-2</v>
      </c>
      <c r="I294">
        <v>5.5552754552557398E-2</v>
      </c>
      <c r="J294">
        <v>2.4554317512230001E-3</v>
      </c>
      <c r="K294">
        <v>5.5552754552557442</v>
      </c>
      <c r="L294">
        <f t="shared" si="24"/>
        <v>0.4</v>
      </c>
      <c r="M294">
        <f t="shared" si="25"/>
        <v>0</v>
      </c>
      <c r="N294">
        <f t="shared" si="26"/>
        <v>0.16118113535991727</v>
      </c>
      <c r="O294">
        <f t="shared" si="27"/>
        <v>7.124206182908344E-3</v>
      </c>
      <c r="P294">
        <f t="shared" si="28"/>
        <v>0.71242061829083436</v>
      </c>
      <c r="Q294">
        <f>VLOOKUP(C294,Sheet2!A:AU,47,0)</f>
        <v>1.9967708894784915</v>
      </c>
      <c r="R294">
        <f t="shared" si="29"/>
        <v>2.7091915077693258</v>
      </c>
    </row>
    <row r="295" spans="1:18" x14ac:dyDescent="0.3">
      <c r="A295" s="1">
        <v>293</v>
      </c>
      <c r="B295">
        <v>293</v>
      </c>
      <c r="C295" t="s">
        <v>354</v>
      </c>
      <c r="D295" t="s">
        <v>210</v>
      </c>
      <c r="E295">
        <v>1</v>
      </c>
      <c r="F295" t="s">
        <v>12</v>
      </c>
      <c r="G295">
        <v>27700</v>
      </c>
      <c r="H295">
        <v>3.6101083032490898E-2</v>
      </c>
      <c r="I295">
        <v>2.2520478559854801E-2</v>
      </c>
      <c r="J295">
        <v>9.9540515234549992E-4</v>
      </c>
      <c r="K295">
        <v>2.2520478559854831</v>
      </c>
      <c r="L295">
        <f t="shared" si="24"/>
        <v>0.4</v>
      </c>
      <c r="M295">
        <f t="shared" si="25"/>
        <v>0</v>
      </c>
      <c r="N295">
        <f t="shared" si="26"/>
        <v>9.0252707581227234E-2</v>
      </c>
      <c r="O295">
        <f t="shared" si="27"/>
        <v>3.989169675090244E-3</v>
      </c>
      <c r="P295">
        <f t="shared" si="28"/>
        <v>0.39891696750902439</v>
      </c>
      <c r="Q295">
        <f>VLOOKUP(C295,Sheet2!A:AU,47,0)</f>
        <v>0.35577510045498106</v>
      </c>
      <c r="R295">
        <f t="shared" si="29"/>
        <v>0.75469206796400545</v>
      </c>
    </row>
    <row r="296" spans="1:18" x14ac:dyDescent="0.3">
      <c r="A296" s="1">
        <v>294</v>
      </c>
      <c r="B296">
        <v>294</v>
      </c>
      <c r="C296" t="s">
        <v>355</v>
      </c>
      <c r="D296" t="s">
        <v>77</v>
      </c>
      <c r="E296">
        <v>1</v>
      </c>
      <c r="F296" t="s">
        <v>24</v>
      </c>
      <c r="G296">
        <v>12240</v>
      </c>
      <c r="H296">
        <v>8.1699346405228704E-2</v>
      </c>
      <c r="I296">
        <v>7.5609714698568004E-2</v>
      </c>
      <c r="J296">
        <v>3.3419493896767001E-3</v>
      </c>
      <c r="K296">
        <v>7.5609714698568089</v>
      </c>
      <c r="L296">
        <f t="shared" si="24"/>
        <v>0.4</v>
      </c>
      <c r="M296">
        <f t="shared" si="25"/>
        <v>0</v>
      </c>
      <c r="N296">
        <f t="shared" si="26"/>
        <v>0.20424836601307175</v>
      </c>
      <c r="O296">
        <f t="shared" si="27"/>
        <v>9.0277777777777717E-3</v>
      </c>
      <c r="P296">
        <f t="shared" si="28"/>
        <v>0.90277777777777712</v>
      </c>
      <c r="Q296">
        <f>VLOOKUP(C296,Sheet2!A:AU,47,0)</f>
        <v>1.0040229087178389</v>
      </c>
      <c r="R296">
        <f t="shared" si="29"/>
        <v>1.906800686495616</v>
      </c>
    </row>
    <row r="297" spans="1:18" x14ac:dyDescent="0.3">
      <c r="A297" s="1">
        <v>295</v>
      </c>
      <c r="B297">
        <v>295</v>
      </c>
      <c r="C297" t="s">
        <v>356</v>
      </c>
      <c r="D297" t="s">
        <v>16</v>
      </c>
      <c r="E297">
        <v>1</v>
      </c>
      <c r="F297" t="s">
        <v>17</v>
      </c>
      <c r="G297">
        <v>28623</v>
      </c>
      <c r="H297">
        <v>3.4936938825420101E-2</v>
      </c>
      <c r="I297">
        <v>2.1165086443196899E-2</v>
      </c>
      <c r="J297">
        <v>9.3549682078929999E-4</v>
      </c>
      <c r="K297">
        <v>2.1165086443196919</v>
      </c>
      <c r="L297">
        <f t="shared" si="24"/>
        <v>0.4</v>
      </c>
      <c r="M297">
        <f t="shared" si="25"/>
        <v>0</v>
      </c>
      <c r="N297">
        <f t="shared" si="26"/>
        <v>8.7342347063550249E-2</v>
      </c>
      <c r="O297">
        <f t="shared" si="27"/>
        <v>3.8605317402089214E-3</v>
      </c>
      <c r="P297">
        <f t="shared" si="28"/>
        <v>0.38605317402089212</v>
      </c>
      <c r="Q297">
        <f>VLOOKUP(C297,Sheet2!A:AU,47,0)</f>
        <v>0.4093853609395362</v>
      </c>
      <c r="R297">
        <f t="shared" si="29"/>
        <v>0.79543853496042827</v>
      </c>
    </row>
    <row r="298" spans="1:18" x14ac:dyDescent="0.3">
      <c r="A298" s="1">
        <v>296</v>
      </c>
      <c r="B298">
        <v>296</v>
      </c>
      <c r="C298" t="s">
        <v>357</v>
      </c>
      <c r="D298" t="s">
        <v>143</v>
      </c>
      <c r="E298">
        <v>1</v>
      </c>
      <c r="F298" t="s">
        <v>24</v>
      </c>
      <c r="G298">
        <v>11978</v>
      </c>
      <c r="H298">
        <v>8.3486391718149894E-2</v>
      </c>
      <c r="I298">
        <v>7.7690339345009601E-2</v>
      </c>
      <c r="J298">
        <v>3.4339129990494E-3</v>
      </c>
      <c r="K298">
        <v>7.7690339345009667</v>
      </c>
      <c r="L298">
        <f t="shared" si="24"/>
        <v>0.4</v>
      </c>
      <c r="M298">
        <f t="shared" si="25"/>
        <v>0</v>
      </c>
      <c r="N298">
        <f t="shared" si="26"/>
        <v>0.20871597929537472</v>
      </c>
      <c r="O298">
        <f t="shared" si="27"/>
        <v>9.2252462848555639E-3</v>
      </c>
      <c r="P298">
        <f t="shared" si="28"/>
        <v>0.92252462848555639</v>
      </c>
      <c r="Q298">
        <f>VLOOKUP(C298,Sheet2!A:AU,47,0)</f>
        <v>3.588017735221221</v>
      </c>
      <c r="R298">
        <f t="shared" si="29"/>
        <v>4.5105423637067776</v>
      </c>
    </row>
    <row r="299" spans="1:18" x14ac:dyDescent="0.3">
      <c r="A299" s="1">
        <v>297</v>
      </c>
      <c r="B299">
        <v>297</v>
      </c>
      <c r="C299" t="s">
        <v>358</v>
      </c>
      <c r="D299" t="s">
        <v>143</v>
      </c>
      <c r="E299">
        <v>1</v>
      </c>
      <c r="F299" t="s">
        <v>24</v>
      </c>
      <c r="G299">
        <v>10616</v>
      </c>
      <c r="H299">
        <v>9.4197437829691005E-2</v>
      </c>
      <c r="I299">
        <v>9.0161017266665505E-2</v>
      </c>
      <c r="J299">
        <v>3.9851169631866003E-3</v>
      </c>
      <c r="K299">
        <v>9.0161017266665553</v>
      </c>
      <c r="L299">
        <f t="shared" si="24"/>
        <v>0.4</v>
      </c>
      <c r="M299">
        <f t="shared" si="25"/>
        <v>0</v>
      </c>
      <c r="N299">
        <f t="shared" si="26"/>
        <v>0.2354935945742275</v>
      </c>
      <c r="O299">
        <f t="shared" si="27"/>
        <v>1.0408816880180857E-2</v>
      </c>
      <c r="P299">
        <f t="shared" si="28"/>
        <v>1.0408816880180856</v>
      </c>
      <c r="Q299">
        <f>VLOOKUP(C299,Sheet2!A:AU,47,0)</f>
        <v>3.8880013792270027</v>
      </c>
      <c r="R299">
        <f t="shared" si="29"/>
        <v>4.9288830672450885</v>
      </c>
    </row>
    <row r="300" spans="1:18" x14ac:dyDescent="0.3">
      <c r="A300" s="1">
        <v>298</v>
      </c>
      <c r="B300">
        <v>298</v>
      </c>
      <c r="C300" t="s">
        <v>359</v>
      </c>
      <c r="D300" t="s">
        <v>59</v>
      </c>
      <c r="E300">
        <v>3</v>
      </c>
      <c r="F300" t="s">
        <v>24</v>
      </c>
      <c r="G300">
        <v>16388</v>
      </c>
      <c r="H300">
        <v>0.1830607761776909</v>
      </c>
      <c r="I300">
        <v>0.19362300034850249</v>
      </c>
      <c r="J300">
        <v>8.5581366154038E-3</v>
      </c>
      <c r="K300">
        <v>19.36230003485025</v>
      </c>
      <c r="L300">
        <f t="shared" si="24"/>
        <v>0.4</v>
      </c>
      <c r="M300">
        <f t="shared" si="25"/>
        <v>0</v>
      </c>
      <c r="N300">
        <f t="shared" si="26"/>
        <v>0.45765194044422725</v>
      </c>
      <c r="O300">
        <f t="shared" si="27"/>
        <v>2.0228215767634845E-2</v>
      </c>
      <c r="P300">
        <f t="shared" si="28"/>
        <v>2.0228215767634845</v>
      </c>
      <c r="Q300">
        <f>VLOOKUP(C300,Sheet2!A:AU,47,0)</f>
        <v>4.7400598807758074</v>
      </c>
      <c r="R300">
        <f t="shared" si="29"/>
        <v>6.7628814575392919</v>
      </c>
    </row>
    <row r="301" spans="1:18" x14ac:dyDescent="0.3">
      <c r="A301" s="1">
        <v>299</v>
      </c>
      <c r="B301">
        <v>299</v>
      </c>
      <c r="C301" t="s">
        <v>360</v>
      </c>
      <c r="D301" t="s">
        <v>164</v>
      </c>
      <c r="E301">
        <v>1</v>
      </c>
      <c r="F301" t="s">
        <v>24</v>
      </c>
      <c r="G301">
        <v>11827</v>
      </c>
      <c r="H301">
        <v>8.4552295594825397E-2</v>
      </c>
      <c r="I301">
        <v>7.8931352015764705E-2</v>
      </c>
      <c r="J301">
        <v>3.4887657590968002E-3</v>
      </c>
      <c r="K301">
        <v>7.893135201576472</v>
      </c>
      <c r="L301">
        <f t="shared" si="24"/>
        <v>0.4</v>
      </c>
      <c r="M301">
        <f t="shared" si="25"/>
        <v>0</v>
      </c>
      <c r="N301">
        <f t="shared" si="26"/>
        <v>0.21138073898706347</v>
      </c>
      <c r="O301">
        <f t="shared" si="27"/>
        <v>9.3430286632282065E-3</v>
      </c>
      <c r="P301">
        <f t="shared" si="28"/>
        <v>0.93430286632282067</v>
      </c>
      <c r="Q301">
        <f>VLOOKUP(C301,Sheet2!A:AU,47,0)</f>
        <v>2.365023914339754</v>
      </c>
      <c r="R301">
        <f t="shared" si="29"/>
        <v>3.2993267806625748</v>
      </c>
    </row>
    <row r="302" spans="1:18" x14ac:dyDescent="0.3">
      <c r="A302" s="1">
        <v>300</v>
      </c>
      <c r="B302">
        <v>300</v>
      </c>
      <c r="C302" t="s">
        <v>361</v>
      </c>
      <c r="D302" t="s">
        <v>164</v>
      </c>
      <c r="E302">
        <v>1</v>
      </c>
      <c r="F302" t="s">
        <v>24</v>
      </c>
      <c r="G302">
        <v>18345</v>
      </c>
      <c r="H302">
        <v>5.4510765876260497E-2</v>
      </c>
      <c r="I302">
        <v>4.3954540461344699E-2</v>
      </c>
      <c r="J302">
        <v>1.9427906883914001E-3</v>
      </c>
      <c r="K302">
        <v>4.3954540461344731</v>
      </c>
      <c r="L302">
        <f t="shared" si="24"/>
        <v>0.4</v>
      </c>
      <c r="M302">
        <f t="shared" si="25"/>
        <v>0</v>
      </c>
      <c r="N302">
        <f t="shared" si="26"/>
        <v>0.13627691469065123</v>
      </c>
      <c r="O302">
        <f t="shared" si="27"/>
        <v>6.0234396293267845E-3</v>
      </c>
      <c r="P302">
        <f t="shared" si="28"/>
        <v>0.60234396293267845</v>
      </c>
      <c r="Q302">
        <f>VLOOKUP(C302,Sheet2!A:AU,47,0)</f>
        <v>1.7064736110662231</v>
      </c>
      <c r="R302">
        <f t="shared" si="29"/>
        <v>2.3088175739989016</v>
      </c>
    </row>
    <row r="303" spans="1:18" x14ac:dyDescent="0.3">
      <c r="A303" s="1">
        <v>301</v>
      </c>
      <c r="B303">
        <v>301</v>
      </c>
      <c r="C303" t="s">
        <v>362</v>
      </c>
      <c r="D303" t="s">
        <v>164</v>
      </c>
      <c r="E303">
        <v>3</v>
      </c>
      <c r="F303" t="s">
        <v>24</v>
      </c>
      <c r="G303">
        <v>10565</v>
      </c>
      <c r="H303">
        <v>0.28395646000946517</v>
      </c>
      <c r="I303">
        <v>0.3110940263947386</v>
      </c>
      <c r="J303">
        <v>1.37503559666474E-2</v>
      </c>
      <c r="K303">
        <v>31.109402639473871</v>
      </c>
      <c r="L303">
        <f t="shared" si="24"/>
        <v>0.4</v>
      </c>
      <c r="M303">
        <f t="shared" si="25"/>
        <v>0</v>
      </c>
      <c r="N303">
        <f t="shared" si="26"/>
        <v>0.70989115002366288</v>
      </c>
      <c r="O303">
        <f t="shared" si="27"/>
        <v>3.1377188831045899E-2</v>
      </c>
      <c r="P303">
        <f t="shared" si="28"/>
        <v>3.1377188831045899</v>
      </c>
      <c r="Q303">
        <f>VLOOKUP(C303,Sheet2!A:AU,47,0)</f>
        <v>8.0399999999999991</v>
      </c>
      <c r="R303">
        <f t="shared" si="29"/>
        <v>11.177718883104589</v>
      </c>
    </row>
    <row r="304" spans="1:18" x14ac:dyDescent="0.3">
      <c r="A304" s="1">
        <v>302</v>
      </c>
      <c r="B304">
        <v>302</v>
      </c>
      <c r="C304" t="s">
        <v>363</v>
      </c>
      <c r="D304" t="s">
        <v>85</v>
      </c>
      <c r="E304">
        <v>1</v>
      </c>
      <c r="F304" t="s">
        <v>24</v>
      </c>
      <c r="G304">
        <v>15341</v>
      </c>
      <c r="H304">
        <v>6.51847989048953E-2</v>
      </c>
      <c r="I304">
        <v>5.6382124717731602E-2</v>
      </c>
      <c r="J304">
        <v>2.4920899125237001E-3</v>
      </c>
      <c r="K304">
        <v>5.6382124717731612</v>
      </c>
      <c r="L304">
        <f t="shared" si="24"/>
        <v>0.4</v>
      </c>
      <c r="M304">
        <f t="shared" si="25"/>
        <v>0</v>
      </c>
      <c r="N304">
        <f t="shared" si="26"/>
        <v>0.16296199726223823</v>
      </c>
      <c r="O304">
        <f t="shared" si="27"/>
        <v>7.20292027899093E-3</v>
      </c>
      <c r="P304">
        <f t="shared" si="28"/>
        <v>0.72029202789909297</v>
      </c>
      <c r="Q304">
        <f>VLOOKUP(C304,Sheet2!A:AU,47,0)</f>
        <v>2.0303960261047997</v>
      </c>
      <c r="R304">
        <f t="shared" si="29"/>
        <v>2.7506880540038927</v>
      </c>
    </row>
    <row r="305" spans="1:18" x14ac:dyDescent="0.3">
      <c r="A305" s="1">
        <v>303</v>
      </c>
      <c r="B305">
        <v>303</v>
      </c>
      <c r="C305" t="s">
        <v>364</v>
      </c>
      <c r="D305" t="s">
        <v>85</v>
      </c>
      <c r="E305">
        <v>2</v>
      </c>
      <c r="F305" t="s">
        <v>24</v>
      </c>
      <c r="G305">
        <v>13871</v>
      </c>
      <c r="H305">
        <v>0.14418571119602039</v>
      </c>
      <c r="I305">
        <v>0.1483614629112312</v>
      </c>
      <c r="J305">
        <v>6.5575766606763997E-3</v>
      </c>
      <c r="K305">
        <v>14.83614629112312</v>
      </c>
      <c r="L305">
        <f t="shared" si="24"/>
        <v>0.4</v>
      </c>
      <c r="M305">
        <f t="shared" si="25"/>
        <v>0</v>
      </c>
      <c r="N305">
        <f t="shared" si="26"/>
        <v>0.36046427799005093</v>
      </c>
      <c r="O305">
        <f t="shared" si="27"/>
        <v>1.5932521087160253E-2</v>
      </c>
      <c r="P305">
        <f t="shared" si="28"/>
        <v>1.5932521087160252</v>
      </c>
      <c r="Q305">
        <f>VLOOKUP(C305,Sheet2!A:AU,47,0)</f>
        <v>5.4740707410208946</v>
      </c>
      <c r="R305">
        <f t="shared" si="29"/>
        <v>7.0673228497369198</v>
      </c>
    </row>
    <row r="306" spans="1:18" x14ac:dyDescent="0.3">
      <c r="A306" s="1">
        <v>304</v>
      </c>
      <c r="B306">
        <v>304</v>
      </c>
      <c r="C306" t="s">
        <v>365</v>
      </c>
      <c r="D306" t="s">
        <v>33</v>
      </c>
      <c r="E306">
        <v>2</v>
      </c>
      <c r="F306" t="s">
        <v>17</v>
      </c>
      <c r="G306">
        <v>23648</v>
      </c>
      <c r="H306">
        <v>8.4573748308525001E-2</v>
      </c>
      <c r="I306">
        <v>7.8956329023641206E-2</v>
      </c>
      <c r="J306">
        <v>3.4898697428448998E-3</v>
      </c>
      <c r="K306">
        <v>7.895632902364123</v>
      </c>
      <c r="L306">
        <f t="shared" si="24"/>
        <v>0.4</v>
      </c>
      <c r="M306">
        <f t="shared" si="25"/>
        <v>0</v>
      </c>
      <c r="N306">
        <f t="shared" si="26"/>
        <v>0.2114343707713125</v>
      </c>
      <c r="O306">
        <f t="shared" si="27"/>
        <v>9.3453991880920132E-3</v>
      </c>
      <c r="P306">
        <f t="shared" si="28"/>
        <v>0.93453991880920129</v>
      </c>
      <c r="Q306">
        <f>VLOOKUP(C306,Sheet2!A:AU,47,0)</f>
        <v>1.4432078351963049</v>
      </c>
      <c r="R306">
        <f t="shared" si="29"/>
        <v>2.3777477540055063</v>
      </c>
    </row>
    <row r="307" spans="1:18" x14ac:dyDescent="0.3">
      <c r="A307" s="1">
        <v>305</v>
      </c>
      <c r="B307">
        <v>305</v>
      </c>
      <c r="C307" t="s">
        <v>366</v>
      </c>
      <c r="D307" t="s">
        <v>33</v>
      </c>
      <c r="E307">
        <v>1</v>
      </c>
      <c r="F307" t="s">
        <v>17</v>
      </c>
      <c r="G307">
        <v>20410</v>
      </c>
      <c r="H307">
        <v>4.89955903968642E-2</v>
      </c>
      <c r="I307">
        <v>3.7533321061415402E-2</v>
      </c>
      <c r="J307">
        <v>1.6589727909145E-3</v>
      </c>
      <c r="K307">
        <v>3.7533321061415421</v>
      </c>
      <c r="L307">
        <f t="shared" si="24"/>
        <v>0.4</v>
      </c>
      <c r="M307">
        <f t="shared" si="25"/>
        <v>0</v>
      </c>
      <c r="N307">
        <f t="shared" si="26"/>
        <v>0.12248897599216049</v>
      </c>
      <c r="O307">
        <f t="shared" si="27"/>
        <v>5.4140127388534942E-3</v>
      </c>
      <c r="P307">
        <f t="shared" si="28"/>
        <v>0.54140127388534942</v>
      </c>
      <c r="Q307">
        <f>VLOOKUP(C307,Sheet2!A:AU,47,0)</f>
        <v>1.3599494754956685</v>
      </c>
      <c r="R307">
        <f t="shared" si="29"/>
        <v>1.901350749381018</v>
      </c>
    </row>
    <row r="308" spans="1:18" x14ac:dyDescent="0.3">
      <c r="A308" s="1">
        <v>306</v>
      </c>
      <c r="B308">
        <v>306</v>
      </c>
      <c r="C308" t="s">
        <v>367</v>
      </c>
      <c r="D308" t="s">
        <v>167</v>
      </c>
      <c r="E308">
        <v>3</v>
      </c>
      <c r="F308" t="s">
        <v>12</v>
      </c>
      <c r="G308">
        <v>20472</v>
      </c>
      <c r="H308">
        <v>0.14654161781946071</v>
      </c>
      <c r="I308">
        <v>0.15110440252781659</v>
      </c>
      <c r="J308">
        <v>6.6788145917293998E-3</v>
      </c>
      <c r="K308">
        <v>15.110440252781659</v>
      </c>
      <c r="L308">
        <f t="shared" si="24"/>
        <v>0.4</v>
      </c>
      <c r="M308">
        <f t="shared" si="25"/>
        <v>0</v>
      </c>
      <c r="N308">
        <f t="shared" si="26"/>
        <v>0.36635404454865172</v>
      </c>
      <c r="O308">
        <f t="shared" si="27"/>
        <v>1.6192848769050406E-2</v>
      </c>
      <c r="P308">
        <f t="shared" si="28"/>
        <v>1.6192848769050405</v>
      </c>
      <c r="Q308">
        <f>VLOOKUP(C308,Sheet2!A:AU,47,0)</f>
        <v>3.9986674849428332</v>
      </c>
      <c r="R308">
        <f t="shared" si="29"/>
        <v>5.6179523618478733</v>
      </c>
    </row>
    <row r="309" spans="1:18" x14ac:dyDescent="0.3">
      <c r="A309" s="1">
        <v>307</v>
      </c>
      <c r="B309">
        <v>307</v>
      </c>
      <c r="C309" t="s">
        <v>368</v>
      </c>
      <c r="D309" t="s">
        <v>167</v>
      </c>
      <c r="E309">
        <v>1</v>
      </c>
      <c r="F309" t="s">
        <v>12</v>
      </c>
      <c r="G309">
        <v>17318</v>
      </c>
      <c r="H309">
        <v>5.7743388382030199E-2</v>
      </c>
      <c r="I309">
        <v>4.7718224576971197E-2</v>
      </c>
      <c r="J309">
        <v>2.1091455263021002E-3</v>
      </c>
      <c r="K309">
        <v>4.7718224576971222</v>
      </c>
      <c r="L309">
        <f t="shared" si="24"/>
        <v>0.4</v>
      </c>
      <c r="M309">
        <f t="shared" si="25"/>
        <v>0</v>
      </c>
      <c r="N309">
        <f t="shared" si="26"/>
        <v>0.14435847095507548</v>
      </c>
      <c r="O309">
        <f t="shared" si="27"/>
        <v>6.3806444162143369E-3</v>
      </c>
      <c r="P309">
        <f t="shared" si="28"/>
        <v>0.63806444162143372</v>
      </c>
      <c r="Q309">
        <f>VLOOKUP(C309,Sheet2!A:AU,47,0)</f>
        <v>1.5147602715665327</v>
      </c>
      <c r="R309">
        <f t="shared" si="29"/>
        <v>2.1528247131879663</v>
      </c>
    </row>
    <row r="310" spans="1:18" x14ac:dyDescent="0.3">
      <c r="A310" s="1">
        <v>308</v>
      </c>
      <c r="B310">
        <v>308</v>
      </c>
      <c r="C310" t="s">
        <v>369</v>
      </c>
      <c r="D310" t="s">
        <v>167</v>
      </c>
      <c r="E310">
        <v>1</v>
      </c>
      <c r="F310" t="s">
        <v>12</v>
      </c>
      <c r="G310">
        <v>15900</v>
      </c>
      <c r="H310">
        <v>6.2893081761006206E-2</v>
      </c>
      <c r="I310">
        <v>5.3713919755175803E-2</v>
      </c>
      <c r="J310">
        <v>2.3741552531787E-3</v>
      </c>
      <c r="K310">
        <v>5.3713919755175814</v>
      </c>
      <c r="L310">
        <f t="shared" si="24"/>
        <v>0.4</v>
      </c>
      <c r="M310">
        <f t="shared" si="25"/>
        <v>0</v>
      </c>
      <c r="N310">
        <f t="shared" si="26"/>
        <v>0.15723270440251549</v>
      </c>
      <c r="O310">
        <f t="shared" si="27"/>
        <v>6.9496855345911853E-3</v>
      </c>
      <c r="P310">
        <f t="shared" si="28"/>
        <v>0.69496855345911857</v>
      </c>
      <c r="Q310">
        <f>VLOOKUP(C310,Sheet2!A:AU,47,0)</f>
        <v>1.8881447579755579</v>
      </c>
      <c r="R310">
        <f t="shared" si="29"/>
        <v>2.5831133114346763</v>
      </c>
    </row>
    <row r="311" spans="1:18" x14ac:dyDescent="0.3">
      <c r="A311" s="1">
        <v>309</v>
      </c>
      <c r="B311">
        <v>309</v>
      </c>
      <c r="C311" t="s">
        <v>370</v>
      </c>
      <c r="D311" t="s">
        <v>167</v>
      </c>
      <c r="E311">
        <v>1</v>
      </c>
      <c r="F311" t="s">
        <v>12</v>
      </c>
      <c r="G311">
        <v>17597</v>
      </c>
      <c r="H311">
        <v>5.68278683866568E-2</v>
      </c>
      <c r="I311">
        <v>4.6652301148555002E-2</v>
      </c>
      <c r="J311">
        <v>2.0620317107660998E-3</v>
      </c>
      <c r="K311">
        <v>4.6652301148555004</v>
      </c>
      <c r="L311">
        <f t="shared" si="24"/>
        <v>0.4</v>
      </c>
      <c r="M311">
        <f t="shared" si="25"/>
        <v>0</v>
      </c>
      <c r="N311">
        <f t="shared" si="26"/>
        <v>0.142069670966642</v>
      </c>
      <c r="O311">
        <f t="shared" si="27"/>
        <v>6.2794794567255768E-3</v>
      </c>
      <c r="P311">
        <f t="shared" si="28"/>
        <v>0.62794794567255763</v>
      </c>
      <c r="Q311">
        <f>VLOOKUP(C311,Sheet2!A:AU,47,0)</f>
        <v>0.92855974306936684</v>
      </c>
      <c r="R311">
        <f t="shared" si="29"/>
        <v>1.5565076887419245</v>
      </c>
    </row>
    <row r="312" spans="1:18" x14ac:dyDescent="0.3">
      <c r="A312" s="1">
        <v>310</v>
      </c>
      <c r="B312">
        <v>310</v>
      </c>
      <c r="C312" t="s">
        <v>371</v>
      </c>
      <c r="D312" t="s">
        <v>121</v>
      </c>
      <c r="E312">
        <v>1</v>
      </c>
      <c r="F312" t="s">
        <v>12</v>
      </c>
      <c r="G312">
        <v>15539</v>
      </c>
      <c r="H312">
        <v>6.4354205547332496E-2</v>
      </c>
      <c r="I312">
        <v>5.5415079842920302E-2</v>
      </c>
      <c r="J312">
        <v>2.4493465290569998E-3</v>
      </c>
      <c r="K312">
        <v>5.541507984292033</v>
      </c>
      <c r="L312">
        <f t="shared" si="24"/>
        <v>0.4</v>
      </c>
      <c r="M312">
        <f t="shared" si="25"/>
        <v>0</v>
      </c>
      <c r="N312">
        <f t="shared" si="26"/>
        <v>0.16088551386833122</v>
      </c>
      <c r="O312">
        <f t="shared" si="27"/>
        <v>7.1111397129802406E-3</v>
      </c>
      <c r="P312">
        <f t="shared" si="28"/>
        <v>0.71111397129802412</v>
      </c>
      <c r="Q312">
        <f>VLOOKUP(C312,Sheet2!A:AU,47,0)</f>
        <v>2.8313421886564072</v>
      </c>
      <c r="R312">
        <f t="shared" si="29"/>
        <v>3.5424561599544315</v>
      </c>
    </row>
    <row r="313" spans="1:18" x14ac:dyDescent="0.3">
      <c r="A313" s="1">
        <v>311</v>
      </c>
      <c r="B313">
        <v>311</v>
      </c>
      <c r="C313" t="s">
        <v>372</v>
      </c>
      <c r="D313" t="s">
        <v>222</v>
      </c>
      <c r="E313">
        <v>1</v>
      </c>
      <c r="F313" t="s">
        <v>24</v>
      </c>
      <c r="G313">
        <v>22127</v>
      </c>
      <c r="H313">
        <v>4.51936548108645E-2</v>
      </c>
      <c r="I313">
        <v>3.3106795988313703E-2</v>
      </c>
      <c r="J313">
        <v>1.4633203826834001E-3</v>
      </c>
      <c r="K313">
        <v>3.310679598831376</v>
      </c>
      <c r="L313">
        <f t="shared" si="24"/>
        <v>0.4</v>
      </c>
      <c r="M313">
        <f t="shared" si="25"/>
        <v>0</v>
      </c>
      <c r="N313">
        <f t="shared" si="26"/>
        <v>0.11298413702716124</v>
      </c>
      <c r="O313">
        <f t="shared" si="27"/>
        <v>4.9938988566005276E-3</v>
      </c>
      <c r="P313">
        <f t="shared" si="28"/>
        <v>0.49938988566005277</v>
      </c>
      <c r="Q313">
        <f>VLOOKUP(C313,Sheet2!A:AU,47,0)</f>
        <v>0.96215434755969509</v>
      </c>
      <c r="R313">
        <f t="shared" si="29"/>
        <v>1.4615442332197479</v>
      </c>
    </row>
    <row r="314" spans="1:18" x14ac:dyDescent="0.3">
      <c r="A314" s="1">
        <v>312</v>
      </c>
      <c r="B314">
        <v>312</v>
      </c>
      <c r="C314" t="s">
        <v>373</v>
      </c>
      <c r="D314" t="s">
        <v>222</v>
      </c>
      <c r="E314">
        <v>1</v>
      </c>
      <c r="F314" t="s">
        <v>24</v>
      </c>
      <c r="G314">
        <v>6481</v>
      </c>
      <c r="H314">
        <v>0.15429717636167251</v>
      </c>
      <c r="I314">
        <v>0.16013405954500171</v>
      </c>
      <c r="J314">
        <v>7.0779254318889999E-3</v>
      </c>
      <c r="K314">
        <v>16.013405954500179</v>
      </c>
      <c r="L314">
        <f t="shared" si="24"/>
        <v>0.4</v>
      </c>
      <c r="M314">
        <f t="shared" si="25"/>
        <v>0</v>
      </c>
      <c r="N314">
        <f t="shared" si="26"/>
        <v>0.38574294090418126</v>
      </c>
      <c r="O314">
        <f t="shared" si="27"/>
        <v>1.7049837987964812E-2</v>
      </c>
      <c r="P314">
        <f t="shared" si="28"/>
        <v>1.7049837987964813</v>
      </c>
      <c r="Q314">
        <f>VLOOKUP(C314,Sheet2!A:AU,47,0)</f>
        <v>5.7545342257283503</v>
      </c>
      <c r="R314">
        <f t="shared" si="29"/>
        <v>7.4595180245248311</v>
      </c>
    </row>
    <row r="315" spans="1:18" x14ac:dyDescent="0.3">
      <c r="A315" s="1">
        <v>313</v>
      </c>
      <c r="B315">
        <v>313</v>
      </c>
      <c r="C315" t="s">
        <v>374</v>
      </c>
      <c r="D315" t="s">
        <v>222</v>
      </c>
      <c r="E315">
        <v>1</v>
      </c>
      <c r="F315" t="s">
        <v>24</v>
      </c>
      <c r="G315">
        <v>27081</v>
      </c>
      <c r="H315">
        <v>3.6926258262250197E-2</v>
      </c>
      <c r="I315">
        <v>2.3481215206125901E-2</v>
      </c>
      <c r="J315">
        <v>1.0378697121106999E-3</v>
      </c>
      <c r="K315">
        <v>2.3481215206125898</v>
      </c>
      <c r="L315">
        <f t="shared" si="24"/>
        <v>0.4</v>
      </c>
      <c r="M315">
        <f t="shared" si="25"/>
        <v>0</v>
      </c>
      <c r="N315">
        <f t="shared" si="26"/>
        <v>9.2315645655625486E-2</v>
      </c>
      <c r="O315">
        <f t="shared" si="27"/>
        <v>4.0803515379786472E-3</v>
      </c>
      <c r="P315">
        <f t="shared" si="28"/>
        <v>0.4080351537978647</v>
      </c>
      <c r="Q315">
        <f>VLOOKUP(C315,Sheet2!A:AU,47,0)</f>
        <v>0.61152587334747077</v>
      </c>
      <c r="R315">
        <f t="shared" si="29"/>
        <v>1.0195610271453355</v>
      </c>
    </row>
    <row r="316" spans="1:18" x14ac:dyDescent="0.3">
      <c r="A316" s="1">
        <v>314</v>
      </c>
      <c r="B316">
        <v>314</v>
      </c>
      <c r="C316" t="s">
        <v>375</v>
      </c>
      <c r="D316" t="s">
        <v>222</v>
      </c>
      <c r="E316">
        <v>1</v>
      </c>
      <c r="F316" t="s">
        <v>24</v>
      </c>
      <c r="G316">
        <v>14622</v>
      </c>
      <c r="H316">
        <v>6.8390097113937898E-2</v>
      </c>
      <c r="I316">
        <v>6.01139956471975E-2</v>
      </c>
      <c r="J316">
        <v>2.6570386076061E-3</v>
      </c>
      <c r="K316">
        <v>6.011399564719758</v>
      </c>
      <c r="L316">
        <f t="shared" si="24"/>
        <v>0.4</v>
      </c>
      <c r="M316">
        <f t="shared" si="25"/>
        <v>0</v>
      </c>
      <c r="N316">
        <f t="shared" si="26"/>
        <v>0.17097524278484474</v>
      </c>
      <c r="O316">
        <f t="shared" si="27"/>
        <v>7.5571057310901378E-3</v>
      </c>
      <c r="P316">
        <f t="shared" si="28"/>
        <v>0.75571057310901379</v>
      </c>
      <c r="Q316">
        <f>VLOOKUP(C316,Sheet2!A:AU,47,0)</f>
        <v>0.85527211812848003</v>
      </c>
      <c r="R316">
        <f t="shared" si="29"/>
        <v>1.6109826912374938</v>
      </c>
    </row>
    <row r="317" spans="1:18" x14ac:dyDescent="0.3">
      <c r="A317" s="1">
        <v>315</v>
      </c>
      <c r="B317">
        <v>315</v>
      </c>
      <c r="C317" t="s">
        <v>376</v>
      </c>
      <c r="D317" t="s">
        <v>222</v>
      </c>
      <c r="E317">
        <v>1</v>
      </c>
      <c r="F317" t="s">
        <v>24</v>
      </c>
      <c r="G317">
        <v>7835</v>
      </c>
      <c r="H317">
        <v>0.12763241863433311</v>
      </c>
      <c r="I317">
        <v>0.12908876275383779</v>
      </c>
      <c r="J317">
        <v>5.7057233137196E-3</v>
      </c>
      <c r="K317">
        <v>12.90887627538379</v>
      </c>
      <c r="L317">
        <f t="shared" si="24"/>
        <v>0.4</v>
      </c>
      <c r="M317">
        <f t="shared" si="25"/>
        <v>0</v>
      </c>
      <c r="N317">
        <f t="shared" si="26"/>
        <v>0.31908104658583275</v>
      </c>
      <c r="O317">
        <f t="shared" si="27"/>
        <v>1.4103382259093808E-2</v>
      </c>
      <c r="P317">
        <f t="shared" si="28"/>
        <v>1.4103382259093808</v>
      </c>
      <c r="Q317">
        <f>VLOOKUP(C317,Sheet2!A:AU,47,0)</f>
        <v>4.5019689630828665</v>
      </c>
      <c r="R317">
        <f t="shared" si="29"/>
        <v>5.9123071889922478</v>
      </c>
    </row>
    <row r="318" spans="1:18" x14ac:dyDescent="0.3">
      <c r="A318" s="1">
        <v>316</v>
      </c>
      <c r="B318">
        <v>316</v>
      </c>
      <c r="C318" t="s">
        <v>377</v>
      </c>
      <c r="D318" t="s">
        <v>222</v>
      </c>
      <c r="E318">
        <v>1</v>
      </c>
      <c r="F318" t="s">
        <v>24</v>
      </c>
      <c r="G318">
        <v>15562</v>
      </c>
      <c r="H318">
        <v>6.4259092661611603E-2</v>
      </c>
      <c r="I318">
        <v>5.5304341624479898E-2</v>
      </c>
      <c r="J318">
        <v>2.4444518998020001E-3</v>
      </c>
      <c r="K318">
        <v>5.530434162447996</v>
      </c>
      <c r="L318">
        <f t="shared" si="24"/>
        <v>0.4</v>
      </c>
      <c r="M318">
        <f t="shared" si="25"/>
        <v>0</v>
      </c>
      <c r="N318">
        <f t="shared" si="26"/>
        <v>0.16064773165402899</v>
      </c>
      <c r="O318">
        <f t="shared" si="27"/>
        <v>7.1006297391080818E-3</v>
      </c>
      <c r="P318">
        <f t="shared" si="28"/>
        <v>0.71006297391080819</v>
      </c>
      <c r="Q318">
        <f>VLOOKUP(C318,Sheet2!A:AU,47,0)</f>
        <v>1.6734954475133137</v>
      </c>
      <c r="R318">
        <f t="shared" si="29"/>
        <v>2.3835584214241221</v>
      </c>
    </row>
    <row r="319" spans="1:18" x14ac:dyDescent="0.3">
      <c r="A319" s="1">
        <v>317</v>
      </c>
      <c r="B319">
        <v>317</v>
      </c>
      <c r="C319" t="s">
        <v>378</v>
      </c>
      <c r="D319" t="s">
        <v>39</v>
      </c>
      <c r="E319">
        <v>1</v>
      </c>
      <c r="F319" t="s">
        <v>12</v>
      </c>
      <c r="G319">
        <v>32596</v>
      </c>
      <c r="H319">
        <v>3.0678610872499599E-2</v>
      </c>
      <c r="I319">
        <v>1.62071919637365E-2</v>
      </c>
      <c r="J319">
        <v>7.1635788479709999E-4</v>
      </c>
      <c r="K319">
        <v>1.6207191963736569</v>
      </c>
      <c r="L319">
        <f t="shared" si="24"/>
        <v>0.4</v>
      </c>
      <c r="M319">
        <f t="shared" si="25"/>
        <v>0</v>
      </c>
      <c r="N319">
        <f t="shared" si="26"/>
        <v>7.6696527181248988E-2</v>
      </c>
      <c r="O319">
        <f t="shared" si="27"/>
        <v>3.3899865014112057E-3</v>
      </c>
      <c r="P319">
        <f t="shared" si="28"/>
        <v>0.33899865014112057</v>
      </c>
      <c r="Q319">
        <f>VLOOKUP(C319,Sheet2!A:AU,47,0)</f>
        <v>0.55171308021021936</v>
      </c>
      <c r="R319">
        <f t="shared" si="29"/>
        <v>0.89071173035133988</v>
      </c>
    </row>
    <row r="320" spans="1:18" x14ac:dyDescent="0.3">
      <c r="A320" s="1">
        <v>318</v>
      </c>
      <c r="B320">
        <v>318</v>
      </c>
      <c r="C320" t="s">
        <v>379</v>
      </c>
      <c r="D320" t="s">
        <v>39</v>
      </c>
      <c r="E320">
        <v>1</v>
      </c>
      <c r="F320" t="s">
        <v>12</v>
      </c>
      <c r="G320">
        <v>14454</v>
      </c>
      <c r="H320">
        <v>6.9185000691850004E-2</v>
      </c>
      <c r="I320">
        <v>6.1039487554867697E-2</v>
      </c>
      <c r="J320">
        <v>2.6979453499251E-3</v>
      </c>
      <c r="K320">
        <v>6.1039487554867797</v>
      </c>
      <c r="L320">
        <f t="shared" si="24"/>
        <v>0.4</v>
      </c>
      <c r="M320">
        <f t="shared" si="25"/>
        <v>0</v>
      </c>
      <c r="N320">
        <f t="shared" si="26"/>
        <v>0.17296250172962499</v>
      </c>
      <c r="O320">
        <f t="shared" si="27"/>
        <v>7.6449425764494247E-3</v>
      </c>
      <c r="P320">
        <f t="shared" si="28"/>
        <v>0.7644942576449425</v>
      </c>
      <c r="Q320">
        <f>VLOOKUP(C320,Sheet2!A:AU,47,0)</f>
        <v>1.2961778665873356</v>
      </c>
      <c r="R320">
        <f t="shared" si="29"/>
        <v>2.0606721242322781</v>
      </c>
    </row>
    <row r="321" spans="1:18" x14ac:dyDescent="0.3">
      <c r="A321" s="1">
        <v>319</v>
      </c>
      <c r="B321">
        <v>319</v>
      </c>
      <c r="C321" t="s">
        <v>380</v>
      </c>
      <c r="D321" t="s">
        <v>39</v>
      </c>
      <c r="E321">
        <v>1</v>
      </c>
      <c r="F321" t="s">
        <v>12</v>
      </c>
      <c r="G321">
        <v>16896</v>
      </c>
      <c r="H321">
        <v>5.9185606060606001E-2</v>
      </c>
      <c r="I321">
        <v>4.9397372624243402E-2</v>
      </c>
      <c r="J321">
        <v>2.1833638699915001E-3</v>
      </c>
      <c r="K321">
        <v>4.9397372624243463</v>
      </c>
      <c r="L321">
        <f t="shared" si="24"/>
        <v>0.4</v>
      </c>
      <c r="M321">
        <f t="shared" si="25"/>
        <v>0</v>
      </c>
      <c r="N321">
        <f t="shared" si="26"/>
        <v>0.147964015151515</v>
      </c>
      <c r="O321">
        <f t="shared" si="27"/>
        <v>6.540009469696963E-3</v>
      </c>
      <c r="P321">
        <f t="shared" si="28"/>
        <v>0.65400094696969635</v>
      </c>
      <c r="Q321">
        <f>VLOOKUP(C321,Sheet2!A:AU,47,0)</f>
        <v>0.6162166204944306</v>
      </c>
      <c r="R321">
        <f t="shared" si="29"/>
        <v>1.270217567464127</v>
      </c>
    </row>
    <row r="322" spans="1:18" x14ac:dyDescent="0.3">
      <c r="A322" s="1">
        <v>320</v>
      </c>
      <c r="B322">
        <v>320</v>
      </c>
      <c r="C322" t="s">
        <v>381</v>
      </c>
      <c r="D322" t="s">
        <v>97</v>
      </c>
      <c r="E322">
        <v>2</v>
      </c>
      <c r="F322" t="s">
        <v>24</v>
      </c>
      <c r="G322">
        <v>26519</v>
      </c>
      <c r="H322">
        <v>7.54176250989856E-2</v>
      </c>
      <c r="I322">
        <v>6.8296019809386904E-2</v>
      </c>
      <c r="J322">
        <v>3.0186840755748998E-3</v>
      </c>
      <c r="K322">
        <v>6.8296019809386959</v>
      </c>
      <c r="L322">
        <f t="shared" si="24"/>
        <v>0.4</v>
      </c>
      <c r="M322">
        <f t="shared" si="25"/>
        <v>0</v>
      </c>
      <c r="N322">
        <f t="shared" si="26"/>
        <v>0.18854406274746399</v>
      </c>
      <c r="O322">
        <f t="shared" si="27"/>
        <v>8.3336475734379096E-3</v>
      </c>
      <c r="P322">
        <f t="shared" si="28"/>
        <v>0.83336475734379101</v>
      </c>
      <c r="Q322">
        <f>VLOOKUP(C322,Sheet2!A:AU,47,0)</f>
        <v>1.5372382763834729</v>
      </c>
      <c r="R322">
        <f t="shared" si="29"/>
        <v>2.3706030337272637</v>
      </c>
    </row>
    <row r="323" spans="1:18" x14ac:dyDescent="0.3">
      <c r="A323" s="1">
        <v>321</v>
      </c>
      <c r="B323">
        <v>321</v>
      </c>
      <c r="C323" t="s">
        <v>382</v>
      </c>
      <c r="D323" t="s">
        <v>225</v>
      </c>
      <c r="E323">
        <v>2</v>
      </c>
      <c r="F323" t="s">
        <v>12</v>
      </c>
      <c r="G323">
        <v>40426</v>
      </c>
      <c r="H323">
        <v>4.9473111363973601E-2</v>
      </c>
      <c r="I323">
        <v>3.8089290116131901E-2</v>
      </c>
      <c r="J323">
        <v>1.683546623133E-3</v>
      </c>
      <c r="K323">
        <v>3.808929011613198</v>
      </c>
      <c r="L323">
        <f t="shared" ref="L323:L386" si="30">MAX(H:H)</f>
        <v>0.4</v>
      </c>
      <c r="M323">
        <f t="shared" ref="M323:M386" si="31">MIN(H:H)</f>
        <v>0</v>
      </c>
      <c r="N323">
        <f t="shared" ref="N323:N386" si="32">(H323-M323)/(L323-M323)</f>
        <v>0.123682778409934</v>
      </c>
      <c r="O323">
        <f t="shared" ref="O323:O386" si="33">N323*0.0442</f>
        <v>5.4667788057190829E-3</v>
      </c>
      <c r="P323">
        <f t="shared" ref="P323:P386" si="34">O323*100</f>
        <v>0.54667788057190825</v>
      </c>
      <c r="Q323">
        <f>VLOOKUP(C323,Sheet2!A:AU,47,0)</f>
        <v>0.67910070716800763</v>
      </c>
      <c r="R323">
        <f t="shared" ref="R323:R386" si="35">IFERROR((P323+Q323),0)</f>
        <v>1.2257785877399159</v>
      </c>
    </row>
    <row r="324" spans="1:18" x14ac:dyDescent="0.3">
      <c r="A324" s="1">
        <v>322</v>
      </c>
      <c r="B324">
        <v>322</v>
      </c>
      <c r="C324" t="s">
        <v>383</v>
      </c>
      <c r="D324" t="s">
        <v>225</v>
      </c>
      <c r="E324">
        <v>1</v>
      </c>
      <c r="F324" t="s">
        <v>12</v>
      </c>
      <c r="G324">
        <v>20712</v>
      </c>
      <c r="H324">
        <v>4.8281189648512898E-2</v>
      </c>
      <c r="I324">
        <v>3.6701557147143703E-2</v>
      </c>
      <c r="J324">
        <v>1.6222088259037E-3</v>
      </c>
      <c r="K324">
        <v>3.6701557147143768</v>
      </c>
      <c r="L324">
        <f t="shared" si="30"/>
        <v>0.4</v>
      </c>
      <c r="M324">
        <f t="shared" si="31"/>
        <v>0</v>
      </c>
      <c r="N324">
        <f t="shared" si="32"/>
        <v>0.12070297412128224</v>
      </c>
      <c r="O324">
        <f t="shared" si="33"/>
        <v>5.3350714561606755E-3</v>
      </c>
      <c r="P324">
        <f t="shared" si="34"/>
        <v>0.5335071456160676</v>
      </c>
      <c r="Q324">
        <f>VLOOKUP(C324,Sheet2!A:AU,47,0)</f>
        <v>1.0976660476891675</v>
      </c>
      <c r="R324">
        <f t="shared" si="35"/>
        <v>1.6311731933052351</v>
      </c>
    </row>
    <row r="325" spans="1:18" x14ac:dyDescent="0.3">
      <c r="A325" s="1">
        <v>323</v>
      </c>
      <c r="B325">
        <v>323</v>
      </c>
      <c r="C325" t="s">
        <v>384</v>
      </c>
      <c r="D325" t="s">
        <v>143</v>
      </c>
      <c r="E325">
        <v>1</v>
      </c>
      <c r="F325" t="s">
        <v>24</v>
      </c>
      <c r="G325">
        <v>8855</v>
      </c>
      <c r="H325">
        <v>0.1129305477131564</v>
      </c>
      <c r="I325">
        <v>0.11197163944071881</v>
      </c>
      <c r="J325">
        <v>4.9491464632796999E-3</v>
      </c>
      <c r="K325">
        <v>11.19716394407188</v>
      </c>
      <c r="L325">
        <f t="shared" si="30"/>
        <v>0.4</v>
      </c>
      <c r="M325">
        <f t="shared" si="31"/>
        <v>0</v>
      </c>
      <c r="N325">
        <f t="shared" si="32"/>
        <v>0.28232636928289101</v>
      </c>
      <c r="O325">
        <f t="shared" si="33"/>
        <v>1.2478825522303784E-2</v>
      </c>
      <c r="P325">
        <f t="shared" si="34"/>
        <v>1.2478825522303785</v>
      </c>
      <c r="Q325">
        <f>VLOOKUP(C325,Sheet2!A:AU,47,0)</f>
        <v>3.1140731257996128</v>
      </c>
      <c r="R325">
        <f t="shared" si="35"/>
        <v>4.3619556780299913</v>
      </c>
    </row>
    <row r="326" spans="1:18" x14ac:dyDescent="0.3">
      <c r="A326" s="1">
        <v>324</v>
      </c>
      <c r="B326">
        <v>324</v>
      </c>
      <c r="C326" t="s">
        <v>385</v>
      </c>
      <c r="D326" t="s">
        <v>182</v>
      </c>
      <c r="E326">
        <v>2</v>
      </c>
      <c r="F326" t="s">
        <v>24</v>
      </c>
      <c r="G326">
        <v>21332</v>
      </c>
      <c r="H326">
        <v>9.3755859741233794E-2</v>
      </c>
      <c r="I326">
        <v>8.9646895857695294E-2</v>
      </c>
      <c r="J326">
        <v>3.9623927969100999E-3</v>
      </c>
      <c r="K326">
        <v>8.9646895857695341</v>
      </c>
      <c r="L326">
        <f t="shared" si="30"/>
        <v>0.4</v>
      </c>
      <c r="M326">
        <f t="shared" si="31"/>
        <v>0</v>
      </c>
      <c r="N326">
        <f t="shared" si="32"/>
        <v>0.23438964935308448</v>
      </c>
      <c r="O326">
        <f t="shared" si="33"/>
        <v>1.0360022501406335E-2</v>
      </c>
      <c r="P326">
        <f t="shared" si="34"/>
        <v>1.0360022501406334</v>
      </c>
      <c r="Q326">
        <f>VLOOKUP(C326,Sheet2!A:AU,47,0)</f>
        <v>1.8456425906486627</v>
      </c>
      <c r="R326">
        <f t="shared" si="35"/>
        <v>2.8816448407892961</v>
      </c>
    </row>
    <row r="327" spans="1:18" x14ac:dyDescent="0.3">
      <c r="A327" s="1">
        <v>325</v>
      </c>
      <c r="B327">
        <v>325</v>
      </c>
      <c r="C327" t="s">
        <v>386</v>
      </c>
      <c r="D327" t="s">
        <v>91</v>
      </c>
      <c r="E327">
        <v>3</v>
      </c>
      <c r="F327" t="s">
        <v>24</v>
      </c>
      <c r="G327">
        <v>30521</v>
      </c>
      <c r="H327">
        <v>9.8292978604894998E-2</v>
      </c>
      <c r="I327">
        <v>9.4929381569340401E-2</v>
      </c>
      <c r="J327">
        <v>4.1958786653647998E-3</v>
      </c>
      <c r="K327">
        <v>9.4929381569340485</v>
      </c>
      <c r="L327">
        <f t="shared" si="30"/>
        <v>0.4</v>
      </c>
      <c r="M327">
        <f t="shared" si="31"/>
        <v>0</v>
      </c>
      <c r="N327">
        <f t="shared" si="32"/>
        <v>0.2457324465122375</v>
      </c>
      <c r="O327">
        <f t="shared" si="33"/>
        <v>1.0861374135840898E-2</v>
      </c>
      <c r="P327">
        <f t="shared" si="34"/>
        <v>1.0861374135840898</v>
      </c>
      <c r="Q327">
        <f>VLOOKUP(C327,Sheet2!A:AU,47,0)</f>
        <v>1.8650480466986596</v>
      </c>
      <c r="R327">
        <f t="shared" si="35"/>
        <v>2.9511854602827494</v>
      </c>
    </row>
    <row r="328" spans="1:18" x14ac:dyDescent="0.3">
      <c r="A328" s="1">
        <v>326</v>
      </c>
      <c r="B328">
        <v>326</v>
      </c>
      <c r="C328" t="s">
        <v>387</v>
      </c>
      <c r="D328" t="s">
        <v>148</v>
      </c>
      <c r="E328">
        <v>1</v>
      </c>
      <c r="F328" t="s">
        <v>12</v>
      </c>
      <c r="G328">
        <v>18186</v>
      </c>
      <c r="H328">
        <v>5.4987352908830903E-2</v>
      </c>
      <c r="I328">
        <v>4.45094221529116E-2</v>
      </c>
      <c r="J328">
        <v>1.9673164591585998E-3</v>
      </c>
      <c r="K328">
        <v>4.4509422152911666</v>
      </c>
      <c r="L328">
        <f t="shared" si="30"/>
        <v>0.4</v>
      </c>
      <c r="M328">
        <f t="shared" si="31"/>
        <v>0</v>
      </c>
      <c r="N328">
        <f t="shared" si="32"/>
        <v>0.13746838227207725</v>
      </c>
      <c r="O328">
        <f t="shared" si="33"/>
        <v>6.0761024964258153E-3</v>
      </c>
      <c r="P328">
        <f t="shared" si="34"/>
        <v>0.60761024964258148</v>
      </c>
      <c r="Q328">
        <f>VLOOKUP(C328,Sheet2!A:AU,47,0)</f>
        <v>1.1596562344636157</v>
      </c>
      <c r="R328">
        <f t="shared" si="35"/>
        <v>1.7672664841061971</v>
      </c>
    </row>
    <row r="329" spans="1:18" x14ac:dyDescent="0.3">
      <c r="A329" s="1">
        <v>327</v>
      </c>
      <c r="B329">
        <v>327</v>
      </c>
      <c r="C329" t="s">
        <v>388</v>
      </c>
      <c r="D329" t="s">
        <v>148</v>
      </c>
      <c r="E329">
        <v>2</v>
      </c>
      <c r="F329" t="s">
        <v>12</v>
      </c>
      <c r="G329">
        <v>22477</v>
      </c>
      <c r="H329">
        <v>8.8979846064866294E-2</v>
      </c>
      <c r="I329">
        <v>8.40862692216819E-2</v>
      </c>
      <c r="J329">
        <v>3.7166130995983002E-3</v>
      </c>
      <c r="K329">
        <v>8.4086269221681977</v>
      </c>
      <c r="L329">
        <f t="shared" si="30"/>
        <v>0.4</v>
      </c>
      <c r="M329">
        <f t="shared" si="31"/>
        <v>0</v>
      </c>
      <c r="N329">
        <f t="shared" si="32"/>
        <v>0.22244961516216571</v>
      </c>
      <c r="O329">
        <f t="shared" si="33"/>
        <v>9.8322729901677251E-3</v>
      </c>
      <c r="P329">
        <f t="shared" si="34"/>
        <v>0.98322729901677253</v>
      </c>
      <c r="Q329">
        <f>VLOOKUP(C329,Sheet2!A:AU,47,0)</f>
        <v>1.919446760143265</v>
      </c>
      <c r="R329">
        <f t="shared" si="35"/>
        <v>2.9026740591600375</v>
      </c>
    </row>
    <row r="330" spans="1:18" x14ac:dyDescent="0.3">
      <c r="A330" s="1">
        <v>328</v>
      </c>
      <c r="B330">
        <v>328</v>
      </c>
      <c r="C330" t="s">
        <v>389</v>
      </c>
      <c r="D330" t="s">
        <v>164</v>
      </c>
      <c r="E330">
        <v>1</v>
      </c>
      <c r="F330" t="s">
        <v>24</v>
      </c>
      <c r="G330">
        <v>16018</v>
      </c>
      <c r="H330">
        <v>6.24297665126732E-2</v>
      </c>
      <c r="I330">
        <v>5.3174490162773203E-2</v>
      </c>
      <c r="J330">
        <v>2.3503124651944999E-3</v>
      </c>
      <c r="K330">
        <v>5.3174490162773287</v>
      </c>
      <c r="L330">
        <f t="shared" si="30"/>
        <v>0.4</v>
      </c>
      <c r="M330">
        <f t="shared" si="31"/>
        <v>0</v>
      </c>
      <c r="N330">
        <f t="shared" si="32"/>
        <v>0.156074416281683</v>
      </c>
      <c r="O330">
        <f t="shared" si="33"/>
        <v>6.8984891996503889E-3</v>
      </c>
      <c r="P330">
        <f t="shared" si="34"/>
        <v>0.68984891996503894</v>
      </c>
      <c r="Q330">
        <f>VLOOKUP(C330,Sheet2!A:AU,47,0)</f>
        <v>1.2569359511055846</v>
      </c>
      <c r="R330">
        <f t="shared" si="35"/>
        <v>1.9467848710706237</v>
      </c>
    </row>
    <row r="331" spans="1:18" x14ac:dyDescent="0.3">
      <c r="A331" s="1">
        <v>329</v>
      </c>
      <c r="B331">
        <v>329</v>
      </c>
      <c r="C331" t="s">
        <v>390</v>
      </c>
      <c r="D331" t="s">
        <v>164</v>
      </c>
      <c r="E331">
        <v>2</v>
      </c>
      <c r="F331" t="s">
        <v>24</v>
      </c>
      <c r="G331">
        <v>16344</v>
      </c>
      <c r="H331">
        <v>0.12236906510034259</v>
      </c>
      <c r="I331">
        <v>0.1229607351058679</v>
      </c>
      <c r="J331">
        <v>5.4348644916792999E-3</v>
      </c>
      <c r="K331">
        <v>12.296073510586799</v>
      </c>
      <c r="L331">
        <f t="shared" si="30"/>
        <v>0.4</v>
      </c>
      <c r="M331">
        <f t="shared" si="31"/>
        <v>0</v>
      </c>
      <c r="N331">
        <f t="shared" si="32"/>
        <v>0.30592266275085644</v>
      </c>
      <c r="O331">
        <f t="shared" si="33"/>
        <v>1.3521781693587856E-2</v>
      </c>
      <c r="P331">
        <f t="shared" si="34"/>
        <v>1.3521781693587855</v>
      </c>
      <c r="Q331">
        <f>VLOOKUP(C331,Sheet2!A:AU,47,0)</f>
        <v>3.1876477601174611</v>
      </c>
      <c r="R331">
        <f t="shared" si="35"/>
        <v>4.5398259294762466</v>
      </c>
    </row>
    <row r="332" spans="1:18" x14ac:dyDescent="0.3">
      <c r="A332" s="1">
        <v>330</v>
      </c>
      <c r="B332">
        <v>330</v>
      </c>
      <c r="C332" t="s">
        <v>391</v>
      </c>
      <c r="D332" t="s">
        <v>85</v>
      </c>
      <c r="E332">
        <v>2</v>
      </c>
      <c r="F332" t="s">
        <v>24</v>
      </c>
      <c r="G332">
        <v>21929</v>
      </c>
      <c r="H332">
        <v>9.1203429248939705E-2</v>
      </c>
      <c r="I332">
        <v>8.6675147042935205E-2</v>
      </c>
      <c r="J332">
        <v>3.8310414992976998E-3</v>
      </c>
      <c r="K332">
        <v>8.6675147042935254</v>
      </c>
      <c r="L332">
        <f t="shared" si="30"/>
        <v>0.4</v>
      </c>
      <c r="M332">
        <f t="shared" si="31"/>
        <v>0</v>
      </c>
      <c r="N332">
        <f t="shared" si="32"/>
        <v>0.22800857312234926</v>
      </c>
      <c r="O332">
        <f t="shared" si="33"/>
        <v>1.0077978932007839E-2</v>
      </c>
      <c r="P332">
        <f t="shared" si="34"/>
        <v>1.0077978932007838</v>
      </c>
      <c r="Q332">
        <f>VLOOKUP(C332,Sheet2!A:AU,47,0)</f>
        <v>2.3209495491419152</v>
      </c>
      <c r="R332">
        <f t="shared" si="35"/>
        <v>3.3287474423426993</v>
      </c>
    </row>
    <row r="333" spans="1:18" x14ac:dyDescent="0.3">
      <c r="A333" s="1">
        <v>331</v>
      </c>
      <c r="B333">
        <v>331</v>
      </c>
      <c r="C333" t="s">
        <v>392</v>
      </c>
      <c r="D333" t="s">
        <v>36</v>
      </c>
      <c r="E333">
        <v>4</v>
      </c>
      <c r="F333" t="s">
        <v>12</v>
      </c>
      <c r="G333">
        <v>44376</v>
      </c>
      <c r="H333">
        <v>9.0138813773210702E-2</v>
      </c>
      <c r="I333">
        <v>8.54356344341788E-2</v>
      </c>
      <c r="J333">
        <v>3.7762550419907E-3</v>
      </c>
      <c r="K333">
        <v>8.5435634434178809</v>
      </c>
      <c r="L333">
        <f t="shared" si="30"/>
        <v>0.4</v>
      </c>
      <c r="M333">
        <f t="shared" si="31"/>
        <v>0</v>
      </c>
      <c r="N333">
        <f t="shared" si="32"/>
        <v>0.22534703443302675</v>
      </c>
      <c r="O333">
        <f t="shared" si="33"/>
        <v>9.9603389219397841E-3</v>
      </c>
      <c r="P333">
        <f t="shared" si="34"/>
        <v>0.99603389219397842</v>
      </c>
      <c r="Q333">
        <f>VLOOKUP(C333,Sheet2!A:AU,47,0)</f>
        <v>2.2853359483150815</v>
      </c>
      <c r="R333">
        <f t="shared" si="35"/>
        <v>3.2813698405090599</v>
      </c>
    </row>
    <row r="334" spans="1:18" x14ac:dyDescent="0.3">
      <c r="A334" s="1">
        <v>332</v>
      </c>
      <c r="B334">
        <v>332</v>
      </c>
      <c r="C334" t="s">
        <v>393</v>
      </c>
      <c r="D334" t="s">
        <v>298</v>
      </c>
      <c r="E334">
        <v>4</v>
      </c>
      <c r="F334" t="s">
        <v>17</v>
      </c>
      <c r="G334">
        <v>16045</v>
      </c>
      <c r="H334">
        <v>0.24929884699283261</v>
      </c>
      <c r="I334">
        <v>0.27074279226102349</v>
      </c>
      <c r="J334">
        <v>1.1966831417937199E-2</v>
      </c>
      <c r="K334">
        <v>27.074279226102352</v>
      </c>
      <c r="L334">
        <f t="shared" si="30"/>
        <v>0.4</v>
      </c>
      <c r="M334">
        <f t="shared" si="31"/>
        <v>0</v>
      </c>
      <c r="N334">
        <f t="shared" si="32"/>
        <v>0.6232471174820815</v>
      </c>
      <c r="O334">
        <f t="shared" si="33"/>
        <v>2.7547522592708006E-2</v>
      </c>
      <c r="P334">
        <f t="shared" si="34"/>
        <v>2.7547522592708007</v>
      </c>
      <c r="Q334">
        <f>VLOOKUP(C334,Sheet2!A:AU,47,0)</f>
        <v>8.0399999999999991</v>
      </c>
      <c r="R334">
        <f t="shared" si="35"/>
        <v>10.794752259270799</v>
      </c>
    </row>
    <row r="335" spans="1:18" x14ac:dyDescent="0.3">
      <c r="A335" s="1">
        <v>333</v>
      </c>
      <c r="B335">
        <v>333</v>
      </c>
      <c r="C335" t="s">
        <v>394</v>
      </c>
      <c r="D335" t="s">
        <v>298</v>
      </c>
      <c r="E335">
        <v>1</v>
      </c>
      <c r="F335" t="s">
        <v>17</v>
      </c>
      <c r="G335">
        <v>19066</v>
      </c>
      <c r="H335">
        <v>5.2449386342179799E-2</v>
      </c>
      <c r="I335">
        <v>4.15545134260661E-2</v>
      </c>
      <c r="J335">
        <v>1.8367094934321E-3</v>
      </c>
      <c r="K335">
        <v>4.1554513426066144</v>
      </c>
      <c r="L335">
        <f t="shared" si="30"/>
        <v>0.4</v>
      </c>
      <c r="M335">
        <f t="shared" si="31"/>
        <v>0</v>
      </c>
      <c r="N335">
        <f t="shared" si="32"/>
        <v>0.13112346585544948</v>
      </c>
      <c r="O335">
        <f t="shared" si="33"/>
        <v>5.7956571908108672E-3</v>
      </c>
      <c r="P335">
        <f t="shared" si="34"/>
        <v>0.57956571908108667</v>
      </c>
      <c r="Q335">
        <f>VLOOKUP(C335,Sheet2!A:AU,47,0)</f>
        <v>1.0950068597587757</v>
      </c>
      <c r="R335">
        <f t="shared" si="35"/>
        <v>1.6745725788398622</v>
      </c>
    </row>
    <row r="336" spans="1:18" x14ac:dyDescent="0.3">
      <c r="A336" s="1">
        <v>334</v>
      </c>
      <c r="B336">
        <v>334</v>
      </c>
      <c r="C336" t="s">
        <v>395</v>
      </c>
      <c r="D336" t="s">
        <v>298</v>
      </c>
      <c r="E336">
        <v>1</v>
      </c>
      <c r="F336" t="s">
        <v>17</v>
      </c>
      <c r="G336">
        <v>14281</v>
      </c>
      <c r="H336">
        <v>7.0023107625516404E-2</v>
      </c>
      <c r="I336">
        <v>6.2015280350904603E-2</v>
      </c>
      <c r="J336">
        <v>2.7410753915099E-3</v>
      </c>
      <c r="K336">
        <v>6.2015280350904671</v>
      </c>
      <c r="L336">
        <f t="shared" si="30"/>
        <v>0.4</v>
      </c>
      <c r="M336">
        <f t="shared" si="31"/>
        <v>0</v>
      </c>
      <c r="N336">
        <f t="shared" si="32"/>
        <v>0.175057769063791</v>
      </c>
      <c r="O336">
        <f t="shared" si="33"/>
        <v>7.737553392619563E-3</v>
      </c>
      <c r="P336">
        <f t="shared" si="34"/>
        <v>0.77375533926195628</v>
      </c>
      <c r="Q336">
        <f>VLOOKUP(C336,Sheet2!A:AU,47,0)</f>
        <v>1.9185887695326667</v>
      </c>
      <c r="R336">
        <f t="shared" si="35"/>
        <v>2.6923441087946229</v>
      </c>
    </row>
    <row r="337" spans="1:18" x14ac:dyDescent="0.3">
      <c r="A337" s="1">
        <v>335</v>
      </c>
      <c r="B337">
        <v>335</v>
      </c>
      <c r="C337" t="s">
        <v>396</v>
      </c>
      <c r="D337" t="s">
        <v>48</v>
      </c>
      <c r="E337">
        <v>1</v>
      </c>
      <c r="F337" t="s">
        <v>17</v>
      </c>
      <c r="G337">
        <v>5004</v>
      </c>
      <c r="H337">
        <v>0.1998401278976818</v>
      </c>
      <c r="I337">
        <v>0.2131588971092048</v>
      </c>
      <c r="J337">
        <v>9.4216232522268007E-3</v>
      </c>
      <c r="K337">
        <v>21.31588971092048</v>
      </c>
      <c r="L337">
        <f t="shared" si="30"/>
        <v>0.4</v>
      </c>
      <c r="M337">
        <f t="shared" si="31"/>
        <v>0</v>
      </c>
      <c r="N337">
        <f t="shared" si="32"/>
        <v>0.49960031974420449</v>
      </c>
      <c r="O337">
        <f t="shared" si="33"/>
        <v>2.2082334132693841E-2</v>
      </c>
      <c r="P337">
        <f t="shared" si="34"/>
        <v>2.2082334132693839</v>
      </c>
      <c r="Q337">
        <f>VLOOKUP(C337,Sheet2!A:AU,47,0)</f>
        <v>8.0399999999999991</v>
      </c>
      <c r="R337">
        <f t="shared" si="35"/>
        <v>10.248233413269382</v>
      </c>
    </row>
    <row r="338" spans="1:18" x14ac:dyDescent="0.3">
      <c r="A338" s="1">
        <v>336</v>
      </c>
      <c r="B338">
        <v>336</v>
      </c>
      <c r="C338" t="s">
        <v>397</v>
      </c>
      <c r="D338" t="s">
        <v>16</v>
      </c>
      <c r="E338">
        <v>5</v>
      </c>
      <c r="F338" t="s">
        <v>17</v>
      </c>
      <c r="G338">
        <v>36166</v>
      </c>
      <c r="H338">
        <v>0.13825139633910299</v>
      </c>
      <c r="I338">
        <v>0.14145224708901799</v>
      </c>
      <c r="J338">
        <v>6.2521893213344998E-3</v>
      </c>
      <c r="K338">
        <v>14.1452247089018</v>
      </c>
      <c r="L338">
        <f t="shared" si="30"/>
        <v>0.4</v>
      </c>
      <c r="M338">
        <f t="shared" si="31"/>
        <v>0</v>
      </c>
      <c r="N338">
        <f t="shared" si="32"/>
        <v>0.34562849084775749</v>
      </c>
      <c r="O338">
        <f t="shared" si="33"/>
        <v>1.5276779295470881E-2</v>
      </c>
      <c r="P338">
        <f t="shared" si="34"/>
        <v>1.5276779295470881</v>
      </c>
      <c r="Q338">
        <f>VLOOKUP(C338,Sheet2!A:AU,47,0)</f>
        <v>3.8743652888295039</v>
      </c>
      <c r="R338">
        <f t="shared" si="35"/>
        <v>5.4020432183765923</v>
      </c>
    </row>
    <row r="339" spans="1:18" x14ac:dyDescent="0.3">
      <c r="A339" s="1">
        <v>337</v>
      </c>
      <c r="B339">
        <v>337</v>
      </c>
      <c r="C339" t="s">
        <v>398</v>
      </c>
      <c r="D339" t="s">
        <v>72</v>
      </c>
      <c r="E339">
        <v>1</v>
      </c>
      <c r="F339" t="s">
        <v>12</v>
      </c>
      <c r="G339">
        <v>41039</v>
      </c>
      <c r="H339">
        <v>2.4367065474304901E-2</v>
      </c>
      <c r="I339">
        <v>8.8587734218736995E-3</v>
      </c>
      <c r="J339">
        <v>3.9155778524679999E-4</v>
      </c>
      <c r="K339">
        <v>0.88587734218737468</v>
      </c>
      <c r="L339">
        <f t="shared" si="30"/>
        <v>0.4</v>
      </c>
      <c r="M339">
        <f t="shared" si="31"/>
        <v>0</v>
      </c>
      <c r="N339">
        <f t="shared" si="32"/>
        <v>6.0917663685762249E-2</v>
      </c>
      <c r="O339">
        <f t="shared" si="33"/>
        <v>2.6925607349106914E-3</v>
      </c>
      <c r="P339">
        <f t="shared" si="34"/>
        <v>0.26925607349106917</v>
      </c>
      <c r="Q339">
        <f>VLOOKUP(C339,Sheet2!A:AU,47,0)</f>
        <v>0.13828220565399676</v>
      </c>
      <c r="R339">
        <f t="shared" si="35"/>
        <v>0.40753827914506591</v>
      </c>
    </row>
    <row r="340" spans="1:18" x14ac:dyDescent="0.3">
      <c r="A340" s="1">
        <v>338</v>
      </c>
      <c r="B340">
        <v>338</v>
      </c>
      <c r="C340" t="s">
        <v>399</v>
      </c>
      <c r="D340" t="s">
        <v>89</v>
      </c>
      <c r="E340">
        <v>2</v>
      </c>
      <c r="F340" t="s">
        <v>24</v>
      </c>
      <c r="G340">
        <v>34192</v>
      </c>
      <c r="H340">
        <v>5.8493214787084698E-2</v>
      </c>
      <c r="I340">
        <v>4.8591233944796801E-2</v>
      </c>
      <c r="J340">
        <v>2.1477325403600001E-3</v>
      </c>
      <c r="K340">
        <v>4.8591233944796803</v>
      </c>
      <c r="L340">
        <f t="shared" si="30"/>
        <v>0.4</v>
      </c>
      <c r="M340">
        <f t="shared" si="31"/>
        <v>0</v>
      </c>
      <c r="N340">
        <f t="shared" si="32"/>
        <v>0.14623303696771173</v>
      </c>
      <c r="O340">
        <f t="shared" si="33"/>
        <v>6.4635002339728589E-3</v>
      </c>
      <c r="P340">
        <f t="shared" si="34"/>
        <v>0.64635002339728587</v>
      </c>
      <c r="Q340">
        <f>VLOOKUP(C340,Sheet2!A:AU,47,0)</f>
        <v>0.6665247808603697</v>
      </c>
      <c r="R340">
        <f t="shared" si="35"/>
        <v>1.3128748042576555</v>
      </c>
    </row>
    <row r="341" spans="1:18" x14ac:dyDescent="0.3">
      <c r="A341" s="1">
        <v>339</v>
      </c>
      <c r="B341">
        <v>339</v>
      </c>
      <c r="C341" t="s">
        <v>400</v>
      </c>
      <c r="D341" t="s">
        <v>148</v>
      </c>
      <c r="E341">
        <v>1</v>
      </c>
      <c r="F341" t="s">
        <v>12</v>
      </c>
      <c r="G341">
        <v>20288</v>
      </c>
      <c r="H341">
        <v>4.9290220820189197E-2</v>
      </c>
      <c r="I341">
        <v>3.7876353952595601E-2</v>
      </c>
      <c r="J341">
        <v>1.6741348447046999E-3</v>
      </c>
      <c r="K341">
        <v>3.7876353952595689</v>
      </c>
      <c r="L341">
        <f t="shared" si="30"/>
        <v>0.4</v>
      </c>
      <c r="M341">
        <f t="shared" si="31"/>
        <v>0</v>
      </c>
      <c r="N341">
        <f t="shared" si="32"/>
        <v>0.12322555205047299</v>
      </c>
      <c r="O341">
        <f t="shared" si="33"/>
        <v>5.4465694006309061E-3</v>
      </c>
      <c r="P341">
        <f t="shared" si="34"/>
        <v>0.54465694006309062</v>
      </c>
      <c r="Q341">
        <f>VLOOKUP(C341,Sheet2!A:AU,47,0)</f>
        <v>1.1618445781818683</v>
      </c>
      <c r="R341">
        <f t="shared" si="35"/>
        <v>1.7065015182449588</v>
      </c>
    </row>
    <row r="342" spans="1:18" x14ac:dyDescent="0.3">
      <c r="A342" s="1">
        <v>340</v>
      </c>
      <c r="B342">
        <v>340</v>
      </c>
      <c r="C342" t="s">
        <v>401</v>
      </c>
      <c r="D342" t="s">
        <v>402</v>
      </c>
      <c r="E342">
        <v>1</v>
      </c>
      <c r="F342" t="s">
        <v>17</v>
      </c>
      <c r="G342">
        <v>6442</v>
      </c>
      <c r="H342">
        <v>0.15523129462899721</v>
      </c>
      <c r="I342">
        <v>0.16122163660621791</v>
      </c>
      <c r="J342">
        <v>7.1259963379947996E-3</v>
      </c>
      <c r="K342">
        <v>16.122163660621801</v>
      </c>
      <c r="L342">
        <f t="shared" si="30"/>
        <v>0.4</v>
      </c>
      <c r="M342">
        <f t="shared" si="31"/>
        <v>0</v>
      </c>
      <c r="N342">
        <f t="shared" si="32"/>
        <v>0.38807823657249302</v>
      </c>
      <c r="O342">
        <f t="shared" si="33"/>
        <v>1.7153058056504192E-2</v>
      </c>
      <c r="P342">
        <f t="shared" si="34"/>
        <v>1.7153058056504193</v>
      </c>
      <c r="Q342">
        <f>VLOOKUP(C342,Sheet2!A:AU,47,0)</f>
        <v>4.9898972194555027</v>
      </c>
      <c r="R342">
        <f t="shared" si="35"/>
        <v>6.7052030251059218</v>
      </c>
    </row>
    <row r="343" spans="1:18" x14ac:dyDescent="0.3">
      <c r="A343" s="1">
        <v>341</v>
      </c>
      <c r="B343">
        <v>341</v>
      </c>
      <c r="C343" t="s">
        <v>403</v>
      </c>
      <c r="D343" t="s">
        <v>50</v>
      </c>
      <c r="E343">
        <v>3</v>
      </c>
      <c r="F343" t="s">
        <v>12</v>
      </c>
      <c r="G343">
        <v>36935</v>
      </c>
      <c r="H343">
        <v>8.1223771490456204E-2</v>
      </c>
      <c r="I343">
        <v>7.5056011397509795E-2</v>
      </c>
      <c r="J343">
        <v>3.3174757037698998E-3</v>
      </c>
      <c r="K343">
        <v>7.505601139750981</v>
      </c>
      <c r="L343">
        <f t="shared" si="30"/>
        <v>0.4</v>
      </c>
      <c r="M343">
        <f t="shared" si="31"/>
        <v>0</v>
      </c>
      <c r="N343">
        <f t="shared" si="32"/>
        <v>0.2030594287261405</v>
      </c>
      <c r="O343">
        <f t="shared" si="33"/>
        <v>8.975226749695411E-3</v>
      </c>
      <c r="P343">
        <f t="shared" si="34"/>
        <v>0.89752267496954108</v>
      </c>
      <c r="Q343">
        <f>VLOOKUP(C343,Sheet2!A:AU,47,0)</f>
        <v>1.5098413108820012</v>
      </c>
      <c r="R343">
        <f t="shared" si="35"/>
        <v>2.4073639858515423</v>
      </c>
    </row>
    <row r="344" spans="1:18" x14ac:dyDescent="0.3">
      <c r="A344" s="1">
        <v>342</v>
      </c>
      <c r="B344">
        <v>342</v>
      </c>
      <c r="C344" t="s">
        <v>404</v>
      </c>
      <c r="D344" t="s">
        <v>109</v>
      </c>
      <c r="E344">
        <v>7</v>
      </c>
      <c r="F344" t="s">
        <v>24</v>
      </c>
      <c r="G344">
        <v>50456</v>
      </c>
      <c r="H344">
        <v>0.13873473917869031</v>
      </c>
      <c r="I344">
        <v>0.14201499444492161</v>
      </c>
      <c r="J344">
        <v>6.2770627544655004E-3</v>
      </c>
      <c r="K344">
        <v>14.201499444492169</v>
      </c>
      <c r="L344">
        <f t="shared" si="30"/>
        <v>0.4</v>
      </c>
      <c r="M344">
        <f t="shared" si="31"/>
        <v>0</v>
      </c>
      <c r="N344">
        <f t="shared" si="32"/>
        <v>0.34683684794672576</v>
      </c>
      <c r="O344">
        <f t="shared" si="33"/>
        <v>1.533018867924528E-2</v>
      </c>
      <c r="P344">
        <f t="shared" si="34"/>
        <v>1.533018867924528</v>
      </c>
      <c r="Q344">
        <f>VLOOKUP(C344,Sheet2!A:AU,47,0)</f>
        <v>2.6203283672763544</v>
      </c>
      <c r="R344">
        <f t="shared" si="35"/>
        <v>4.1533472352008829</v>
      </c>
    </row>
    <row r="345" spans="1:18" x14ac:dyDescent="0.3">
      <c r="A345" s="1">
        <v>343</v>
      </c>
      <c r="B345">
        <v>343</v>
      </c>
      <c r="C345" t="s">
        <v>405</v>
      </c>
      <c r="D345" t="s">
        <v>11</v>
      </c>
      <c r="E345">
        <v>2</v>
      </c>
      <c r="F345" t="s">
        <v>12</v>
      </c>
      <c r="G345">
        <v>22767</v>
      </c>
      <c r="H345">
        <v>8.7846444415162303E-2</v>
      </c>
      <c r="I345">
        <v>8.2766670110433399E-2</v>
      </c>
      <c r="J345">
        <v>3.6582868188810998E-3</v>
      </c>
      <c r="K345">
        <v>8.276667011043342</v>
      </c>
      <c r="L345">
        <f t="shared" si="30"/>
        <v>0.4</v>
      </c>
      <c r="M345">
        <f t="shared" si="31"/>
        <v>0</v>
      </c>
      <c r="N345">
        <f t="shared" si="32"/>
        <v>0.21961611103790574</v>
      </c>
      <c r="O345">
        <f t="shared" si="33"/>
        <v>9.7070321078754334E-3</v>
      </c>
      <c r="P345">
        <f t="shared" si="34"/>
        <v>0.97070321078754329</v>
      </c>
      <c r="Q345">
        <f>VLOOKUP(C345,Sheet2!A:AU,47,0)</f>
        <v>2.9183429855502538</v>
      </c>
      <c r="R345">
        <f t="shared" si="35"/>
        <v>3.8890461963377971</v>
      </c>
    </row>
    <row r="346" spans="1:18" x14ac:dyDescent="0.3">
      <c r="A346" s="1">
        <v>344</v>
      </c>
      <c r="B346">
        <v>344</v>
      </c>
      <c r="C346" t="s">
        <v>406</v>
      </c>
      <c r="D346" t="s">
        <v>11</v>
      </c>
      <c r="E346">
        <v>1</v>
      </c>
      <c r="F346" t="s">
        <v>12</v>
      </c>
      <c r="G346">
        <v>35684</v>
      </c>
      <c r="H346">
        <v>2.80237641520008E-2</v>
      </c>
      <c r="I346">
        <v>1.31162017805245E-2</v>
      </c>
      <c r="J346">
        <v>5.7973611869909999E-4</v>
      </c>
      <c r="K346">
        <v>1.3116201780524539</v>
      </c>
      <c r="L346">
        <f t="shared" si="30"/>
        <v>0.4</v>
      </c>
      <c r="M346">
        <f t="shared" si="31"/>
        <v>0</v>
      </c>
      <c r="N346">
        <f t="shared" si="32"/>
        <v>7.0059410380001991E-2</v>
      </c>
      <c r="O346">
        <f t="shared" si="33"/>
        <v>3.0966259387960882E-3</v>
      </c>
      <c r="P346">
        <f t="shared" si="34"/>
        <v>0.30966259387960882</v>
      </c>
      <c r="Q346">
        <f>VLOOKUP(C346,Sheet2!A:AU,47,0)</f>
        <v>0.30098913823110174</v>
      </c>
      <c r="R346">
        <f t="shared" si="35"/>
        <v>0.61065173211071055</v>
      </c>
    </row>
    <row r="347" spans="1:18" x14ac:dyDescent="0.3">
      <c r="A347" s="1">
        <v>345</v>
      </c>
      <c r="B347">
        <v>345</v>
      </c>
      <c r="C347" t="s">
        <v>407</v>
      </c>
      <c r="D347" t="s">
        <v>16</v>
      </c>
      <c r="E347">
        <v>1</v>
      </c>
      <c r="F347" t="s">
        <v>17</v>
      </c>
      <c r="G347">
        <v>25311</v>
      </c>
      <c r="H347">
        <v>3.9508514084785201E-2</v>
      </c>
      <c r="I347">
        <v>2.6487689115285502E-2</v>
      </c>
      <c r="J347">
        <v>1.1707558588955999E-3</v>
      </c>
      <c r="K347">
        <v>2.6487689115285562</v>
      </c>
      <c r="L347">
        <f t="shared" si="30"/>
        <v>0.4</v>
      </c>
      <c r="M347">
        <f t="shared" si="31"/>
        <v>0</v>
      </c>
      <c r="N347">
        <f t="shared" si="32"/>
        <v>9.8771285211963003E-2</v>
      </c>
      <c r="O347">
        <f t="shared" si="33"/>
        <v>4.3656908063687654E-3</v>
      </c>
      <c r="P347">
        <f t="shared" si="34"/>
        <v>0.43656908063687655</v>
      </c>
      <c r="Q347">
        <f>VLOOKUP(C347,Sheet2!A:AU,47,0)</f>
        <v>0.47051398398430205</v>
      </c>
      <c r="R347">
        <f t="shared" si="35"/>
        <v>0.9070830646211786</v>
      </c>
    </row>
    <row r="348" spans="1:18" x14ac:dyDescent="0.3">
      <c r="A348" s="1">
        <v>346</v>
      </c>
      <c r="B348">
        <v>346</v>
      </c>
      <c r="C348" t="s">
        <v>408</v>
      </c>
      <c r="D348" t="s">
        <v>59</v>
      </c>
      <c r="E348">
        <v>2</v>
      </c>
      <c r="F348" t="s">
        <v>24</v>
      </c>
      <c r="G348">
        <v>18607</v>
      </c>
      <c r="H348">
        <v>0.10748642983823289</v>
      </c>
      <c r="I348">
        <v>0.1056331511288678</v>
      </c>
      <c r="J348">
        <v>4.6689852798959004E-3</v>
      </c>
      <c r="K348">
        <v>10.56331511288678</v>
      </c>
      <c r="L348">
        <f t="shared" si="30"/>
        <v>0.4</v>
      </c>
      <c r="M348">
        <f t="shared" si="31"/>
        <v>0</v>
      </c>
      <c r="N348">
        <f t="shared" si="32"/>
        <v>0.26871607459558222</v>
      </c>
      <c r="O348">
        <f t="shared" si="33"/>
        <v>1.1877250497124734E-2</v>
      </c>
      <c r="P348">
        <f t="shared" si="34"/>
        <v>1.1877250497124734</v>
      </c>
      <c r="Q348">
        <f>VLOOKUP(C348,Sheet2!A:AU,47,0)</f>
        <v>2.2370968760037884</v>
      </c>
      <c r="R348">
        <f t="shared" si="35"/>
        <v>3.4248219257162615</v>
      </c>
    </row>
    <row r="349" spans="1:18" x14ac:dyDescent="0.3">
      <c r="A349" s="1">
        <v>347</v>
      </c>
      <c r="B349">
        <v>347</v>
      </c>
      <c r="C349" t="s">
        <v>409</v>
      </c>
      <c r="D349" t="s">
        <v>85</v>
      </c>
      <c r="E349">
        <v>1</v>
      </c>
      <c r="F349" t="s">
        <v>24</v>
      </c>
      <c r="G349">
        <v>31029</v>
      </c>
      <c r="H349">
        <v>3.2227915820683802E-2</v>
      </c>
      <c r="I349">
        <v>1.80110197887717E-2</v>
      </c>
      <c r="J349">
        <v>7.9608707466370004E-4</v>
      </c>
      <c r="K349">
        <v>1.8011019788771749</v>
      </c>
      <c r="L349">
        <f t="shared" si="30"/>
        <v>0.4</v>
      </c>
      <c r="M349">
        <f t="shared" si="31"/>
        <v>0</v>
      </c>
      <c r="N349">
        <f t="shared" si="32"/>
        <v>8.05697895517095E-2</v>
      </c>
      <c r="O349">
        <f t="shared" si="33"/>
        <v>3.5611846981855604E-3</v>
      </c>
      <c r="P349">
        <f t="shared" si="34"/>
        <v>0.35611846981855605</v>
      </c>
      <c r="Q349">
        <f>VLOOKUP(C349,Sheet2!A:AU,47,0)</f>
        <v>0.10596000544138093</v>
      </c>
      <c r="R349">
        <f t="shared" si="35"/>
        <v>0.46207847525993695</v>
      </c>
    </row>
    <row r="350" spans="1:18" x14ac:dyDescent="0.3">
      <c r="A350" s="1">
        <v>348</v>
      </c>
      <c r="B350">
        <v>348</v>
      </c>
      <c r="C350" t="s">
        <v>410</v>
      </c>
      <c r="D350" t="s">
        <v>298</v>
      </c>
      <c r="E350">
        <v>1</v>
      </c>
      <c r="F350" t="s">
        <v>17</v>
      </c>
      <c r="G350">
        <v>17247</v>
      </c>
      <c r="H350">
        <v>5.7981098161999103E-2</v>
      </c>
      <c r="I350">
        <v>4.79949857890834E-2</v>
      </c>
      <c r="J350">
        <v>2.1213783718774001E-3</v>
      </c>
      <c r="K350">
        <v>4.7994985789083451</v>
      </c>
      <c r="L350">
        <f t="shared" si="30"/>
        <v>0.4</v>
      </c>
      <c r="M350">
        <f t="shared" si="31"/>
        <v>0</v>
      </c>
      <c r="N350">
        <f t="shared" si="32"/>
        <v>0.14495274540499775</v>
      </c>
      <c r="O350">
        <f t="shared" si="33"/>
        <v>6.4069113469009007E-3</v>
      </c>
      <c r="P350">
        <f t="shared" si="34"/>
        <v>0.64069113469009009</v>
      </c>
      <c r="Q350">
        <f>VLOOKUP(C350,Sheet2!A:AU,47,0)</f>
        <v>1.0950068597587757</v>
      </c>
      <c r="R350">
        <f t="shared" si="35"/>
        <v>1.7356979944488657</v>
      </c>
    </row>
    <row r="351" spans="1:18" x14ac:dyDescent="0.3">
      <c r="A351" s="1">
        <v>349</v>
      </c>
      <c r="B351">
        <v>349</v>
      </c>
      <c r="C351" t="s">
        <v>411</v>
      </c>
      <c r="D351" t="s">
        <v>298</v>
      </c>
      <c r="E351">
        <v>1</v>
      </c>
      <c r="F351" t="s">
        <v>17</v>
      </c>
      <c r="G351">
        <v>19620</v>
      </c>
      <c r="H351">
        <v>5.09683995922528E-2</v>
      </c>
      <c r="I351">
        <v>3.9830227247830002E-2</v>
      </c>
      <c r="J351">
        <v>1.7604960443539999E-3</v>
      </c>
      <c r="K351">
        <v>3.9830227247830079</v>
      </c>
      <c r="L351">
        <f t="shared" si="30"/>
        <v>0.4</v>
      </c>
      <c r="M351">
        <f t="shared" si="31"/>
        <v>0</v>
      </c>
      <c r="N351">
        <f t="shared" si="32"/>
        <v>0.127420998980632</v>
      </c>
      <c r="O351">
        <f t="shared" si="33"/>
        <v>5.6320081549439344E-3</v>
      </c>
      <c r="P351">
        <f t="shared" si="34"/>
        <v>0.56320081549439349</v>
      </c>
      <c r="Q351">
        <f>VLOOKUP(C351,Sheet2!A:AU,47,0)</f>
        <v>0.71948387067250186</v>
      </c>
      <c r="R351">
        <f t="shared" si="35"/>
        <v>1.2826846861668955</v>
      </c>
    </row>
    <row r="352" spans="1:18" x14ac:dyDescent="0.3">
      <c r="A352" s="1">
        <v>350</v>
      </c>
      <c r="B352">
        <v>350</v>
      </c>
      <c r="C352" t="s">
        <v>412</v>
      </c>
      <c r="D352" t="s">
        <v>109</v>
      </c>
      <c r="E352">
        <v>4</v>
      </c>
      <c r="F352" t="s">
        <v>24</v>
      </c>
      <c r="G352">
        <v>59594</v>
      </c>
      <c r="H352">
        <v>6.7120851092391798E-2</v>
      </c>
      <c r="I352">
        <v>5.8636235382400502E-2</v>
      </c>
      <c r="J352">
        <v>2.5917216039021002E-3</v>
      </c>
      <c r="K352">
        <v>5.8636235382400574</v>
      </c>
      <c r="L352">
        <f t="shared" si="30"/>
        <v>0.4</v>
      </c>
      <c r="M352">
        <f t="shared" si="31"/>
        <v>0</v>
      </c>
      <c r="N352">
        <f t="shared" si="32"/>
        <v>0.16780212773097949</v>
      </c>
      <c r="O352">
        <f t="shared" si="33"/>
        <v>7.4168540457092945E-3</v>
      </c>
      <c r="P352">
        <f t="shared" si="34"/>
        <v>0.74168540457092946</v>
      </c>
      <c r="Q352">
        <f>VLOOKUP(C352,Sheet2!A:AU,47,0)</f>
        <v>1.0316042040854834</v>
      </c>
      <c r="R352">
        <f t="shared" si="35"/>
        <v>1.7732896086564129</v>
      </c>
    </row>
    <row r="353" spans="1:18" x14ac:dyDescent="0.3">
      <c r="A353" s="1">
        <v>351</v>
      </c>
      <c r="B353">
        <v>351</v>
      </c>
      <c r="C353" t="s">
        <v>413</v>
      </c>
      <c r="D353" t="s">
        <v>116</v>
      </c>
      <c r="E353">
        <v>1</v>
      </c>
      <c r="F353" t="s">
        <v>12</v>
      </c>
      <c r="G353">
        <v>15684</v>
      </c>
      <c r="H353">
        <v>6.3759245090538097E-2</v>
      </c>
      <c r="I353">
        <v>5.4722378107203803E-2</v>
      </c>
      <c r="J353">
        <v>2.4187291123384E-3</v>
      </c>
      <c r="K353">
        <v>5.4722378107203804</v>
      </c>
      <c r="L353">
        <f t="shared" si="30"/>
        <v>0.4</v>
      </c>
      <c r="M353">
        <f t="shared" si="31"/>
        <v>0</v>
      </c>
      <c r="N353">
        <f t="shared" si="32"/>
        <v>0.15939811272634524</v>
      </c>
      <c r="O353">
        <f t="shared" si="33"/>
        <v>7.0453965825044602E-3</v>
      </c>
      <c r="P353">
        <f t="shared" si="34"/>
        <v>0.70453965825044607</v>
      </c>
      <c r="Q353">
        <f>VLOOKUP(C353,Sheet2!A:AU,47,0)</f>
        <v>1.2602695452635664</v>
      </c>
      <c r="R353">
        <f t="shared" si="35"/>
        <v>1.9648092035140126</v>
      </c>
    </row>
    <row r="354" spans="1:18" x14ac:dyDescent="0.3">
      <c r="A354" s="1">
        <v>352</v>
      </c>
      <c r="B354">
        <v>352</v>
      </c>
      <c r="C354" t="s">
        <v>414</v>
      </c>
      <c r="D354" t="s">
        <v>116</v>
      </c>
      <c r="E354">
        <v>1</v>
      </c>
      <c r="F354" t="s">
        <v>12</v>
      </c>
      <c r="G354">
        <v>13072</v>
      </c>
      <c r="H354">
        <v>7.6499388004895905E-2</v>
      </c>
      <c r="I354">
        <v>6.9555496862022004E-2</v>
      </c>
      <c r="J354">
        <v>3.0743529613013001E-3</v>
      </c>
      <c r="K354">
        <v>6.955549686202203</v>
      </c>
      <c r="L354">
        <f t="shared" si="30"/>
        <v>0.4</v>
      </c>
      <c r="M354">
        <f t="shared" si="31"/>
        <v>0</v>
      </c>
      <c r="N354">
        <f t="shared" si="32"/>
        <v>0.19124847001223974</v>
      </c>
      <c r="O354">
        <f t="shared" si="33"/>
        <v>8.4531823745409972E-3</v>
      </c>
      <c r="P354">
        <f t="shared" si="34"/>
        <v>0.84531823745409973</v>
      </c>
      <c r="Q354">
        <f>VLOOKUP(C354,Sheet2!A:AU,47,0)</f>
        <v>3.3472124913517738</v>
      </c>
      <c r="R354">
        <f t="shared" si="35"/>
        <v>4.192530728805874</v>
      </c>
    </row>
    <row r="355" spans="1:18" x14ac:dyDescent="0.3">
      <c r="A355" s="1">
        <v>353</v>
      </c>
      <c r="B355">
        <v>353</v>
      </c>
      <c r="C355" t="s">
        <v>415</v>
      </c>
      <c r="D355" t="s">
        <v>74</v>
      </c>
      <c r="E355">
        <v>1</v>
      </c>
      <c r="F355" t="s">
        <v>17</v>
      </c>
      <c r="G355">
        <v>6638</v>
      </c>
      <c r="H355">
        <v>0.15064778547755339</v>
      </c>
      <c r="I355">
        <v>0.1558851395186899</v>
      </c>
      <c r="J355">
        <v>6.8901231667259999E-3</v>
      </c>
      <c r="K355">
        <v>15.588513951869</v>
      </c>
      <c r="L355">
        <f t="shared" si="30"/>
        <v>0.4</v>
      </c>
      <c r="M355">
        <f t="shared" si="31"/>
        <v>0</v>
      </c>
      <c r="N355">
        <f t="shared" si="32"/>
        <v>0.37661946369388344</v>
      </c>
      <c r="O355">
        <f t="shared" si="33"/>
        <v>1.664658029526965E-2</v>
      </c>
      <c r="P355">
        <f t="shared" si="34"/>
        <v>1.6646580295269651</v>
      </c>
      <c r="Q355">
        <f>VLOOKUP(C355,Sheet2!A:AU,47,0)</f>
        <v>7.0016111435862065</v>
      </c>
      <c r="R355">
        <f t="shared" si="35"/>
        <v>8.6662691731131716</v>
      </c>
    </row>
    <row r="356" spans="1:18" x14ac:dyDescent="0.3">
      <c r="A356" s="1">
        <v>354</v>
      </c>
      <c r="B356">
        <v>354</v>
      </c>
      <c r="C356" t="s">
        <v>416</v>
      </c>
      <c r="D356" t="s">
        <v>74</v>
      </c>
      <c r="E356">
        <v>1</v>
      </c>
      <c r="F356" t="s">
        <v>17</v>
      </c>
      <c r="G356">
        <v>44255</v>
      </c>
      <c r="H356">
        <v>2.2596316800361501E-2</v>
      </c>
      <c r="I356">
        <v>6.7971226584479004E-3</v>
      </c>
      <c r="J356">
        <v>3.0043282150339997E-4</v>
      </c>
      <c r="K356">
        <v>0.67971226584479816</v>
      </c>
      <c r="L356">
        <f t="shared" si="30"/>
        <v>0.4</v>
      </c>
      <c r="M356">
        <f t="shared" si="31"/>
        <v>0</v>
      </c>
      <c r="N356">
        <f t="shared" si="32"/>
        <v>5.6490792000903747E-2</v>
      </c>
      <c r="O356">
        <f t="shared" si="33"/>
        <v>2.4968930064399458E-3</v>
      </c>
      <c r="P356">
        <f t="shared" si="34"/>
        <v>0.24968930064399458</v>
      </c>
      <c r="Q356">
        <f>VLOOKUP(C356,Sheet2!A:AU,47,0)</f>
        <v>0.1639582782791538</v>
      </c>
      <c r="R356">
        <f t="shared" si="35"/>
        <v>0.41364757892314841</v>
      </c>
    </row>
    <row r="357" spans="1:18" x14ac:dyDescent="0.3">
      <c r="A357" s="1">
        <v>355</v>
      </c>
      <c r="B357">
        <v>355</v>
      </c>
      <c r="C357" t="s">
        <v>417</v>
      </c>
      <c r="D357" t="s">
        <v>237</v>
      </c>
      <c r="E357">
        <v>2</v>
      </c>
      <c r="F357" t="s">
        <v>12</v>
      </c>
      <c r="G357">
        <v>19307</v>
      </c>
      <c r="H357">
        <v>0.1035893717304604</v>
      </c>
      <c r="I357">
        <v>0.1010958766182443</v>
      </c>
      <c r="J357">
        <v>4.4684377465264002E-3</v>
      </c>
      <c r="K357">
        <v>10.10958766182444</v>
      </c>
      <c r="L357">
        <f t="shared" si="30"/>
        <v>0.4</v>
      </c>
      <c r="M357">
        <f t="shared" si="31"/>
        <v>0</v>
      </c>
      <c r="N357">
        <f t="shared" si="32"/>
        <v>0.25897342932615097</v>
      </c>
      <c r="O357">
        <f t="shared" si="33"/>
        <v>1.1446625576215874E-2</v>
      </c>
      <c r="P357">
        <f t="shared" si="34"/>
        <v>1.1446625576215874</v>
      </c>
      <c r="Q357">
        <f>VLOOKUP(C357,Sheet2!A:AU,47,0)</f>
        <v>2.9385511451685131</v>
      </c>
      <c r="R357">
        <f t="shared" si="35"/>
        <v>4.0832137027901005</v>
      </c>
    </row>
    <row r="358" spans="1:18" x14ac:dyDescent="0.3">
      <c r="A358" s="1">
        <v>356</v>
      </c>
      <c r="B358">
        <v>356</v>
      </c>
      <c r="C358" t="s">
        <v>418</v>
      </c>
      <c r="D358" t="s">
        <v>72</v>
      </c>
      <c r="E358">
        <v>1</v>
      </c>
      <c r="F358" t="s">
        <v>12</v>
      </c>
      <c r="G358">
        <v>43668</v>
      </c>
      <c r="H358">
        <v>2.29000641201795E-2</v>
      </c>
      <c r="I358">
        <v>7.1507701878835003E-3</v>
      </c>
      <c r="J358">
        <v>3.1606404230440002E-4</v>
      </c>
      <c r="K358">
        <v>0.71507701878835028</v>
      </c>
      <c r="L358">
        <f t="shared" si="30"/>
        <v>0.4</v>
      </c>
      <c r="M358">
        <f t="shared" si="31"/>
        <v>0</v>
      </c>
      <c r="N358">
        <f t="shared" si="32"/>
        <v>5.7250160300448744E-2</v>
      </c>
      <c r="O358">
        <f t="shared" si="33"/>
        <v>2.5304570852798347E-3</v>
      </c>
      <c r="P358">
        <f t="shared" si="34"/>
        <v>0.25304570852798347</v>
      </c>
      <c r="Q358">
        <f>VLOOKUP(C358,Sheet2!A:AU,47,0)</f>
        <v>0.1110107249870094</v>
      </c>
      <c r="R358">
        <f t="shared" si="35"/>
        <v>0.36405643351499284</v>
      </c>
    </row>
    <row r="359" spans="1:18" x14ac:dyDescent="0.3">
      <c r="A359" s="1">
        <v>357</v>
      </c>
      <c r="B359">
        <v>357</v>
      </c>
      <c r="C359" t="s">
        <v>419</v>
      </c>
      <c r="D359" t="s">
        <v>164</v>
      </c>
      <c r="E359">
        <v>2</v>
      </c>
      <c r="F359" t="s">
        <v>24</v>
      </c>
      <c r="G359">
        <v>16379</v>
      </c>
      <c r="H359">
        <v>0.1221075767751388</v>
      </c>
      <c r="I359">
        <v>0.1226562889621457</v>
      </c>
      <c r="J359">
        <v>5.4214079721267997E-3</v>
      </c>
      <c r="K359">
        <v>12.265628896214579</v>
      </c>
      <c r="L359">
        <f t="shared" si="30"/>
        <v>0.4</v>
      </c>
      <c r="M359">
        <f t="shared" si="31"/>
        <v>0</v>
      </c>
      <c r="N359">
        <f t="shared" si="32"/>
        <v>0.30526894193784698</v>
      </c>
      <c r="O359">
        <f t="shared" si="33"/>
        <v>1.3492887233652837E-2</v>
      </c>
      <c r="P359">
        <f t="shared" si="34"/>
        <v>1.3492887233652837</v>
      </c>
      <c r="Q359">
        <f>VLOOKUP(C359,Sheet2!A:AU,47,0)</f>
        <v>2.8469630332464644</v>
      </c>
      <c r="R359">
        <f t="shared" si="35"/>
        <v>4.1962517566117477</v>
      </c>
    </row>
    <row r="360" spans="1:18" x14ac:dyDescent="0.3">
      <c r="A360" s="1">
        <v>358</v>
      </c>
      <c r="B360">
        <v>358</v>
      </c>
      <c r="C360" t="s">
        <v>420</v>
      </c>
      <c r="D360" t="s">
        <v>66</v>
      </c>
      <c r="E360">
        <v>1</v>
      </c>
      <c r="F360" t="s">
        <v>24</v>
      </c>
      <c r="G360">
        <v>22334</v>
      </c>
      <c r="H360">
        <v>4.4774782842303198E-2</v>
      </c>
      <c r="I360">
        <v>3.2619110905461698E-2</v>
      </c>
      <c r="J360">
        <v>1.4417647020214001E-3</v>
      </c>
      <c r="K360">
        <v>3.2619110905461781</v>
      </c>
      <c r="L360">
        <f t="shared" si="30"/>
        <v>0.4</v>
      </c>
      <c r="M360">
        <f t="shared" si="31"/>
        <v>0</v>
      </c>
      <c r="N360">
        <f t="shared" si="32"/>
        <v>0.11193695710575799</v>
      </c>
      <c r="O360">
        <f t="shared" si="33"/>
        <v>4.9476135040745035E-3</v>
      </c>
      <c r="P360">
        <f t="shared" si="34"/>
        <v>0.49476135040745034</v>
      </c>
      <c r="Q360">
        <f>VLOOKUP(C360,Sheet2!A:AU,47,0)</f>
        <v>0.3730987820887971</v>
      </c>
      <c r="R360">
        <f t="shared" si="35"/>
        <v>0.86786013249624738</v>
      </c>
    </row>
    <row r="361" spans="1:18" x14ac:dyDescent="0.3">
      <c r="A361" s="1">
        <v>359</v>
      </c>
      <c r="B361">
        <v>359</v>
      </c>
      <c r="C361" t="s">
        <v>421</v>
      </c>
      <c r="D361" t="s">
        <v>59</v>
      </c>
      <c r="E361">
        <v>1</v>
      </c>
      <c r="F361" t="s">
        <v>24</v>
      </c>
      <c r="G361">
        <v>22525</v>
      </c>
      <c r="H361">
        <v>4.4395116537180902E-2</v>
      </c>
      <c r="I361">
        <v>3.2177072269871897E-2</v>
      </c>
      <c r="J361">
        <v>1.4222265943283001E-3</v>
      </c>
      <c r="K361">
        <v>3.2177072269871938</v>
      </c>
      <c r="L361">
        <f t="shared" si="30"/>
        <v>0.4</v>
      </c>
      <c r="M361">
        <f t="shared" si="31"/>
        <v>0</v>
      </c>
      <c r="N361">
        <f t="shared" si="32"/>
        <v>0.11098779134295225</v>
      </c>
      <c r="O361">
        <f t="shared" si="33"/>
        <v>4.90566037735849E-3</v>
      </c>
      <c r="P361">
        <f t="shared" si="34"/>
        <v>0.490566037735849</v>
      </c>
      <c r="Q361">
        <f>VLOOKUP(C361,Sheet2!A:AU,47,0)</f>
        <v>0.91046214204634124</v>
      </c>
      <c r="R361">
        <f t="shared" si="35"/>
        <v>1.4010281797821902</v>
      </c>
    </row>
    <row r="362" spans="1:18" x14ac:dyDescent="0.3">
      <c r="A362" s="1">
        <v>360</v>
      </c>
      <c r="B362">
        <v>360</v>
      </c>
      <c r="C362" t="s">
        <v>422</v>
      </c>
      <c r="D362" t="s">
        <v>59</v>
      </c>
      <c r="E362">
        <v>2</v>
      </c>
      <c r="F362" t="s">
        <v>24</v>
      </c>
      <c r="G362">
        <v>17177</v>
      </c>
      <c r="H362">
        <v>0.116434767421552</v>
      </c>
      <c r="I362">
        <v>0.1160515392838382</v>
      </c>
      <c r="J362">
        <v>5.1294780363456E-3</v>
      </c>
      <c r="K362">
        <v>11.60515392838383</v>
      </c>
      <c r="L362">
        <f t="shared" si="30"/>
        <v>0.4</v>
      </c>
      <c r="M362">
        <f t="shared" si="31"/>
        <v>0</v>
      </c>
      <c r="N362">
        <f t="shared" si="32"/>
        <v>0.29108691855387997</v>
      </c>
      <c r="O362">
        <f t="shared" si="33"/>
        <v>1.2866041800081496E-2</v>
      </c>
      <c r="P362">
        <f t="shared" si="34"/>
        <v>1.2866041800081496</v>
      </c>
      <c r="Q362">
        <f>VLOOKUP(C362,Sheet2!A:AU,47,0)</f>
        <v>3.2399816827116692</v>
      </c>
      <c r="R362">
        <f t="shared" si="35"/>
        <v>4.526585862719819</v>
      </c>
    </row>
    <row r="363" spans="1:18" x14ac:dyDescent="0.3">
      <c r="A363" s="1">
        <v>361</v>
      </c>
      <c r="B363">
        <v>361</v>
      </c>
      <c r="C363" t="s">
        <v>423</v>
      </c>
      <c r="D363" t="s">
        <v>70</v>
      </c>
      <c r="E363">
        <v>1</v>
      </c>
      <c r="F363" t="s">
        <v>12</v>
      </c>
      <c r="G363">
        <v>20063</v>
      </c>
      <c r="H363">
        <v>4.9842994567113497E-2</v>
      </c>
      <c r="I363">
        <v>3.8519938462423499E-2</v>
      </c>
      <c r="J363">
        <v>1.7025812800391001E-3</v>
      </c>
      <c r="K363">
        <v>3.8519938462423582</v>
      </c>
      <c r="L363">
        <f t="shared" si="30"/>
        <v>0.4</v>
      </c>
      <c r="M363">
        <f t="shared" si="31"/>
        <v>0</v>
      </c>
      <c r="N363">
        <f t="shared" si="32"/>
        <v>0.12460748641778374</v>
      </c>
      <c r="O363">
        <f t="shared" si="33"/>
        <v>5.5076508996660415E-3</v>
      </c>
      <c r="P363">
        <f t="shared" si="34"/>
        <v>0.55076508996660412</v>
      </c>
      <c r="Q363">
        <f>VLOOKUP(C363,Sheet2!A:AU,47,0)</f>
        <v>1.2164667584193101</v>
      </c>
      <c r="R363">
        <f t="shared" si="35"/>
        <v>1.7672318483859142</v>
      </c>
    </row>
    <row r="364" spans="1:18" x14ac:dyDescent="0.3">
      <c r="A364" s="1">
        <v>362</v>
      </c>
      <c r="B364">
        <v>362</v>
      </c>
      <c r="C364" t="s">
        <v>424</v>
      </c>
      <c r="D364" t="s">
        <v>70</v>
      </c>
      <c r="E364">
        <v>2</v>
      </c>
      <c r="F364" t="s">
        <v>12</v>
      </c>
      <c r="G364">
        <v>24725</v>
      </c>
      <c r="H364">
        <v>8.0889787664307294E-2</v>
      </c>
      <c r="I364">
        <v>7.46671600487646E-2</v>
      </c>
      <c r="J364">
        <v>3.3002884741552998E-3</v>
      </c>
      <c r="K364">
        <v>7.466716004876468</v>
      </c>
      <c r="L364">
        <f t="shared" si="30"/>
        <v>0.4</v>
      </c>
      <c r="M364">
        <f t="shared" si="31"/>
        <v>0</v>
      </c>
      <c r="N364">
        <f t="shared" si="32"/>
        <v>0.20222446916076822</v>
      </c>
      <c r="O364">
        <f t="shared" si="33"/>
        <v>8.9383215369059563E-3</v>
      </c>
      <c r="P364">
        <f t="shared" si="34"/>
        <v>0.89383215369059565</v>
      </c>
      <c r="Q364">
        <f>VLOOKUP(C364,Sheet2!A:AU,47,0)</f>
        <v>1.7714402300698202</v>
      </c>
      <c r="R364">
        <f t="shared" si="35"/>
        <v>2.6652723837604158</v>
      </c>
    </row>
    <row r="365" spans="1:18" x14ac:dyDescent="0.3">
      <c r="A365" s="1">
        <v>363</v>
      </c>
      <c r="B365">
        <v>363</v>
      </c>
      <c r="C365" t="s">
        <v>425</v>
      </c>
      <c r="D365" t="s">
        <v>70</v>
      </c>
      <c r="E365">
        <v>3</v>
      </c>
      <c r="F365" t="s">
        <v>12</v>
      </c>
      <c r="G365">
        <v>27758</v>
      </c>
      <c r="H365">
        <v>0.10807695078896171</v>
      </c>
      <c r="I365">
        <v>0.106320684027694</v>
      </c>
      <c r="J365">
        <v>4.6993742340239999E-3</v>
      </c>
      <c r="K365">
        <v>10.6320684027694</v>
      </c>
      <c r="L365">
        <f t="shared" si="30"/>
        <v>0.4</v>
      </c>
      <c r="M365">
        <f t="shared" si="31"/>
        <v>0</v>
      </c>
      <c r="N365">
        <f t="shared" si="32"/>
        <v>0.27019237697240422</v>
      </c>
      <c r="O365">
        <f t="shared" si="33"/>
        <v>1.1942503062180268E-2</v>
      </c>
      <c r="P365">
        <f t="shared" si="34"/>
        <v>1.1942503062180267</v>
      </c>
      <c r="Q365">
        <f>VLOOKUP(C365,Sheet2!A:AU,47,0)</f>
        <v>2.4920900623990709</v>
      </c>
      <c r="R365">
        <f t="shared" si="35"/>
        <v>3.6863403686170977</v>
      </c>
    </row>
    <row r="366" spans="1:18" x14ac:dyDescent="0.3">
      <c r="A366" s="1">
        <v>364</v>
      </c>
      <c r="B366">
        <v>364</v>
      </c>
      <c r="C366" t="s">
        <v>426</v>
      </c>
      <c r="D366" t="s">
        <v>121</v>
      </c>
      <c r="E366">
        <v>2</v>
      </c>
      <c r="F366" t="s">
        <v>12</v>
      </c>
      <c r="G366">
        <v>24556</v>
      </c>
      <c r="H366">
        <v>8.1446489656295806E-2</v>
      </c>
      <c r="I366">
        <v>7.5315318143514207E-2</v>
      </c>
      <c r="J366">
        <v>3.3289370619433E-3</v>
      </c>
      <c r="K366">
        <v>7.5315318143514292</v>
      </c>
      <c r="L366">
        <f t="shared" si="30"/>
        <v>0.4</v>
      </c>
      <c r="M366">
        <f t="shared" si="31"/>
        <v>0</v>
      </c>
      <c r="N366">
        <f t="shared" si="32"/>
        <v>0.20361622414073952</v>
      </c>
      <c r="O366">
        <f t="shared" si="33"/>
        <v>8.9998371070206876E-3</v>
      </c>
      <c r="P366">
        <f t="shared" si="34"/>
        <v>0.89998371070206873</v>
      </c>
      <c r="Q366">
        <f>VLOOKUP(C366,Sheet2!A:AU,47,0)</f>
        <v>1.3714103165306091</v>
      </c>
      <c r="R366">
        <f t="shared" si="35"/>
        <v>2.2713940272326778</v>
      </c>
    </row>
    <row r="367" spans="1:18" x14ac:dyDescent="0.3">
      <c r="A367" s="1">
        <v>365</v>
      </c>
      <c r="B367">
        <v>365</v>
      </c>
      <c r="C367" t="s">
        <v>427</v>
      </c>
      <c r="D367" t="s">
        <v>91</v>
      </c>
      <c r="E367">
        <v>2</v>
      </c>
      <c r="F367" t="s">
        <v>24</v>
      </c>
      <c r="G367">
        <v>5085</v>
      </c>
      <c r="H367">
        <v>0.39331366764995079</v>
      </c>
      <c r="I367">
        <v>0.4384166520929606</v>
      </c>
      <c r="J367">
        <v>1.9378016022508798E-2</v>
      </c>
      <c r="K367">
        <v>43.84166520929606</v>
      </c>
      <c r="L367">
        <f t="shared" si="30"/>
        <v>0.4</v>
      </c>
      <c r="M367">
        <f t="shared" si="31"/>
        <v>0</v>
      </c>
      <c r="N367">
        <f t="shared" si="32"/>
        <v>0.98328416912487693</v>
      </c>
      <c r="O367">
        <f t="shared" si="33"/>
        <v>4.3461160275319564E-2</v>
      </c>
      <c r="P367">
        <f t="shared" si="34"/>
        <v>4.3461160275319566</v>
      </c>
      <c r="Q367">
        <f>VLOOKUP(C367,Sheet2!A:AU,47,0)</f>
        <v>8.0399999999999991</v>
      </c>
      <c r="R367">
        <f t="shared" si="35"/>
        <v>12.386116027531955</v>
      </c>
    </row>
    <row r="368" spans="1:18" x14ac:dyDescent="0.3">
      <c r="A368" s="1">
        <v>366</v>
      </c>
      <c r="B368">
        <v>366</v>
      </c>
      <c r="C368" t="s">
        <v>428</v>
      </c>
      <c r="D368" t="s">
        <v>182</v>
      </c>
      <c r="E368">
        <v>1</v>
      </c>
      <c r="F368" t="s">
        <v>24</v>
      </c>
      <c r="G368">
        <v>13408</v>
      </c>
      <c r="H368">
        <v>7.4582338902147896E-2</v>
      </c>
      <c r="I368">
        <v>6.7323511146396106E-2</v>
      </c>
      <c r="J368">
        <v>2.9756991926707002E-3</v>
      </c>
      <c r="K368">
        <v>6.7323511146396173</v>
      </c>
      <c r="L368">
        <f t="shared" si="30"/>
        <v>0.4</v>
      </c>
      <c r="M368">
        <f t="shared" si="31"/>
        <v>0</v>
      </c>
      <c r="N368">
        <f t="shared" si="32"/>
        <v>0.18645584725536973</v>
      </c>
      <c r="O368">
        <f t="shared" si="33"/>
        <v>8.2413484486873433E-3</v>
      </c>
      <c r="P368">
        <f t="shared" si="34"/>
        <v>0.82413484486873434</v>
      </c>
      <c r="Q368">
        <f>VLOOKUP(C368,Sheet2!A:AU,47,0)</f>
        <v>1.5023267006838781</v>
      </c>
      <c r="R368">
        <f t="shared" si="35"/>
        <v>2.3264615455526125</v>
      </c>
    </row>
    <row r="369" spans="1:18" x14ac:dyDescent="0.3">
      <c r="A369" s="1">
        <v>367</v>
      </c>
      <c r="B369">
        <v>367</v>
      </c>
      <c r="C369" t="s">
        <v>429</v>
      </c>
      <c r="D369" t="s">
        <v>182</v>
      </c>
      <c r="E369">
        <v>1</v>
      </c>
      <c r="F369" t="s">
        <v>24</v>
      </c>
      <c r="G369">
        <v>38269</v>
      </c>
      <c r="H369">
        <v>2.6130810839060301E-2</v>
      </c>
      <c r="I369">
        <v>1.09122703586462E-2</v>
      </c>
      <c r="J369">
        <v>4.8232234985210002E-4</v>
      </c>
      <c r="K369">
        <v>1.0912270358646201</v>
      </c>
      <c r="L369">
        <f t="shared" si="30"/>
        <v>0.4</v>
      </c>
      <c r="M369">
        <f t="shared" si="31"/>
        <v>0</v>
      </c>
      <c r="N369">
        <f t="shared" si="32"/>
        <v>6.5327027097650744E-2</v>
      </c>
      <c r="O369">
        <f t="shared" si="33"/>
        <v>2.8874545977161633E-3</v>
      </c>
      <c r="P369">
        <f t="shared" si="34"/>
        <v>0.28874545977161631</v>
      </c>
      <c r="Q369">
        <f>VLOOKUP(C369,Sheet2!A:AU,47,0)</f>
        <v>0.10029334075121327</v>
      </c>
      <c r="R369">
        <f t="shared" si="35"/>
        <v>0.38903880052282958</v>
      </c>
    </row>
    <row r="370" spans="1:18" x14ac:dyDescent="0.3">
      <c r="A370" s="1">
        <v>368</v>
      </c>
      <c r="B370">
        <v>368</v>
      </c>
      <c r="C370" t="s">
        <v>430</v>
      </c>
      <c r="D370" t="s">
        <v>111</v>
      </c>
      <c r="E370">
        <v>1</v>
      </c>
      <c r="F370" t="s">
        <v>24</v>
      </c>
      <c r="G370">
        <v>9257</v>
      </c>
      <c r="H370">
        <v>0.10802635843145721</v>
      </c>
      <c r="I370">
        <v>0.106261780257776</v>
      </c>
      <c r="J370">
        <v>4.6967706873937004E-3</v>
      </c>
      <c r="K370">
        <v>10.6261780257776</v>
      </c>
      <c r="L370">
        <f t="shared" si="30"/>
        <v>0.4</v>
      </c>
      <c r="M370">
        <f t="shared" si="31"/>
        <v>0</v>
      </c>
      <c r="N370">
        <f t="shared" si="32"/>
        <v>0.27006589607864301</v>
      </c>
      <c r="O370">
        <f t="shared" si="33"/>
        <v>1.1936912606676021E-2</v>
      </c>
      <c r="P370">
        <f t="shared" si="34"/>
        <v>1.193691260667602</v>
      </c>
      <c r="Q370">
        <f>VLOOKUP(C370,Sheet2!A:AU,47,0)</f>
        <v>2.6071106751224491</v>
      </c>
      <c r="R370">
        <f t="shared" si="35"/>
        <v>3.8008019357900511</v>
      </c>
    </row>
    <row r="371" spans="1:18" x14ac:dyDescent="0.3">
      <c r="A371" s="1">
        <v>369</v>
      </c>
      <c r="B371">
        <v>369</v>
      </c>
      <c r="C371" t="s">
        <v>431</v>
      </c>
      <c r="D371" t="s">
        <v>111</v>
      </c>
      <c r="E371">
        <v>5</v>
      </c>
      <c r="F371" t="s">
        <v>24</v>
      </c>
      <c r="G371">
        <v>20697</v>
      </c>
      <c r="H371">
        <v>0.24158090544523361</v>
      </c>
      <c r="I371">
        <v>0.26175693203262179</v>
      </c>
      <c r="J371">
        <v>1.15696563958418E-2</v>
      </c>
      <c r="K371">
        <v>26.175693203262181</v>
      </c>
      <c r="L371">
        <f t="shared" si="30"/>
        <v>0.4</v>
      </c>
      <c r="M371">
        <f t="shared" si="31"/>
        <v>0</v>
      </c>
      <c r="N371">
        <f t="shared" si="32"/>
        <v>0.60395226361308396</v>
      </c>
      <c r="O371">
        <f t="shared" si="33"/>
        <v>2.6694690051698312E-2</v>
      </c>
      <c r="P371">
        <f t="shared" si="34"/>
        <v>2.6694690051698311</v>
      </c>
      <c r="Q371">
        <f>VLOOKUP(C371,Sheet2!A:AU,47,0)</f>
        <v>8.0399999999999991</v>
      </c>
      <c r="R371">
        <f t="shared" si="35"/>
        <v>10.709469005169829</v>
      </c>
    </row>
    <row r="372" spans="1:18" x14ac:dyDescent="0.3">
      <c r="A372" s="1">
        <v>370</v>
      </c>
      <c r="B372">
        <v>370</v>
      </c>
      <c r="C372" t="s">
        <v>432</v>
      </c>
      <c r="D372" t="s">
        <v>116</v>
      </c>
      <c r="E372">
        <v>1</v>
      </c>
      <c r="F372" t="s">
        <v>12</v>
      </c>
      <c r="G372">
        <v>14396</v>
      </c>
      <c r="H372">
        <v>6.9463739927757701E-2</v>
      </c>
      <c r="I372">
        <v>6.1364018622975802E-2</v>
      </c>
      <c r="J372">
        <v>2.7122896231354999E-3</v>
      </c>
      <c r="K372">
        <v>6.1364018622975873</v>
      </c>
      <c r="L372">
        <f t="shared" si="30"/>
        <v>0.4</v>
      </c>
      <c r="M372">
        <f t="shared" si="31"/>
        <v>0</v>
      </c>
      <c r="N372">
        <f t="shared" si="32"/>
        <v>0.17365934981939424</v>
      </c>
      <c r="O372">
        <f t="shared" si="33"/>
        <v>7.6757432620172261E-3</v>
      </c>
      <c r="P372">
        <f t="shared" si="34"/>
        <v>0.76757432620172261</v>
      </c>
      <c r="Q372">
        <f>VLOOKUP(C372,Sheet2!A:AU,47,0)</f>
        <v>1.0451583750692892</v>
      </c>
      <c r="R372">
        <f t="shared" si="35"/>
        <v>1.8127327012710119</v>
      </c>
    </row>
    <row r="373" spans="1:18" x14ac:dyDescent="0.3">
      <c r="A373" s="1">
        <v>371</v>
      </c>
      <c r="B373">
        <v>371</v>
      </c>
      <c r="C373" t="s">
        <v>433</v>
      </c>
      <c r="D373" t="s">
        <v>36</v>
      </c>
      <c r="E373">
        <v>1</v>
      </c>
      <c r="F373" t="s">
        <v>12</v>
      </c>
      <c r="G373">
        <v>31953</v>
      </c>
      <c r="H373">
        <v>3.1295965949988999E-2</v>
      </c>
      <c r="I373">
        <v>1.69259673526664E-2</v>
      </c>
      <c r="J373">
        <v>7.4812775698780004E-4</v>
      </c>
      <c r="K373">
        <v>1.6925967352666429</v>
      </c>
      <c r="L373">
        <f t="shared" si="30"/>
        <v>0.4</v>
      </c>
      <c r="M373">
        <f t="shared" si="31"/>
        <v>0</v>
      </c>
      <c r="N373">
        <f t="shared" si="32"/>
        <v>7.8239914874972491E-2</v>
      </c>
      <c r="O373">
        <f t="shared" si="33"/>
        <v>3.4582042374737844E-3</v>
      </c>
      <c r="P373">
        <f t="shared" si="34"/>
        <v>0.34582042374737842</v>
      </c>
      <c r="Q373">
        <f>VLOOKUP(C373,Sheet2!A:AU,47,0)</f>
        <v>0.44144755817001397</v>
      </c>
      <c r="R373">
        <f t="shared" si="35"/>
        <v>0.78726798191739245</v>
      </c>
    </row>
    <row r="374" spans="1:18" x14ac:dyDescent="0.3">
      <c r="A374" s="1">
        <v>372</v>
      </c>
      <c r="B374">
        <v>372</v>
      </c>
      <c r="C374" t="s">
        <v>434</v>
      </c>
      <c r="D374" t="s">
        <v>36</v>
      </c>
      <c r="E374">
        <v>3</v>
      </c>
      <c r="F374" t="s">
        <v>12</v>
      </c>
      <c r="G374">
        <v>22831</v>
      </c>
      <c r="H374">
        <v>0.13140028908063589</v>
      </c>
      <c r="I374">
        <v>0.13347562639881269</v>
      </c>
      <c r="J374">
        <v>5.8996226868274996E-3</v>
      </c>
      <c r="K374">
        <v>13.34756263988127</v>
      </c>
      <c r="L374">
        <f t="shared" si="30"/>
        <v>0.4</v>
      </c>
      <c r="M374">
        <f t="shared" si="31"/>
        <v>0</v>
      </c>
      <c r="N374">
        <f t="shared" si="32"/>
        <v>0.3285007227015897</v>
      </c>
      <c r="O374">
        <f t="shared" si="33"/>
        <v>1.4519731943410266E-2</v>
      </c>
      <c r="P374">
        <f t="shared" si="34"/>
        <v>1.4519731943410266</v>
      </c>
      <c r="Q374">
        <f>VLOOKUP(C374,Sheet2!A:AU,47,0)</f>
        <v>5.02667888360362</v>
      </c>
      <c r="R374">
        <f t="shared" si="35"/>
        <v>6.4786520779446466</v>
      </c>
    </row>
    <row r="375" spans="1:18" x14ac:dyDescent="0.3">
      <c r="A375" s="1">
        <v>373</v>
      </c>
      <c r="B375">
        <v>373</v>
      </c>
      <c r="C375" t="s">
        <v>435</v>
      </c>
      <c r="D375" t="s">
        <v>182</v>
      </c>
      <c r="E375">
        <v>3</v>
      </c>
      <c r="F375" t="s">
        <v>24</v>
      </c>
      <c r="G375">
        <v>18846</v>
      </c>
      <c r="H375">
        <v>0.1591849729385546</v>
      </c>
      <c r="I375">
        <v>0.1658248329972036</v>
      </c>
      <c r="J375">
        <v>7.3294576184763996E-3</v>
      </c>
      <c r="K375">
        <v>16.582483299720359</v>
      </c>
      <c r="L375">
        <f t="shared" si="30"/>
        <v>0.4</v>
      </c>
      <c r="M375">
        <f t="shared" si="31"/>
        <v>0</v>
      </c>
      <c r="N375">
        <f t="shared" si="32"/>
        <v>0.39796243234638651</v>
      </c>
      <c r="O375">
        <f t="shared" si="33"/>
        <v>1.7589939509710283E-2</v>
      </c>
      <c r="P375">
        <f t="shared" si="34"/>
        <v>1.7589939509710284</v>
      </c>
      <c r="Q375">
        <f>VLOOKUP(C375,Sheet2!A:AU,47,0)</f>
        <v>3.5737992885662657</v>
      </c>
      <c r="R375">
        <f t="shared" si="35"/>
        <v>5.3327932395372937</v>
      </c>
    </row>
    <row r="376" spans="1:18" x14ac:dyDescent="0.3">
      <c r="A376" s="1">
        <v>374</v>
      </c>
      <c r="B376">
        <v>374</v>
      </c>
      <c r="C376" t="s">
        <v>436</v>
      </c>
      <c r="D376" t="s">
        <v>145</v>
      </c>
      <c r="E376">
        <v>2</v>
      </c>
      <c r="F376" t="s">
        <v>12</v>
      </c>
      <c r="G376">
        <v>29193</v>
      </c>
      <c r="H376">
        <v>6.8509574212996194E-2</v>
      </c>
      <c r="I376">
        <v>6.02531006800631E-2</v>
      </c>
      <c r="J376">
        <v>2.6631870500586998E-3</v>
      </c>
      <c r="K376">
        <v>6.0253100680063154</v>
      </c>
      <c r="L376">
        <f t="shared" si="30"/>
        <v>0.4</v>
      </c>
      <c r="M376">
        <f t="shared" si="31"/>
        <v>0</v>
      </c>
      <c r="N376">
        <f t="shared" si="32"/>
        <v>0.17127393553249048</v>
      </c>
      <c r="O376">
        <f t="shared" si="33"/>
        <v>7.5703079505360796E-3</v>
      </c>
      <c r="P376">
        <f t="shared" si="34"/>
        <v>0.75703079505360793</v>
      </c>
      <c r="Q376">
        <f>VLOOKUP(C376,Sheet2!A:AU,47,0)</f>
        <v>1.2499003847175938</v>
      </c>
      <c r="R376">
        <f t="shared" si="35"/>
        <v>2.0069311797712017</v>
      </c>
    </row>
    <row r="377" spans="1:18" x14ac:dyDescent="0.3">
      <c r="A377" s="1">
        <v>375</v>
      </c>
      <c r="B377">
        <v>375</v>
      </c>
      <c r="C377" t="s">
        <v>437</v>
      </c>
      <c r="D377" t="s">
        <v>145</v>
      </c>
      <c r="E377">
        <v>1</v>
      </c>
      <c r="F377" t="s">
        <v>12</v>
      </c>
      <c r="G377">
        <v>17951</v>
      </c>
      <c r="H377">
        <v>5.5707202941340302E-2</v>
      </c>
      <c r="I377">
        <v>4.5347530570505397E-2</v>
      </c>
      <c r="J377">
        <v>2.0043608512162999E-3</v>
      </c>
      <c r="K377">
        <v>4.5347530570505432</v>
      </c>
      <c r="L377">
        <f t="shared" si="30"/>
        <v>0.4</v>
      </c>
      <c r="M377">
        <f t="shared" si="31"/>
        <v>0</v>
      </c>
      <c r="N377">
        <f t="shared" si="32"/>
        <v>0.13926800735335074</v>
      </c>
      <c r="O377">
        <f t="shared" si="33"/>
        <v>6.1556459250181033E-3</v>
      </c>
      <c r="P377">
        <f t="shared" si="34"/>
        <v>0.61556459250181028</v>
      </c>
      <c r="Q377">
        <f>VLOOKUP(C377,Sheet2!A:AU,47,0)</f>
        <v>1.1003356945691387</v>
      </c>
      <c r="R377">
        <f t="shared" si="35"/>
        <v>1.715900287070949</v>
      </c>
    </row>
    <row r="378" spans="1:18" x14ac:dyDescent="0.3">
      <c r="A378" s="1">
        <v>376</v>
      </c>
      <c r="B378">
        <v>376</v>
      </c>
      <c r="C378" t="s">
        <v>438</v>
      </c>
      <c r="D378" t="s">
        <v>214</v>
      </c>
      <c r="E378">
        <v>1</v>
      </c>
      <c r="F378" t="s">
        <v>12</v>
      </c>
      <c r="G378">
        <v>7028</v>
      </c>
      <c r="H378">
        <v>0.1422879908935685</v>
      </c>
      <c r="I378">
        <v>0.14615198136938951</v>
      </c>
      <c r="J378">
        <v>6.4599175765269997E-3</v>
      </c>
      <c r="K378">
        <v>14.61519813693895</v>
      </c>
      <c r="L378">
        <f t="shared" si="30"/>
        <v>0.4</v>
      </c>
      <c r="M378">
        <f t="shared" si="31"/>
        <v>0</v>
      </c>
      <c r="N378">
        <f t="shared" si="32"/>
        <v>0.35571997723392124</v>
      </c>
      <c r="O378">
        <f t="shared" si="33"/>
        <v>1.5722822993739321E-2</v>
      </c>
      <c r="P378">
        <f t="shared" si="34"/>
        <v>1.572282299373932</v>
      </c>
      <c r="Q378">
        <f>VLOOKUP(C378,Sheet2!A:AU,47,0)</f>
        <v>6.3430538636201845</v>
      </c>
      <c r="R378">
        <f t="shared" si="35"/>
        <v>7.9153361629941168</v>
      </c>
    </row>
    <row r="379" spans="1:18" x14ac:dyDescent="0.3">
      <c r="A379" s="1">
        <v>377</v>
      </c>
      <c r="B379">
        <v>377</v>
      </c>
      <c r="C379" t="s">
        <v>439</v>
      </c>
      <c r="D379" t="s">
        <v>77</v>
      </c>
      <c r="E379">
        <v>1</v>
      </c>
      <c r="F379" t="s">
        <v>24</v>
      </c>
      <c r="G379">
        <v>17879</v>
      </c>
      <c r="H379">
        <v>5.5931539795290502E-2</v>
      </c>
      <c r="I379">
        <v>4.5608721925900299E-2</v>
      </c>
      <c r="J379">
        <v>2.0159055091247E-3</v>
      </c>
      <c r="K379">
        <v>4.5608721925900371</v>
      </c>
      <c r="L379">
        <f t="shared" si="30"/>
        <v>0.4</v>
      </c>
      <c r="M379">
        <f t="shared" si="31"/>
        <v>0</v>
      </c>
      <c r="N379">
        <f t="shared" si="32"/>
        <v>0.13982884948822624</v>
      </c>
      <c r="O379">
        <f t="shared" si="33"/>
        <v>6.1804351473796005E-3</v>
      </c>
      <c r="P379">
        <f t="shared" si="34"/>
        <v>0.61804351473796004</v>
      </c>
      <c r="Q379">
        <f>VLOOKUP(C379,Sheet2!A:AU,47,0)</f>
        <v>1.2227960881050346</v>
      </c>
      <c r="R379">
        <f t="shared" si="35"/>
        <v>1.8408396028429945</v>
      </c>
    </row>
    <row r="380" spans="1:18" x14ac:dyDescent="0.3">
      <c r="A380" s="1">
        <v>378</v>
      </c>
      <c r="B380">
        <v>378</v>
      </c>
      <c r="C380" t="s">
        <v>440</v>
      </c>
      <c r="D380" t="s">
        <v>237</v>
      </c>
      <c r="E380">
        <v>1</v>
      </c>
      <c r="F380" t="s">
        <v>12</v>
      </c>
      <c r="G380">
        <v>27979</v>
      </c>
      <c r="H380">
        <v>3.57410915329354E-2</v>
      </c>
      <c r="I380">
        <v>2.2101346945749001E-2</v>
      </c>
      <c r="J380">
        <v>9.7687953500210007E-4</v>
      </c>
      <c r="K380">
        <v>2.2101346945749079</v>
      </c>
      <c r="L380">
        <f t="shared" si="30"/>
        <v>0.4</v>
      </c>
      <c r="M380">
        <f t="shared" si="31"/>
        <v>0</v>
      </c>
      <c r="N380">
        <f t="shared" si="32"/>
        <v>8.9352728832338496E-2</v>
      </c>
      <c r="O380">
        <f t="shared" si="33"/>
        <v>3.949390614389362E-3</v>
      </c>
      <c r="P380">
        <f t="shared" si="34"/>
        <v>0.3949390614389362</v>
      </c>
      <c r="Q380">
        <f>VLOOKUP(C380,Sheet2!A:AU,47,0)</f>
        <v>0.86296573243504537</v>
      </c>
      <c r="R380">
        <f t="shared" si="35"/>
        <v>1.2579047938739816</v>
      </c>
    </row>
    <row r="381" spans="1:18" x14ac:dyDescent="0.3">
      <c r="A381" s="1">
        <v>379</v>
      </c>
      <c r="B381">
        <v>379</v>
      </c>
      <c r="C381" t="s">
        <v>441</v>
      </c>
      <c r="D381" t="s">
        <v>31</v>
      </c>
      <c r="E381">
        <v>2</v>
      </c>
      <c r="F381" t="s">
        <v>24</v>
      </c>
      <c r="G381">
        <v>23521</v>
      </c>
      <c r="H381">
        <v>8.5030398367416299E-2</v>
      </c>
      <c r="I381">
        <v>7.9487998456116399E-2</v>
      </c>
      <c r="J381">
        <v>3.5133695317603E-3</v>
      </c>
      <c r="K381">
        <v>7.9487998456116422</v>
      </c>
      <c r="L381">
        <f t="shared" si="30"/>
        <v>0.4</v>
      </c>
      <c r="M381">
        <f t="shared" si="31"/>
        <v>0</v>
      </c>
      <c r="N381">
        <f t="shared" si="32"/>
        <v>0.21257599591854073</v>
      </c>
      <c r="O381">
        <f t="shared" si="33"/>
        <v>9.3958590195995003E-3</v>
      </c>
      <c r="P381">
        <f t="shared" si="34"/>
        <v>0.93958590195995006</v>
      </c>
      <c r="Q381">
        <f>VLOOKUP(C381,Sheet2!A:AU,47,0)</f>
        <v>1.4596139178579395</v>
      </c>
      <c r="R381">
        <f t="shared" si="35"/>
        <v>2.3991998198178894</v>
      </c>
    </row>
    <row r="382" spans="1:18" x14ac:dyDescent="0.3">
      <c r="A382" s="1">
        <v>380</v>
      </c>
      <c r="B382">
        <v>380</v>
      </c>
      <c r="C382" t="s">
        <v>442</v>
      </c>
      <c r="D382" t="s">
        <v>124</v>
      </c>
      <c r="E382">
        <v>1</v>
      </c>
      <c r="F382" t="s">
        <v>12</v>
      </c>
      <c r="G382">
        <v>25008</v>
      </c>
      <c r="H382">
        <v>3.9987204094689699E-2</v>
      </c>
      <c r="I382">
        <v>2.70450192654564E-2</v>
      </c>
      <c r="J382">
        <v>1.1953898515330999E-3</v>
      </c>
      <c r="K382">
        <v>2.7045019265456438</v>
      </c>
      <c r="L382">
        <f t="shared" si="30"/>
        <v>0.4</v>
      </c>
      <c r="M382">
        <f t="shared" si="31"/>
        <v>0</v>
      </c>
      <c r="N382">
        <f t="shared" si="32"/>
        <v>9.9968010236724247E-2</v>
      </c>
      <c r="O382">
        <f t="shared" si="33"/>
        <v>4.4185860524632121E-3</v>
      </c>
      <c r="P382">
        <f t="shared" si="34"/>
        <v>0.4418586052463212</v>
      </c>
      <c r="Q382">
        <f>VLOOKUP(C382,Sheet2!A:AU,47,0)</f>
        <v>1.4606832358359458</v>
      </c>
      <c r="R382">
        <f t="shared" si="35"/>
        <v>1.902541841082267</v>
      </c>
    </row>
    <row r="383" spans="1:18" x14ac:dyDescent="0.3">
      <c r="A383" s="1">
        <v>381</v>
      </c>
      <c r="B383">
        <v>381</v>
      </c>
      <c r="C383" t="s">
        <v>443</v>
      </c>
      <c r="D383" t="s">
        <v>23</v>
      </c>
      <c r="E383">
        <v>2</v>
      </c>
      <c r="F383" t="s">
        <v>24</v>
      </c>
      <c r="G383">
        <v>24642</v>
      </c>
      <c r="H383">
        <v>8.11622433244054E-2</v>
      </c>
      <c r="I383">
        <v>7.4984375262818703E-2</v>
      </c>
      <c r="J383">
        <v>3.3143093866165002E-3</v>
      </c>
      <c r="K383">
        <v>7.4984375262818759</v>
      </c>
      <c r="L383">
        <f t="shared" si="30"/>
        <v>0.4</v>
      </c>
      <c r="M383">
        <f t="shared" si="31"/>
        <v>0</v>
      </c>
      <c r="N383">
        <f t="shared" si="32"/>
        <v>0.20290560831101348</v>
      </c>
      <c r="O383">
        <f t="shared" si="33"/>
        <v>8.968427887346796E-3</v>
      </c>
      <c r="P383">
        <f t="shared" si="34"/>
        <v>0.8968427887346796</v>
      </c>
      <c r="Q383">
        <f>VLOOKUP(C383,Sheet2!A:AU,47,0)</f>
        <v>1.6337963748585025</v>
      </c>
      <c r="R383">
        <f t="shared" si="35"/>
        <v>2.530639163593182</v>
      </c>
    </row>
    <row r="384" spans="1:18" x14ac:dyDescent="0.3">
      <c r="A384" s="1">
        <v>382</v>
      </c>
      <c r="B384">
        <v>382</v>
      </c>
      <c r="C384" t="s">
        <v>444</v>
      </c>
      <c r="D384" t="s">
        <v>23</v>
      </c>
      <c r="E384">
        <v>1</v>
      </c>
      <c r="F384" t="s">
        <v>24</v>
      </c>
      <c r="G384">
        <v>18447</v>
      </c>
      <c r="H384">
        <v>5.42093565349379E-2</v>
      </c>
      <c r="I384">
        <v>4.3603614998129397E-2</v>
      </c>
      <c r="J384">
        <v>1.9272797829173001E-3</v>
      </c>
      <c r="K384">
        <v>4.3603614998129432</v>
      </c>
      <c r="L384">
        <f t="shared" si="30"/>
        <v>0.4</v>
      </c>
      <c r="M384">
        <f t="shared" si="31"/>
        <v>0</v>
      </c>
      <c r="N384">
        <f t="shared" si="32"/>
        <v>0.13552339133734473</v>
      </c>
      <c r="O384">
        <f t="shared" si="33"/>
        <v>5.9901338971106374E-3</v>
      </c>
      <c r="P384">
        <f t="shared" si="34"/>
        <v>0.59901338971106377</v>
      </c>
      <c r="Q384">
        <f>VLOOKUP(C384,Sheet2!A:AU,47,0)</f>
        <v>1.3439862402918319</v>
      </c>
      <c r="R384">
        <f t="shared" si="35"/>
        <v>1.9429996300028956</v>
      </c>
    </row>
    <row r="385" spans="1:18" x14ac:dyDescent="0.3">
      <c r="A385" s="1">
        <v>383</v>
      </c>
      <c r="B385">
        <v>383</v>
      </c>
      <c r="C385" t="s">
        <v>445</v>
      </c>
      <c r="D385" t="s">
        <v>33</v>
      </c>
      <c r="E385">
        <v>2</v>
      </c>
      <c r="F385" t="s">
        <v>17</v>
      </c>
      <c r="G385">
        <v>11155</v>
      </c>
      <c r="H385">
        <v>0.1792917974002689</v>
      </c>
      <c r="I385">
        <v>0.18923484629358309</v>
      </c>
      <c r="J385">
        <v>8.3641802061763006E-3</v>
      </c>
      <c r="K385">
        <v>18.92348462935832</v>
      </c>
      <c r="L385">
        <f t="shared" si="30"/>
        <v>0.4</v>
      </c>
      <c r="M385">
        <f t="shared" si="31"/>
        <v>0</v>
      </c>
      <c r="N385">
        <f t="shared" si="32"/>
        <v>0.44822949350067226</v>
      </c>
      <c r="O385">
        <f t="shared" si="33"/>
        <v>1.9811743612729714E-2</v>
      </c>
      <c r="P385">
        <f t="shared" si="34"/>
        <v>1.9811743612729713</v>
      </c>
      <c r="Q385">
        <f>VLOOKUP(C385,Sheet2!A:AU,47,0)</f>
        <v>3.8418799844530609</v>
      </c>
      <c r="R385">
        <f t="shared" si="35"/>
        <v>5.8230543457260318</v>
      </c>
    </row>
    <row r="386" spans="1:18" x14ac:dyDescent="0.3">
      <c r="A386" s="1">
        <v>384</v>
      </c>
      <c r="B386">
        <v>384</v>
      </c>
      <c r="C386" t="s">
        <v>446</v>
      </c>
      <c r="D386" t="s">
        <v>46</v>
      </c>
      <c r="E386">
        <v>1</v>
      </c>
      <c r="F386" t="s">
        <v>12</v>
      </c>
      <c r="G386">
        <v>14116</v>
      </c>
      <c r="H386">
        <v>7.0841598186455093E-2</v>
      </c>
      <c r="I386">
        <v>6.2968234157758596E-2</v>
      </c>
      <c r="J386">
        <v>2.7831959497729001E-3</v>
      </c>
      <c r="K386">
        <v>6.2968234157758634</v>
      </c>
      <c r="L386">
        <f t="shared" si="30"/>
        <v>0.4</v>
      </c>
      <c r="M386">
        <f t="shared" si="31"/>
        <v>0</v>
      </c>
      <c r="N386">
        <f t="shared" si="32"/>
        <v>0.17710399546613773</v>
      </c>
      <c r="O386">
        <f t="shared" si="33"/>
        <v>7.8279965996032874E-3</v>
      </c>
      <c r="P386">
        <f t="shared" si="34"/>
        <v>0.78279965996032874</v>
      </c>
      <c r="Q386">
        <f>VLOOKUP(C386,Sheet2!A:AU,47,0)</f>
        <v>1.8981977727123047</v>
      </c>
      <c r="R386">
        <f t="shared" si="35"/>
        <v>2.6809974326726334</v>
      </c>
    </row>
    <row r="387" spans="1:18" x14ac:dyDescent="0.3">
      <c r="A387" s="1">
        <v>385</v>
      </c>
      <c r="B387">
        <v>385</v>
      </c>
      <c r="C387" t="s">
        <v>447</v>
      </c>
      <c r="D387" t="s">
        <v>105</v>
      </c>
      <c r="E387">
        <v>1</v>
      </c>
      <c r="F387" t="s">
        <v>12</v>
      </c>
      <c r="G387">
        <v>21537</v>
      </c>
      <c r="H387">
        <v>4.64317221525746E-2</v>
      </c>
      <c r="I387">
        <v>3.4548255478171697E-2</v>
      </c>
      <c r="J387">
        <v>1.5270328921351E-3</v>
      </c>
      <c r="K387">
        <v>3.454825547817173</v>
      </c>
      <c r="L387">
        <f t="shared" ref="L387:L450" si="36">MAX(H:H)</f>
        <v>0.4</v>
      </c>
      <c r="M387">
        <f t="shared" ref="M387:M450" si="37">MIN(H:H)</f>
        <v>0</v>
      </c>
      <c r="N387">
        <f t="shared" ref="N387:N450" si="38">(H387-M387)/(L387-M387)</f>
        <v>0.1160793053814365</v>
      </c>
      <c r="O387">
        <f t="shared" ref="O387:O450" si="39">N387*0.0442</f>
        <v>5.1307052978594933E-3</v>
      </c>
      <c r="P387">
        <f t="shared" ref="P387:P450" si="40">O387*100</f>
        <v>0.51307052978594936</v>
      </c>
      <c r="Q387">
        <f>VLOOKUP(C387,Sheet2!A:AU,47,0)</f>
        <v>1.396807174249155</v>
      </c>
      <c r="R387">
        <f t="shared" ref="R387:R450" si="41">IFERROR((P387+Q387),0)</f>
        <v>1.9098777040351043</v>
      </c>
    </row>
    <row r="388" spans="1:18" x14ac:dyDescent="0.3">
      <c r="A388" s="1">
        <v>386</v>
      </c>
      <c r="B388">
        <v>386</v>
      </c>
      <c r="C388" t="s">
        <v>448</v>
      </c>
      <c r="D388" t="s">
        <v>105</v>
      </c>
      <c r="E388">
        <v>1</v>
      </c>
      <c r="F388" t="s">
        <v>12</v>
      </c>
      <c r="G388">
        <v>26325</v>
      </c>
      <c r="H388">
        <v>3.7986704653371298E-2</v>
      </c>
      <c r="I388">
        <v>2.4715873824820801E-2</v>
      </c>
      <c r="J388">
        <v>1.0924416230570001E-3</v>
      </c>
      <c r="K388">
        <v>2.4715873824820811</v>
      </c>
      <c r="L388">
        <f t="shared" si="36"/>
        <v>0.4</v>
      </c>
      <c r="M388">
        <f t="shared" si="37"/>
        <v>0</v>
      </c>
      <c r="N388">
        <f t="shared" si="38"/>
        <v>9.4966761633428237E-2</v>
      </c>
      <c r="O388">
        <f t="shared" si="39"/>
        <v>4.1975308641975283E-3</v>
      </c>
      <c r="P388">
        <f t="shared" si="40"/>
        <v>0.41975308641975284</v>
      </c>
      <c r="Q388">
        <f>VLOOKUP(C388,Sheet2!A:AU,47,0)</f>
        <v>0.61566214833539867</v>
      </c>
      <c r="R388">
        <f t="shared" si="41"/>
        <v>1.0354152347551515</v>
      </c>
    </row>
    <row r="389" spans="1:18" x14ac:dyDescent="0.3">
      <c r="A389" s="1">
        <v>387</v>
      </c>
      <c r="B389">
        <v>387</v>
      </c>
      <c r="C389" t="s">
        <v>449</v>
      </c>
      <c r="D389" t="s">
        <v>105</v>
      </c>
      <c r="E389">
        <v>2</v>
      </c>
      <c r="F389" t="s">
        <v>12</v>
      </c>
      <c r="G389">
        <v>19866</v>
      </c>
      <c r="H389">
        <v>0.1006745192791704</v>
      </c>
      <c r="I389">
        <v>9.7702166449260899E-2</v>
      </c>
      <c r="J389">
        <v>4.3184357570573003E-3</v>
      </c>
      <c r="K389">
        <v>9.7702166449260961</v>
      </c>
      <c r="L389">
        <f t="shared" si="36"/>
        <v>0.4</v>
      </c>
      <c r="M389">
        <f t="shared" si="37"/>
        <v>0</v>
      </c>
      <c r="N389">
        <f t="shared" si="38"/>
        <v>0.25168629819792598</v>
      </c>
      <c r="O389">
        <f t="shared" si="39"/>
        <v>1.1124534380348329E-2</v>
      </c>
      <c r="P389">
        <f t="shared" si="40"/>
        <v>1.112453438034833</v>
      </c>
      <c r="Q389">
        <f>VLOOKUP(C389,Sheet2!A:AU,47,0)</f>
        <v>3.7938011053294973</v>
      </c>
      <c r="R389">
        <f t="shared" si="41"/>
        <v>4.9062545433643301</v>
      </c>
    </row>
    <row r="390" spans="1:18" x14ac:dyDescent="0.3">
      <c r="A390" s="1">
        <v>388</v>
      </c>
      <c r="B390">
        <v>388</v>
      </c>
      <c r="C390" t="s">
        <v>450</v>
      </c>
      <c r="D390" t="s">
        <v>54</v>
      </c>
      <c r="E390">
        <v>2</v>
      </c>
      <c r="F390" t="s">
        <v>17</v>
      </c>
      <c r="G390">
        <v>25494</v>
      </c>
      <c r="H390">
        <v>7.8449831332862596E-2</v>
      </c>
      <c r="I390">
        <v>7.1826362872140906E-2</v>
      </c>
      <c r="J390">
        <v>3.1747252389485998E-3</v>
      </c>
      <c r="K390">
        <v>7.1826362872140948</v>
      </c>
      <c r="L390">
        <f t="shared" si="36"/>
        <v>0.4</v>
      </c>
      <c r="M390">
        <f t="shared" si="37"/>
        <v>0</v>
      </c>
      <c r="N390">
        <f t="shared" si="38"/>
        <v>0.19612457833215649</v>
      </c>
      <c r="O390">
        <f t="shared" si="39"/>
        <v>8.6687063622813178E-3</v>
      </c>
      <c r="P390">
        <f t="shared" si="40"/>
        <v>0.86687063622813176</v>
      </c>
      <c r="Q390">
        <f>VLOOKUP(C390,Sheet2!A:AU,47,0)</f>
        <v>1.6145520073215667</v>
      </c>
      <c r="R390">
        <f t="shared" si="41"/>
        <v>2.4814226435496982</v>
      </c>
    </row>
    <row r="391" spans="1:18" x14ac:dyDescent="0.3">
      <c r="A391" s="1">
        <v>389</v>
      </c>
      <c r="B391">
        <v>389</v>
      </c>
      <c r="C391" t="s">
        <v>451</v>
      </c>
      <c r="D391" t="s">
        <v>54</v>
      </c>
      <c r="E391">
        <v>1</v>
      </c>
      <c r="F391" t="s">
        <v>17</v>
      </c>
      <c r="G391">
        <v>23435</v>
      </c>
      <c r="H391">
        <v>4.26712182632814E-2</v>
      </c>
      <c r="I391">
        <v>3.0169968582741399E-2</v>
      </c>
      <c r="J391">
        <v>1.3335126113570999E-3</v>
      </c>
      <c r="K391">
        <v>3.0169968582741431</v>
      </c>
      <c r="L391">
        <f t="shared" si="36"/>
        <v>0.4</v>
      </c>
      <c r="M391">
        <f t="shared" si="37"/>
        <v>0</v>
      </c>
      <c r="N391">
        <f t="shared" si="38"/>
        <v>0.10667804565820349</v>
      </c>
      <c r="O391">
        <f t="shared" si="39"/>
        <v>4.7151696180925944E-3</v>
      </c>
      <c r="P391">
        <f t="shared" si="40"/>
        <v>0.47151696180925945</v>
      </c>
      <c r="Q391">
        <f>VLOOKUP(C391,Sheet2!A:AU,47,0)</f>
        <v>0.78258333853523443</v>
      </c>
      <c r="R391">
        <f t="shared" si="41"/>
        <v>1.2541003003444939</v>
      </c>
    </row>
    <row r="392" spans="1:18" x14ac:dyDescent="0.3">
      <c r="A392" s="1">
        <v>390</v>
      </c>
      <c r="B392">
        <v>390</v>
      </c>
      <c r="C392" t="s">
        <v>452</v>
      </c>
      <c r="D392" t="s">
        <v>54</v>
      </c>
      <c r="E392">
        <v>2</v>
      </c>
      <c r="F392" t="s">
        <v>17</v>
      </c>
      <c r="G392">
        <v>31812</v>
      </c>
      <c r="H392">
        <v>6.2869357475166601E-2</v>
      </c>
      <c r="I392">
        <v>5.3686297996801503E-2</v>
      </c>
      <c r="J392">
        <v>2.3729343714586001E-3</v>
      </c>
      <c r="K392">
        <v>5.3686297996801597</v>
      </c>
      <c r="L392">
        <f t="shared" si="36"/>
        <v>0.4</v>
      </c>
      <c r="M392">
        <f t="shared" si="37"/>
        <v>0</v>
      </c>
      <c r="N392">
        <f t="shared" si="38"/>
        <v>0.1571733936879165</v>
      </c>
      <c r="O392">
        <f t="shared" si="39"/>
        <v>6.94706400100591E-3</v>
      </c>
      <c r="P392">
        <f t="shared" si="40"/>
        <v>0.69470640010059104</v>
      </c>
      <c r="Q392">
        <f>VLOOKUP(C392,Sheet2!A:AU,47,0)</f>
        <v>1.0544577178187802</v>
      </c>
      <c r="R392">
        <f t="shared" si="41"/>
        <v>1.7491641179193711</v>
      </c>
    </row>
    <row r="393" spans="1:18" x14ac:dyDescent="0.3">
      <c r="A393" s="1">
        <v>391</v>
      </c>
      <c r="B393">
        <v>391</v>
      </c>
      <c r="C393" t="s">
        <v>453</v>
      </c>
      <c r="D393" t="s">
        <v>91</v>
      </c>
      <c r="E393">
        <v>2</v>
      </c>
      <c r="F393" t="s">
        <v>24</v>
      </c>
      <c r="G393">
        <v>38569</v>
      </c>
      <c r="H393">
        <v>5.1855116803650597E-2</v>
      </c>
      <c r="I393">
        <v>4.0862616114031997E-2</v>
      </c>
      <c r="J393">
        <v>1.8061276322401999E-3</v>
      </c>
      <c r="K393">
        <v>4.0862616114032031</v>
      </c>
      <c r="L393">
        <f t="shared" si="36"/>
        <v>0.4</v>
      </c>
      <c r="M393">
        <f t="shared" si="37"/>
        <v>0</v>
      </c>
      <c r="N393">
        <f t="shared" si="38"/>
        <v>0.12963779200912648</v>
      </c>
      <c r="O393">
        <f t="shared" si="39"/>
        <v>5.7299904068033904E-3</v>
      </c>
      <c r="P393">
        <f t="shared" si="40"/>
        <v>0.57299904068033902</v>
      </c>
      <c r="Q393">
        <f>VLOOKUP(C393,Sheet2!A:AU,47,0)</f>
        <v>0.40083513784299163</v>
      </c>
      <c r="R393">
        <f t="shared" si="41"/>
        <v>0.97383417852333065</v>
      </c>
    </row>
    <row r="394" spans="1:18" x14ac:dyDescent="0.3">
      <c r="A394" s="1">
        <v>392</v>
      </c>
      <c r="B394">
        <v>392</v>
      </c>
      <c r="C394" t="s">
        <v>454</v>
      </c>
      <c r="D394" t="s">
        <v>26</v>
      </c>
      <c r="E394">
        <v>1</v>
      </c>
      <c r="F394" t="s">
        <v>17</v>
      </c>
      <c r="G394">
        <v>18216</v>
      </c>
      <c r="H394">
        <v>5.4896794027228801E-2</v>
      </c>
      <c r="I394">
        <v>4.4403986079381001E-2</v>
      </c>
      <c r="J394">
        <v>1.9626561847086001E-3</v>
      </c>
      <c r="K394">
        <v>4.4403986079381079</v>
      </c>
      <c r="L394">
        <f t="shared" si="36"/>
        <v>0.4</v>
      </c>
      <c r="M394">
        <f t="shared" si="37"/>
        <v>0</v>
      </c>
      <c r="N394">
        <f t="shared" si="38"/>
        <v>0.137241985068072</v>
      </c>
      <c r="O394">
        <f t="shared" si="39"/>
        <v>6.0660957400087831E-3</v>
      </c>
      <c r="P394">
        <f t="shared" si="40"/>
        <v>0.60660957400087834</v>
      </c>
      <c r="Q394">
        <f>VLOOKUP(C394,Sheet2!A:AU,47,0)</f>
        <v>0.8306576898672855</v>
      </c>
      <c r="R394">
        <f t="shared" si="41"/>
        <v>1.4372672638681638</v>
      </c>
    </row>
    <row r="395" spans="1:18" x14ac:dyDescent="0.3">
      <c r="A395" s="1">
        <v>393</v>
      </c>
      <c r="B395">
        <v>393</v>
      </c>
      <c r="C395" t="s">
        <v>455</v>
      </c>
      <c r="D395" t="s">
        <v>145</v>
      </c>
      <c r="E395">
        <v>1</v>
      </c>
      <c r="F395" t="s">
        <v>12</v>
      </c>
      <c r="G395">
        <v>37017</v>
      </c>
      <c r="H395">
        <v>2.70146149066645E-2</v>
      </c>
      <c r="I395">
        <v>1.19412675040384E-2</v>
      </c>
      <c r="J395">
        <v>5.2780402367850001E-4</v>
      </c>
      <c r="K395">
        <v>1.19412675040385</v>
      </c>
      <c r="L395">
        <f t="shared" si="36"/>
        <v>0.4</v>
      </c>
      <c r="M395">
        <f t="shared" si="37"/>
        <v>0</v>
      </c>
      <c r="N395">
        <f t="shared" si="38"/>
        <v>6.7536537266661242E-2</v>
      </c>
      <c r="O395">
        <f t="shared" si="39"/>
        <v>2.985114947186427E-3</v>
      </c>
      <c r="P395">
        <f t="shared" si="40"/>
        <v>0.29851149471864269</v>
      </c>
      <c r="Q395">
        <f>VLOOKUP(C395,Sheet2!A:AU,47,0)</f>
        <v>0.44233752891740774</v>
      </c>
      <c r="R395">
        <f t="shared" si="41"/>
        <v>0.74084902363605043</v>
      </c>
    </row>
    <row r="396" spans="1:18" x14ac:dyDescent="0.3">
      <c r="A396" s="1">
        <v>394</v>
      </c>
      <c r="B396">
        <v>394</v>
      </c>
      <c r="C396" t="s">
        <v>456</v>
      </c>
      <c r="D396" t="s">
        <v>145</v>
      </c>
      <c r="E396">
        <v>1</v>
      </c>
      <c r="F396" t="s">
        <v>12</v>
      </c>
      <c r="G396">
        <v>32802</v>
      </c>
      <c r="H396">
        <v>3.0485945978903702E-2</v>
      </c>
      <c r="I396">
        <v>1.5982875700896699E-2</v>
      </c>
      <c r="J396">
        <v>7.0644310597960005E-4</v>
      </c>
      <c r="K396">
        <v>1.598287570089679</v>
      </c>
      <c r="L396">
        <f t="shared" si="36"/>
        <v>0.4</v>
      </c>
      <c r="M396">
        <f t="shared" si="37"/>
        <v>0</v>
      </c>
      <c r="N396">
        <f t="shared" si="38"/>
        <v>7.621486494725925E-2</v>
      </c>
      <c r="O396">
        <f t="shared" si="39"/>
        <v>3.3686970306688593E-3</v>
      </c>
      <c r="P396">
        <f t="shared" si="40"/>
        <v>0.33686970306688591</v>
      </c>
      <c r="Q396">
        <f>VLOOKUP(C396,Sheet2!A:AU,47,0)</f>
        <v>0.30953041239173656</v>
      </c>
      <c r="R396">
        <f t="shared" si="41"/>
        <v>0.64640011545862253</v>
      </c>
    </row>
    <row r="397" spans="1:18" x14ac:dyDescent="0.3">
      <c r="A397" s="1">
        <v>395</v>
      </c>
      <c r="B397">
        <v>395</v>
      </c>
      <c r="C397" t="s">
        <v>457</v>
      </c>
      <c r="D397" t="s">
        <v>121</v>
      </c>
      <c r="E397">
        <v>2</v>
      </c>
      <c r="F397" t="s">
        <v>12</v>
      </c>
      <c r="G397">
        <v>22663</v>
      </c>
      <c r="H397">
        <v>8.8249569783347304E-2</v>
      </c>
      <c r="I397">
        <v>8.3236021710298799E-2</v>
      </c>
      <c r="J397">
        <v>3.6790321595952E-3</v>
      </c>
      <c r="K397">
        <v>8.3236021710298811</v>
      </c>
      <c r="L397">
        <f t="shared" si="36"/>
        <v>0.4</v>
      </c>
      <c r="M397">
        <f t="shared" si="37"/>
        <v>0</v>
      </c>
      <c r="N397">
        <f t="shared" si="38"/>
        <v>0.22062392445836826</v>
      </c>
      <c r="O397">
        <f t="shared" si="39"/>
        <v>9.7515774610598769E-3</v>
      </c>
      <c r="P397">
        <f t="shared" si="40"/>
        <v>0.97515774610598771</v>
      </c>
      <c r="Q397">
        <f>VLOOKUP(C397,Sheet2!A:AU,47,0)</f>
        <v>1.783441941271273</v>
      </c>
      <c r="R397">
        <f t="shared" si="41"/>
        <v>2.7585996873772607</v>
      </c>
    </row>
    <row r="398" spans="1:18" x14ac:dyDescent="0.3">
      <c r="A398" s="1">
        <v>396</v>
      </c>
      <c r="B398">
        <v>396</v>
      </c>
      <c r="C398" t="s">
        <v>458</v>
      </c>
      <c r="D398" t="s">
        <v>121</v>
      </c>
      <c r="E398">
        <v>2</v>
      </c>
      <c r="F398" t="s">
        <v>12</v>
      </c>
      <c r="G398">
        <v>15663</v>
      </c>
      <c r="H398">
        <v>0.12768945923514011</v>
      </c>
      <c r="I398">
        <v>0.12915517409720381</v>
      </c>
      <c r="J398">
        <v>5.7086586950963998E-3</v>
      </c>
      <c r="K398">
        <v>12.91551740972038</v>
      </c>
      <c r="L398">
        <f t="shared" si="36"/>
        <v>0.4</v>
      </c>
      <c r="M398">
        <f t="shared" si="37"/>
        <v>0</v>
      </c>
      <c r="N398">
        <f t="shared" si="38"/>
        <v>0.31922364808785025</v>
      </c>
      <c r="O398">
        <f t="shared" si="39"/>
        <v>1.4109685245482981E-2</v>
      </c>
      <c r="P398">
        <f t="shared" si="40"/>
        <v>1.4109685245482981</v>
      </c>
      <c r="Q398">
        <f>VLOOKUP(C398,Sheet2!A:AU,47,0)</f>
        <v>3.5196812971912164</v>
      </c>
      <c r="R398">
        <f t="shared" si="41"/>
        <v>4.9306498217395145</v>
      </c>
    </row>
    <row r="399" spans="1:18" x14ac:dyDescent="0.3">
      <c r="A399" s="1">
        <v>397</v>
      </c>
      <c r="B399">
        <v>397</v>
      </c>
      <c r="C399" t="s">
        <v>459</v>
      </c>
      <c r="D399" t="s">
        <v>50</v>
      </c>
      <c r="E399">
        <v>1</v>
      </c>
      <c r="F399" t="s">
        <v>12</v>
      </c>
      <c r="G399">
        <v>30611</v>
      </c>
      <c r="H399">
        <v>3.2667995165136701E-2</v>
      </c>
      <c r="I399">
        <v>1.85233962371124E-2</v>
      </c>
      <c r="J399">
        <v>8.1873411368029998E-4</v>
      </c>
      <c r="K399">
        <v>1.8523396237112451</v>
      </c>
      <c r="L399">
        <f t="shared" si="36"/>
        <v>0.4</v>
      </c>
      <c r="M399">
        <f t="shared" si="37"/>
        <v>0</v>
      </c>
      <c r="N399">
        <f t="shared" si="38"/>
        <v>8.1669987912841746E-2</v>
      </c>
      <c r="O399">
        <f t="shared" si="39"/>
        <v>3.6098134657476053E-3</v>
      </c>
      <c r="P399">
        <f t="shared" si="40"/>
        <v>0.36098134657476055</v>
      </c>
      <c r="Q399">
        <f>VLOOKUP(C399,Sheet2!A:AU,47,0)</f>
        <v>0.38822192887544699</v>
      </c>
      <c r="R399">
        <f t="shared" si="41"/>
        <v>0.7492032754502076</v>
      </c>
    </row>
    <row r="400" spans="1:18" x14ac:dyDescent="0.3">
      <c r="A400" s="1">
        <v>398</v>
      </c>
      <c r="B400">
        <v>398</v>
      </c>
      <c r="C400" t="s">
        <v>460</v>
      </c>
      <c r="D400" t="s">
        <v>145</v>
      </c>
      <c r="E400">
        <v>1</v>
      </c>
      <c r="F400" t="s">
        <v>12</v>
      </c>
      <c r="G400">
        <v>32249</v>
      </c>
      <c r="H400">
        <v>3.1008713448479001E-2</v>
      </c>
      <c r="I400">
        <v>1.65915244428687E-2</v>
      </c>
      <c r="J400">
        <v>7.3334538037469999E-4</v>
      </c>
      <c r="K400">
        <v>1.6591524442868699</v>
      </c>
      <c r="L400">
        <f t="shared" si="36"/>
        <v>0.4</v>
      </c>
      <c r="M400">
        <f t="shared" si="37"/>
        <v>0</v>
      </c>
      <c r="N400">
        <f t="shared" si="38"/>
        <v>7.7521783621197493E-2</v>
      </c>
      <c r="O400">
        <f t="shared" si="39"/>
        <v>3.4264628360569293E-3</v>
      </c>
      <c r="P400">
        <f t="shared" si="40"/>
        <v>0.34264628360569294</v>
      </c>
      <c r="Q400">
        <f>VLOOKUP(C400,Sheet2!A:AU,47,0)</f>
        <v>0.50377646171972834</v>
      </c>
      <c r="R400">
        <f t="shared" si="41"/>
        <v>0.84642274532542128</v>
      </c>
    </row>
    <row r="401" spans="1:18" x14ac:dyDescent="0.3">
      <c r="A401" s="1">
        <v>399</v>
      </c>
      <c r="B401">
        <v>399</v>
      </c>
      <c r="C401" t="s">
        <v>461</v>
      </c>
      <c r="D401" t="s">
        <v>145</v>
      </c>
      <c r="E401">
        <v>2</v>
      </c>
      <c r="F401" t="s">
        <v>12</v>
      </c>
      <c r="G401">
        <v>17261</v>
      </c>
      <c r="H401">
        <v>0.11586814205434209</v>
      </c>
      <c r="I401">
        <v>0.1153918275821865</v>
      </c>
      <c r="J401">
        <v>5.1003187791326E-3</v>
      </c>
      <c r="K401">
        <v>11.539182758218651</v>
      </c>
      <c r="L401">
        <f t="shared" si="36"/>
        <v>0.4</v>
      </c>
      <c r="M401">
        <f t="shared" si="37"/>
        <v>0</v>
      </c>
      <c r="N401">
        <f t="shared" si="38"/>
        <v>0.28967035513585521</v>
      </c>
      <c r="O401">
        <f t="shared" si="39"/>
        <v>1.2803429697004801E-2</v>
      </c>
      <c r="P401">
        <f t="shared" si="40"/>
        <v>1.28034296970048</v>
      </c>
      <c r="Q401">
        <f>VLOOKUP(C401,Sheet2!A:AU,47,0)</f>
        <v>2.3813119109824772</v>
      </c>
      <c r="R401">
        <f t="shared" si="41"/>
        <v>3.6616548806829572</v>
      </c>
    </row>
    <row r="402" spans="1:18" x14ac:dyDescent="0.3">
      <c r="A402" s="1">
        <v>400</v>
      </c>
      <c r="B402">
        <v>400</v>
      </c>
      <c r="C402" t="s">
        <v>462</v>
      </c>
      <c r="D402" t="s">
        <v>121</v>
      </c>
      <c r="E402">
        <v>1</v>
      </c>
      <c r="F402" t="s">
        <v>12</v>
      </c>
      <c r="G402">
        <v>17534</v>
      </c>
      <c r="H402">
        <v>5.7032052013231402E-2</v>
      </c>
      <c r="I402">
        <v>4.6890028464577301E-2</v>
      </c>
      <c r="J402">
        <v>2.0725392581342999E-3</v>
      </c>
      <c r="K402">
        <v>4.6890028464577309</v>
      </c>
      <c r="L402">
        <f t="shared" si="36"/>
        <v>0.4</v>
      </c>
      <c r="M402">
        <f t="shared" si="37"/>
        <v>0</v>
      </c>
      <c r="N402">
        <f t="shared" si="38"/>
        <v>0.14258013003307848</v>
      </c>
      <c r="O402">
        <f t="shared" si="39"/>
        <v>6.3020417474620692E-3</v>
      </c>
      <c r="P402">
        <f t="shared" si="40"/>
        <v>0.63020417474620694</v>
      </c>
      <c r="Q402">
        <f>VLOOKUP(C402,Sheet2!A:AU,47,0)</f>
        <v>0.85168795899981975</v>
      </c>
      <c r="R402">
        <f t="shared" si="41"/>
        <v>1.4818921337460267</v>
      </c>
    </row>
    <row r="403" spans="1:18" x14ac:dyDescent="0.3">
      <c r="A403" s="1">
        <v>401</v>
      </c>
      <c r="B403">
        <v>401</v>
      </c>
      <c r="C403" t="s">
        <v>463</v>
      </c>
      <c r="D403" t="s">
        <v>121</v>
      </c>
      <c r="E403">
        <v>1</v>
      </c>
      <c r="F403" t="s">
        <v>12</v>
      </c>
      <c r="G403">
        <v>13783</v>
      </c>
      <c r="H403">
        <v>7.2553145178843495E-2</v>
      </c>
      <c r="I403">
        <v>6.4960957470456895E-2</v>
      </c>
      <c r="J403">
        <v>2.8712743201941E-3</v>
      </c>
      <c r="K403">
        <v>6.496095747045695</v>
      </c>
      <c r="L403">
        <f t="shared" si="36"/>
        <v>0.4</v>
      </c>
      <c r="M403">
        <f t="shared" si="37"/>
        <v>0</v>
      </c>
      <c r="N403">
        <f t="shared" si="38"/>
        <v>0.18138286294710873</v>
      </c>
      <c r="O403">
        <f t="shared" si="39"/>
        <v>8.0171225422622071E-3</v>
      </c>
      <c r="P403">
        <f t="shared" si="40"/>
        <v>0.80171225422622072</v>
      </c>
      <c r="Q403">
        <f>VLOOKUP(C403,Sheet2!A:AU,47,0)</f>
        <v>2.6280592351029188</v>
      </c>
      <c r="R403">
        <f t="shared" si="41"/>
        <v>3.4297714893291396</v>
      </c>
    </row>
    <row r="404" spans="1:18" x14ac:dyDescent="0.3">
      <c r="A404" s="1">
        <v>402</v>
      </c>
      <c r="B404">
        <v>402</v>
      </c>
      <c r="C404" t="s">
        <v>464</v>
      </c>
      <c r="D404" t="s">
        <v>121</v>
      </c>
      <c r="E404">
        <v>2</v>
      </c>
      <c r="F404" t="s">
        <v>12</v>
      </c>
      <c r="G404">
        <v>23527</v>
      </c>
      <c r="H404">
        <v>8.5008713393122798E-2</v>
      </c>
      <c r="I404">
        <v>7.9462751031416895E-2</v>
      </c>
      <c r="J404">
        <v>3.5122535955886E-3</v>
      </c>
      <c r="K404">
        <v>7.9462751031416898</v>
      </c>
      <c r="L404">
        <f t="shared" si="36"/>
        <v>0.4</v>
      </c>
      <c r="M404">
        <f t="shared" si="37"/>
        <v>0</v>
      </c>
      <c r="N404">
        <f t="shared" si="38"/>
        <v>0.21252178348280698</v>
      </c>
      <c r="O404">
        <f t="shared" si="39"/>
        <v>9.3934628299400698E-3</v>
      </c>
      <c r="P404">
        <f t="shared" si="40"/>
        <v>0.93934628299400702</v>
      </c>
      <c r="Q404">
        <f>VLOOKUP(C404,Sheet2!A:AU,47,0)</f>
        <v>1.9237468709382908</v>
      </c>
      <c r="R404">
        <f t="shared" si="41"/>
        <v>2.8630931539322977</v>
      </c>
    </row>
    <row r="405" spans="1:18" x14ac:dyDescent="0.3">
      <c r="A405" s="1">
        <v>403</v>
      </c>
      <c r="B405">
        <v>403</v>
      </c>
      <c r="C405" t="s">
        <v>465</v>
      </c>
      <c r="D405" t="s">
        <v>64</v>
      </c>
      <c r="E405">
        <v>2</v>
      </c>
      <c r="F405" t="s">
        <v>24</v>
      </c>
      <c r="G405">
        <v>20990</v>
      </c>
      <c r="H405">
        <v>9.5283468318246703E-2</v>
      </c>
      <c r="I405">
        <v>9.1425462988851694E-2</v>
      </c>
      <c r="J405">
        <v>4.0410054641072E-3</v>
      </c>
      <c r="K405">
        <v>9.1425462988851756</v>
      </c>
      <c r="L405">
        <f t="shared" si="36"/>
        <v>0.4</v>
      </c>
      <c r="M405">
        <f t="shared" si="37"/>
        <v>0</v>
      </c>
      <c r="N405">
        <f t="shared" si="38"/>
        <v>0.23820867079561675</v>
      </c>
      <c r="O405">
        <f t="shared" si="39"/>
        <v>1.0528823249166262E-2</v>
      </c>
      <c r="P405">
        <f t="shared" si="40"/>
        <v>1.0528823249166261</v>
      </c>
      <c r="Q405">
        <f>VLOOKUP(C405,Sheet2!A:AU,47,0)</f>
        <v>2.3077760974764416</v>
      </c>
      <c r="R405">
        <f t="shared" si="41"/>
        <v>3.360658422393068</v>
      </c>
    </row>
    <row r="406" spans="1:18" x14ac:dyDescent="0.3">
      <c r="A406" s="1">
        <v>404</v>
      </c>
      <c r="B406">
        <v>404</v>
      </c>
      <c r="C406" t="s">
        <v>466</v>
      </c>
      <c r="D406" t="s">
        <v>97</v>
      </c>
      <c r="E406">
        <v>1</v>
      </c>
      <c r="F406" t="s">
        <v>24</v>
      </c>
      <c r="G406">
        <v>14032</v>
      </c>
      <c r="H406">
        <v>7.1265678449258796E-2</v>
      </c>
      <c r="I406">
        <v>6.3461983163717803E-2</v>
      </c>
      <c r="J406">
        <v>2.8050196558362999E-3</v>
      </c>
      <c r="K406">
        <v>6.3461983163717859</v>
      </c>
      <c r="L406">
        <f t="shared" si="36"/>
        <v>0.4</v>
      </c>
      <c r="M406">
        <f t="shared" si="37"/>
        <v>0</v>
      </c>
      <c r="N406">
        <f t="shared" si="38"/>
        <v>0.17816419612314699</v>
      </c>
      <c r="O406">
        <f t="shared" si="39"/>
        <v>7.8748574686430973E-3</v>
      </c>
      <c r="P406">
        <f t="shared" si="40"/>
        <v>0.78748574686430972</v>
      </c>
      <c r="Q406">
        <f>VLOOKUP(C406,Sheet2!A:AU,47,0)</f>
        <v>1.396807174249155</v>
      </c>
      <c r="R406">
        <f t="shared" si="41"/>
        <v>2.1842929211134647</v>
      </c>
    </row>
    <row r="407" spans="1:18" x14ac:dyDescent="0.3">
      <c r="A407" s="1">
        <v>405</v>
      </c>
      <c r="B407">
        <v>405</v>
      </c>
      <c r="C407" t="s">
        <v>467</v>
      </c>
      <c r="D407" t="s">
        <v>97</v>
      </c>
      <c r="E407">
        <v>1</v>
      </c>
      <c r="F407" t="s">
        <v>24</v>
      </c>
      <c r="G407">
        <v>16436</v>
      </c>
      <c r="H407">
        <v>6.0842054027743897E-2</v>
      </c>
      <c r="I407">
        <v>5.1325945134999502E-2</v>
      </c>
      <c r="J407">
        <v>2.2686067749668999E-3</v>
      </c>
      <c r="K407">
        <v>5.1325945134999493</v>
      </c>
      <c r="L407">
        <f t="shared" si="36"/>
        <v>0.4</v>
      </c>
      <c r="M407">
        <f t="shared" si="37"/>
        <v>0</v>
      </c>
      <c r="N407">
        <f t="shared" si="38"/>
        <v>0.15210513506935974</v>
      </c>
      <c r="O407">
        <f t="shared" si="39"/>
        <v>6.7230469700657013E-3</v>
      </c>
      <c r="P407">
        <f t="shared" si="40"/>
        <v>0.67230469700657014</v>
      </c>
      <c r="Q407">
        <f>VLOOKUP(C407,Sheet2!A:AU,47,0)</f>
        <v>0.72122027716443182</v>
      </c>
      <c r="R407">
        <f t="shared" si="41"/>
        <v>1.3935249741710019</v>
      </c>
    </row>
    <row r="408" spans="1:18" x14ac:dyDescent="0.3">
      <c r="A408" s="1">
        <v>406</v>
      </c>
      <c r="B408">
        <v>406</v>
      </c>
      <c r="C408" t="s">
        <v>468</v>
      </c>
      <c r="D408" t="s">
        <v>97</v>
      </c>
      <c r="E408">
        <v>1</v>
      </c>
      <c r="F408" t="s">
        <v>24</v>
      </c>
      <c r="G408">
        <v>13748</v>
      </c>
      <c r="H408">
        <v>7.2737852778585896E-2</v>
      </c>
      <c r="I408">
        <v>6.5176009199492901E-2</v>
      </c>
      <c r="J408">
        <v>2.8807796066175001E-3</v>
      </c>
      <c r="K408">
        <v>6.5176009199492899</v>
      </c>
      <c r="L408">
        <f t="shared" si="36"/>
        <v>0.4</v>
      </c>
      <c r="M408">
        <f t="shared" si="37"/>
        <v>0</v>
      </c>
      <c r="N408">
        <f t="shared" si="38"/>
        <v>0.18184463194646472</v>
      </c>
      <c r="O408">
        <f t="shared" si="39"/>
        <v>8.0375327320337409E-3</v>
      </c>
      <c r="P408">
        <f t="shared" si="40"/>
        <v>0.80375327320337409</v>
      </c>
      <c r="Q408">
        <f>VLOOKUP(C408,Sheet2!A:AU,47,0)</f>
        <v>1.1721467083917076</v>
      </c>
      <c r="R408">
        <f t="shared" si="41"/>
        <v>1.9758999815950817</v>
      </c>
    </row>
    <row r="409" spans="1:18" x14ac:dyDescent="0.3">
      <c r="A409" s="1">
        <v>407</v>
      </c>
      <c r="B409">
        <v>407</v>
      </c>
      <c r="C409" t="s">
        <v>469</v>
      </c>
      <c r="D409" t="s">
        <v>145</v>
      </c>
      <c r="E409">
        <v>1</v>
      </c>
      <c r="F409" t="s">
        <v>12</v>
      </c>
      <c r="G409">
        <v>22197</v>
      </c>
      <c r="H409">
        <v>4.5051133035995797E-2</v>
      </c>
      <c r="I409">
        <v>3.2940860454781201E-2</v>
      </c>
      <c r="J409">
        <v>1.4559860321013E-3</v>
      </c>
      <c r="K409">
        <v>3.2940860454781209</v>
      </c>
      <c r="L409">
        <f t="shared" si="36"/>
        <v>0.4</v>
      </c>
      <c r="M409">
        <f t="shared" si="37"/>
        <v>0</v>
      </c>
      <c r="N409">
        <f t="shared" si="38"/>
        <v>0.11262783258998948</v>
      </c>
      <c r="O409">
        <f t="shared" si="39"/>
        <v>4.9781502004775354E-3</v>
      </c>
      <c r="P409">
        <f t="shared" si="40"/>
        <v>0.49781502004775352</v>
      </c>
      <c r="Q409">
        <f>VLOOKUP(C409,Sheet2!A:AU,47,0)</f>
        <v>1.4757945637986603</v>
      </c>
      <c r="R409">
        <f t="shared" si="41"/>
        <v>1.9736095838464138</v>
      </c>
    </row>
    <row r="410" spans="1:18" x14ac:dyDescent="0.3">
      <c r="A410" s="1">
        <v>408</v>
      </c>
      <c r="B410">
        <v>408</v>
      </c>
      <c r="C410" t="s">
        <v>470</v>
      </c>
      <c r="D410" t="s">
        <v>124</v>
      </c>
      <c r="E410">
        <v>1</v>
      </c>
      <c r="F410" t="s">
        <v>12</v>
      </c>
      <c r="G410">
        <v>19847</v>
      </c>
      <c r="H410">
        <v>5.0385448682420501E-2</v>
      </c>
      <c r="I410">
        <v>3.9151508011170101E-2</v>
      </c>
      <c r="J410">
        <v>1.7304966540937E-3</v>
      </c>
      <c r="K410">
        <v>3.9151508011170129</v>
      </c>
      <c r="L410">
        <f t="shared" si="36"/>
        <v>0.4</v>
      </c>
      <c r="M410">
        <f t="shared" si="37"/>
        <v>0</v>
      </c>
      <c r="N410">
        <f t="shared" si="38"/>
        <v>0.12596362170605124</v>
      </c>
      <c r="O410">
        <f t="shared" si="39"/>
        <v>5.5675920794074655E-3</v>
      </c>
      <c r="P410">
        <f t="shared" si="40"/>
        <v>0.55675920794074651</v>
      </c>
      <c r="Q410">
        <f>VLOOKUP(C410,Sheet2!A:AU,47,0)</f>
        <v>1.8297400832360902</v>
      </c>
      <c r="R410">
        <f t="shared" si="41"/>
        <v>2.3864992911768366</v>
      </c>
    </row>
    <row r="411" spans="1:18" x14ac:dyDescent="0.3">
      <c r="A411" s="1">
        <v>409</v>
      </c>
      <c r="B411">
        <v>409</v>
      </c>
      <c r="C411" t="s">
        <v>471</v>
      </c>
      <c r="D411" t="s">
        <v>214</v>
      </c>
      <c r="E411">
        <v>2</v>
      </c>
      <c r="F411" t="s">
        <v>12</v>
      </c>
      <c r="G411">
        <v>5402</v>
      </c>
      <c r="H411">
        <v>0.37023324694557569</v>
      </c>
      <c r="I411">
        <v>0.4115445342901583</v>
      </c>
      <c r="J411">
        <v>1.8190268415624999E-2</v>
      </c>
      <c r="K411">
        <v>41.154453429015831</v>
      </c>
      <c r="L411">
        <f t="shared" si="36"/>
        <v>0.4</v>
      </c>
      <c r="M411">
        <f t="shared" si="37"/>
        <v>0</v>
      </c>
      <c r="N411">
        <f t="shared" si="38"/>
        <v>0.92558311736393917</v>
      </c>
      <c r="O411">
        <f t="shared" si="39"/>
        <v>4.0910773787486115E-2</v>
      </c>
      <c r="P411">
        <f t="shared" si="40"/>
        <v>4.0910773787486114</v>
      </c>
      <c r="Q411">
        <f>VLOOKUP(C411,Sheet2!A:AU,47,0)</f>
        <v>8.0399999999999991</v>
      </c>
      <c r="R411">
        <f t="shared" si="41"/>
        <v>12.131077378748611</v>
      </c>
    </row>
    <row r="412" spans="1:18" x14ac:dyDescent="0.3">
      <c r="A412" s="1">
        <v>410</v>
      </c>
      <c r="B412">
        <v>410</v>
      </c>
      <c r="C412" t="s">
        <v>472</v>
      </c>
      <c r="D412" t="s">
        <v>121</v>
      </c>
      <c r="E412">
        <v>2</v>
      </c>
      <c r="F412" t="s">
        <v>12</v>
      </c>
      <c r="G412">
        <v>36777</v>
      </c>
      <c r="H412">
        <v>5.4381814721157197E-2</v>
      </c>
      <c r="I412">
        <v>4.3804404955795302E-2</v>
      </c>
      <c r="J412">
        <v>1.9361546990460999E-3</v>
      </c>
      <c r="K412">
        <v>4.3804404955795357</v>
      </c>
      <c r="L412">
        <f t="shared" si="36"/>
        <v>0.4</v>
      </c>
      <c r="M412">
        <f t="shared" si="37"/>
        <v>0</v>
      </c>
      <c r="N412">
        <f t="shared" si="38"/>
        <v>0.13595453680289299</v>
      </c>
      <c r="O412">
        <f t="shared" si="39"/>
        <v>6.0091905266878706E-3</v>
      </c>
      <c r="P412">
        <f t="shared" si="40"/>
        <v>0.60091905266878709</v>
      </c>
      <c r="Q412">
        <f>VLOOKUP(C412,Sheet2!A:AU,47,0)</f>
        <v>0.96296451578400599</v>
      </c>
      <c r="R412">
        <f t="shared" si="41"/>
        <v>1.563883568452793</v>
      </c>
    </row>
    <row r="413" spans="1:18" x14ac:dyDescent="0.3">
      <c r="A413" s="1">
        <v>411</v>
      </c>
      <c r="B413">
        <v>411</v>
      </c>
      <c r="C413" t="s">
        <v>473</v>
      </c>
      <c r="D413" t="s">
        <v>74</v>
      </c>
      <c r="E413">
        <v>1</v>
      </c>
      <c r="F413" t="s">
        <v>17</v>
      </c>
      <c r="G413">
        <v>19657</v>
      </c>
      <c r="H413">
        <v>5.0872462735920998E-2</v>
      </c>
      <c r="I413">
        <v>3.9718529695259498E-2</v>
      </c>
      <c r="J413">
        <v>1.7555590125304E-3</v>
      </c>
      <c r="K413">
        <v>3.9718529695259508</v>
      </c>
      <c r="L413">
        <f t="shared" si="36"/>
        <v>0.4</v>
      </c>
      <c r="M413">
        <f t="shared" si="37"/>
        <v>0</v>
      </c>
      <c r="N413">
        <f t="shared" si="38"/>
        <v>0.12718115683980249</v>
      </c>
      <c r="O413">
        <f t="shared" si="39"/>
        <v>5.6214071323192703E-3</v>
      </c>
      <c r="P413">
        <f t="shared" si="40"/>
        <v>0.56214071323192705</v>
      </c>
      <c r="Q413">
        <f>VLOOKUP(C413,Sheet2!A:AU,47,0)</f>
        <v>1.4823524124935268</v>
      </c>
      <c r="R413">
        <f t="shared" si="41"/>
        <v>2.0444931257254537</v>
      </c>
    </row>
    <row r="414" spans="1:18" x14ac:dyDescent="0.3">
      <c r="A414" s="1">
        <v>412</v>
      </c>
      <c r="B414">
        <v>412</v>
      </c>
      <c r="C414" t="s">
        <v>474</v>
      </c>
      <c r="D414" t="s">
        <v>74</v>
      </c>
      <c r="E414">
        <v>2</v>
      </c>
      <c r="F414" t="s">
        <v>17</v>
      </c>
      <c r="G414">
        <v>21451</v>
      </c>
      <c r="H414">
        <v>9.3235746585240697E-2</v>
      </c>
      <c r="I414">
        <v>8.9041337485183406E-2</v>
      </c>
      <c r="J414">
        <v>3.9356271168451001E-3</v>
      </c>
      <c r="K414">
        <v>8.9041337485183405</v>
      </c>
      <c r="L414">
        <f t="shared" si="36"/>
        <v>0.4</v>
      </c>
      <c r="M414">
        <f t="shared" si="37"/>
        <v>0</v>
      </c>
      <c r="N414">
        <f t="shared" si="38"/>
        <v>0.23308936646310174</v>
      </c>
      <c r="O414">
        <f t="shared" si="39"/>
        <v>1.0302549997669098E-2</v>
      </c>
      <c r="P414">
        <f t="shared" si="40"/>
        <v>1.0302549997669097</v>
      </c>
      <c r="Q414">
        <f>VLOOKUP(C414,Sheet2!A:AU,47,0)</f>
        <v>1.9007257467421621</v>
      </c>
      <c r="R414">
        <f t="shared" si="41"/>
        <v>2.9309807465090718</v>
      </c>
    </row>
    <row r="415" spans="1:18" x14ac:dyDescent="0.3">
      <c r="A415" s="1">
        <v>413</v>
      </c>
      <c r="B415">
        <v>413</v>
      </c>
      <c r="C415" t="s">
        <v>475</v>
      </c>
      <c r="D415" t="s">
        <v>74</v>
      </c>
      <c r="E415">
        <v>1</v>
      </c>
      <c r="F415" t="s">
        <v>17</v>
      </c>
      <c r="G415">
        <v>19802</v>
      </c>
      <c r="H415">
        <v>5.0499949500050503E-2</v>
      </c>
      <c r="I415">
        <v>3.9284819249265801E-2</v>
      </c>
      <c r="J415">
        <v>1.7363890108175E-3</v>
      </c>
      <c r="K415">
        <v>3.9284819249265839</v>
      </c>
      <c r="L415">
        <f t="shared" si="36"/>
        <v>0.4</v>
      </c>
      <c r="M415">
        <f t="shared" si="37"/>
        <v>0</v>
      </c>
      <c r="N415">
        <f t="shared" si="38"/>
        <v>0.12624987375012625</v>
      </c>
      <c r="O415">
        <f t="shared" si="39"/>
        <v>5.5802444197555808E-3</v>
      </c>
      <c r="P415">
        <f t="shared" si="40"/>
        <v>0.55802444197555812</v>
      </c>
      <c r="Q415">
        <f>VLOOKUP(C415,Sheet2!A:AU,47,0)</f>
        <v>0.83540653305298473</v>
      </c>
      <c r="R415">
        <f t="shared" si="41"/>
        <v>1.3934309750285427</v>
      </c>
    </row>
    <row r="416" spans="1:18" x14ac:dyDescent="0.3">
      <c r="A416" s="1">
        <v>414</v>
      </c>
      <c r="B416">
        <v>414</v>
      </c>
      <c r="C416" t="s">
        <v>476</v>
      </c>
      <c r="D416" t="s">
        <v>74</v>
      </c>
      <c r="E416">
        <v>2</v>
      </c>
      <c r="F416" t="s">
        <v>17</v>
      </c>
      <c r="G416">
        <v>18541</v>
      </c>
      <c r="H416">
        <v>0.1078690469769699</v>
      </c>
      <c r="I416">
        <v>0.1060786253668466</v>
      </c>
      <c r="J416">
        <v>4.6886752412146002E-3</v>
      </c>
      <c r="K416">
        <v>10.607862536684671</v>
      </c>
      <c r="L416">
        <f t="shared" si="36"/>
        <v>0.4</v>
      </c>
      <c r="M416">
        <f t="shared" si="37"/>
        <v>0</v>
      </c>
      <c r="N416">
        <f t="shared" si="38"/>
        <v>0.26967261744242477</v>
      </c>
      <c r="O416">
        <f t="shared" si="39"/>
        <v>1.1919529690955175E-2</v>
      </c>
      <c r="P416">
        <f t="shared" si="40"/>
        <v>1.1919529690955175</v>
      </c>
      <c r="Q416">
        <f>VLOOKUP(C416,Sheet2!A:AU,47,0)</f>
        <v>2.6600624441495979</v>
      </c>
      <c r="R416">
        <f t="shared" si="41"/>
        <v>3.8520154132451152</v>
      </c>
    </row>
    <row r="417" spans="1:18" x14ac:dyDescent="0.3">
      <c r="A417" s="1">
        <v>415</v>
      </c>
      <c r="B417">
        <v>415</v>
      </c>
      <c r="C417" t="s">
        <v>477</v>
      </c>
      <c r="D417" t="s">
        <v>23</v>
      </c>
      <c r="E417">
        <v>1</v>
      </c>
      <c r="F417" t="s">
        <v>24</v>
      </c>
      <c r="G417">
        <v>25845</v>
      </c>
      <c r="H417">
        <v>3.8692203520990502E-2</v>
      </c>
      <c r="I417">
        <v>2.5537273439811901E-2</v>
      </c>
      <c r="J417">
        <v>1.1287474860396001E-3</v>
      </c>
      <c r="K417">
        <v>2.5537273439811932</v>
      </c>
      <c r="L417">
        <f t="shared" si="36"/>
        <v>0.4</v>
      </c>
      <c r="M417">
        <f t="shared" si="37"/>
        <v>0</v>
      </c>
      <c r="N417">
        <f t="shared" si="38"/>
        <v>9.6730508802476245E-2</v>
      </c>
      <c r="O417">
        <f t="shared" si="39"/>
        <v>4.2754884890694499E-3</v>
      </c>
      <c r="P417">
        <f t="shared" si="40"/>
        <v>0.427548848906945</v>
      </c>
      <c r="Q417">
        <f>VLOOKUP(C417,Sheet2!A:AU,47,0)</f>
        <v>0.54792183946984585</v>
      </c>
      <c r="R417">
        <f t="shared" si="41"/>
        <v>0.97547068837679085</v>
      </c>
    </row>
    <row r="418" spans="1:18" x14ac:dyDescent="0.3">
      <c r="A418" s="1">
        <v>416</v>
      </c>
      <c r="B418">
        <v>416</v>
      </c>
      <c r="C418" t="s">
        <v>478</v>
      </c>
      <c r="D418" t="s">
        <v>286</v>
      </c>
      <c r="E418">
        <v>1</v>
      </c>
      <c r="F418" t="s">
        <v>24</v>
      </c>
      <c r="G418">
        <v>26309</v>
      </c>
      <c r="H418">
        <v>3.8009806530084699E-2</v>
      </c>
      <c r="I418">
        <v>2.4742770923468198E-2</v>
      </c>
      <c r="J418">
        <v>1.0936304748172E-3</v>
      </c>
      <c r="K418">
        <v>2.474277092346822</v>
      </c>
      <c r="L418">
        <f t="shared" si="36"/>
        <v>0.4</v>
      </c>
      <c r="M418">
        <f t="shared" si="37"/>
        <v>0</v>
      </c>
      <c r="N418">
        <f t="shared" si="38"/>
        <v>9.5024516325211736E-2</v>
      </c>
      <c r="O418">
        <f t="shared" si="39"/>
        <v>4.2000836215743591E-3</v>
      </c>
      <c r="P418">
        <f t="shared" si="40"/>
        <v>0.42000836215743592</v>
      </c>
      <c r="Q418">
        <f>VLOOKUP(C418,Sheet2!A:AU,47,0)</f>
        <v>0.39949676355956426</v>
      </c>
      <c r="R418">
        <f t="shared" si="41"/>
        <v>0.81950512571700018</v>
      </c>
    </row>
    <row r="419" spans="1:18" x14ac:dyDescent="0.3">
      <c r="A419" s="1">
        <v>417</v>
      </c>
      <c r="B419">
        <v>417</v>
      </c>
      <c r="C419" t="s">
        <v>479</v>
      </c>
      <c r="D419" t="s">
        <v>164</v>
      </c>
      <c r="E419">
        <v>1</v>
      </c>
      <c r="F419" t="s">
        <v>24</v>
      </c>
      <c r="G419">
        <v>40284</v>
      </c>
      <c r="H419">
        <v>2.4823751365306301E-2</v>
      </c>
      <c r="I419">
        <v>9.3904845730288008E-3</v>
      </c>
      <c r="J419">
        <v>4.1505941812779997E-4</v>
      </c>
      <c r="K419">
        <v>0.93904845730288455</v>
      </c>
      <c r="L419">
        <f t="shared" si="36"/>
        <v>0.4</v>
      </c>
      <c r="M419">
        <f t="shared" si="37"/>
        <v>0</v>
      </c>
      <c r="N419">
        <f t="shared" si="38"/>
        <v>6.2059378413265746E-2</v>
      </c>
      <c r="O419">
        <f t="shared" si="39"/>
        <v>2.7430245258663463E-3</v>
      </c>
      <c r="P419">
        <f t="shared" si="40"/>
        <v>0.2743024525866346</v>
      </c>
      <c r="Q419">
        <f>VLOOKUP(C419,Sheet2!A:AU,47,0)</f>
        <v>0.25980058360266933</v>
      </c>
      <c r="R419">
        <f t="shared" si="41"/>
        <v>0.53410303618930399</v>
      </c>
    </row>
    <row r="420" spans="1:18" x14ac:dyDescent="0.3">
      <c r="A420" s="1">
        <v>418</v>
      </c>
      <c r="B420">
        <v>418</v>
      </c>
      <c r="C420" t="s">
        <v>480</v>
      </c>
      <c r="D420" t="s">
        <v>70</v>
      </c>
      <c r="E420">
        <v>1</v>
      </c>
      <c r="F420" t="s">
        <v>12</v>
      </c>
      <c r="G420">
        <v>18604</v>
      </c>
      <c r="H420">
        <v>5.3751881315845997E-2</v>
      </c>
      <c r="I420">
        <v>4.3070984846506101E-2</v>
      </c>
      <c r="J420">
        <v>1.9037375302154999E-3</v>
      </c>
      <c r="K420">
        <v>4.3070984846506182</v>
      </c>
      <c r="L420">
        <f t="shared" si="36"/>
        <v>0.4</v>
      </c>
      <c r="M420">
        <f t="shared" si="37"/>
        <v>0</v>
      </c>
      <c r="N420">
        <f t="shared" si="38"/>
        <v>0.13437970328961499</v>
      </c>
      <c r="O420">
        <f t="shared" si="39"/>
        <v>5.9395828854009831E-3</v>
      </c>
      <c r="P420">
        <f t="shared" si="40"/>
        <v>0.59395828854009836</v>
      </c>
      <c r="Q420">
        <f>VLOOKUP(C420,Sheet2!A:AU,47,0)</f>
        <v>0.90308312859853324</v>
      </c>
      <c r="R420">
        <f t="shared" si="41"/>
        <v>1.4970414171386315</v>
      </c>
    </row>
    <row r="421" spans="1:18" x14ac:dyDescent="0.3">
      <c r="A421" s="1">
        <v>419</v>
      </c>
      <c r="B421">
        <v>419</v>
      </c>
      <c r="C421" t="s">
        <v>481</v>
      </c>
      <c r="D421" t="s">
        <v>70</v>
      </c>
      <c r="E421">
        <v>2</v>
      </c>
      <c r="F421" t="s">
        <v>12</v>
      </c>
      <c r="G421">
        <v>22229</v>
      </c>
      <c r="H421">
        <v>8.9972558369697198E-2</v>
      </c>
      <c r="I421">
        <v>8.5242066264612407E-2</v>
      </c>
      <c r="J421">
        <v>3.7676993288958001E-3</v>
      </c>
      <c r="K421">
        <v>8.5242066264612468</v>
      </c>
      <c r="L421">
        <f t="shared" si="36"/>
        <v>0.4</v>
      </c>
      <c r="M421">
        <f t="shared" si="37"/>
        <v>0</v>
      </c>
      <c r="N421">
        <f t="shared" si="38"/>
        <v>0.22493139592424299</v>
      </c>
      <c r="O421">
        <f t="shared" si="39"/>
        <v>9.9419676998515408E-3</v>
      </c>
      <c r="P421">
        <f t="shared" si="40"/>
        <v>0.99419676998515405</v>
      </c>
      <c r="Q421">
        <f>VLOOKUP(C421,Sheet2!A:AU,47,0)</f>
        <v>0.91344003398736495</v>
      </c>
      <c r="R421">
        <f t="shared" si="41"/>
        <v>1.9076368039725189</v>
      </c>
    </row>
    <row r="422" spans="1:18" x14ac:dyDescent="0.3">
      <c r="A422" s="1">
        <v>420</v>
      </c>
      <c r="B422">
        <v>420</v>
      </c>
      <c r="C422" t="s">
        <v>482</v>
      </c>
      <c r="D422" t="s">
        <v>105</v>
      </c>
      <c r="E422">
        <v>1</v>
      </c>
      <c r="F422" t="s">
        <v>12</v>
      </c>
      <c r="G422">
        <v>15131</v>
      </c>
      <c r="H422">
        <v>6.6089485162910494E-2</v>
      </c>
      <c r="I422">
        <v>5.7435434621019098E-2</v>
      </c>
      <c r="J422">
        <v>2.5386462102489999E-3</v>
      </c>
      <c r="K422">
        <v>5.7435434621019148</v>
      </c>
      <c r="L422">
        <f t="shared" si="36"/>
        <v>0.4</v>
      </c>
      <c r="M422">
        <f t="shared" si="37"/>
        <v>0</v>
      </c>
      <c r="N422">
        <f t="shared" si="38"/>
        <v>0.16522371290727622</v>
      </c>
      <c r="O422">
        <f t="shared" si="39"/>
        <v>7.3028881105016092E-3</v>
      </c>
      <c r="P422">
        <f t="shared" si="40"/>
        <v>0.73028881105016097</v>
      </c>
      <c r="Q422">
        <f>VLOOKUP(C422,Sheet2!A:AU,47,0)</f>
        <v>2.1396445065284282</v>
      </c>
      <c r="R422">
        <f t="shared" si="41"/>
        <v>2.8699333175785893</v>
      </c>
    </row>
    <row r="423" spans="1:18" x14ac:dyDescent="0.3">
      <c r="A423" s="1">
        <v>421</v>
      </c>
      <c r="B423">
        <v>421</v>
      </c>
      <c r="C423" t="s">
        <v>483</v>
      </c>
      <c r="D423" t="s">
        <v>105</v>
      </c>
      <c r="E423">
        <v>4</v>
      </c>
      <c r="F423" t="s">
        <v>12</v>
      </c>
      <c r="G423">
        <v>26857</v>
      </c>
      <c r="H423">
        <v>0.14893696243065119</v>
      </c>
      <c r="I423">
        <v>0.1538932590826721</v>
      </c>
      <c r="J423">
        <v>6.8020820514540998E-3</v>
      </c>
      <c r="K423">
        <v>15.38932590826721</v>
      </c>
      <c r="L423">
        <f t="shared" si="36"/>
        <v>0.4</v>
      </c>
      <c r="M423">
        <f t="shared" si="37"/>
        <v>0</v>
      </c>
      <c r="N423">
        <f t="shared" si="38"/>
        <v>0.37234240607662794</v>
      </c>
      <c r="O423">
        <f t="shared" si="39"/>
        <v>1.6457534348586957E-2</v>
      </c>
      <c r="P423">
        <f t="shared" si="40"/>
        <v>1.6457534348586957</v>
      </c>
      <c r="Q423">
        <f>VLOOKUP(C423,Sheet2!A:AU,47,0)</f>
        <v>4.9210803163251242</v>
      </c>
      <c r="R423">
        <f t="shared" si="41"/>
        <v>6.56683375118382</v>
      </c>
    </row>
    <row r="424" spans="1:18" x14ac:dyDescent="0.3">
      <c r="A424" s="1">
        <v>422</v>
      </c>
      <c r="B424">
        <v>422</v>
      </c>
      <c r="C424" t="s">
        <v>484</v>
      </c>
      <c r="D424" t="s">
        <v>164</v>
      </c>
      <c r="E424">
        <v>3</v>
      </c>
      <c r="F424" t="s">
        <v>24</v>
      </c>
      <c r="G424">
        <v>21210</v>
      </c>
      <c r="H424">
        <v>0.14144271570014141</v>
      </c>
      <c r="I424">
        <v>0.14516784269772071</v>
      </c>
      <c r="J424">
        <v>6.4164186472391999E-3</v>
      </c>
      <c r="K424">
        <v>14.516784269772071</v>
      </c>
      <c r="L424">
        <f t="shared" si="36"/>
        <v>0.4</v>
      </c>
      <c r="M424">
        <f t="shared" si="37"/>
        <v>0</v>
      </c>
      <c r="N424">
        <f t="shared" si="38"/>
        <v>0.35360678925035349</v>
      </c>
      <c r="O424">
        <f t="shared" si="39"/>
        <v>1.5629420084865626E-2</v>
      </c>
      <c r="P424">
        <f t="shared" si="40"/>
        <v>1.5629420084865626</v>
      </c>
      <c r="Q424">
        <f>VLOOKUP(C424,Sheet2!A:AU,47,0)</f>
        <v>2.5422604643138089</v>
      </c>
      <c r="R424">
        <f t="shared" si="41"/>
        <v>4.1052024728003715</v>
      </c>
    </row>
    <row r="425" spans="1:18" x14ac:dyDescent="0.3">
      <c r="A425" s="1">
        <v>423</v>
      </c>
      <c r="B425">
        <v>423</v>
      </c>
      <c r="C425" t="s">
        <v>485</v>
      </c>
      <c r="D425" t="s">
        <v>124</v>
      </c>
      <c r="E425">
        <v>1</v>
      </c>
      <c r="F425" t="s">
        <v>12</v>
      </c>
      <c r="G425">
        <v>15153</v>
      </c>
      <c r="H425">
        <v>6.5993532633801796E-2</v>
      </c>
      <c r="I425">
        <v>5.7323718820916802E-2</v>
      </c>
      <c r="J425">
        <v>2.5337083718845002E-3</v>
      </c>
      <c r="K425">
        <v>5.73237188209169</v>
      </c>
      <c r="L425">
        <f t="shared" si="36"/>
        <v>0.4</v>
      </c>
      <c r="M425">
        <f t="shared" si="37"/>
        <v>0</v>
      </c>
      <c r="N425">
        <f t="shared" si="38"/>
        <v>0.16498383158450447</v>
      </c>
      <c r="O425">
        <f t="shared" si="39"/>
        <v>7.292285356035098E-3</v>
      </c>
      <c r="P425">
        <f t="shared" si="40"/>
        <v>0.72922853560350975</v>
      </c>
      <c r="Q425">
        <f>VLOOKUP(C425,Sheet2!A:AU,47,0)</f>
        <v>4.0294784597542357</v>
      </c>
      <c r="R425">
        <f t="shared" si="41"/>
        <v>4.7587069953577457</v>
      </c>
    </row>
    <row r="426" spans="1:18" x14ac:dyDescent="0.3">
      <c r="A426" s="1">
        <v>424</v>
      </c>
      <c r="B426">
        <v>424</v>
      </c>
      <c r="C426" t="s">
        <v>485</v>
      </c>
      <c r="D426" t="s">
        <v>182</v>
      </c>
      <c r="E426">
        <v>1</v>
      </c>
      <c r="F426" t="s">
        <v>24</v>
      </c>
      <c r="G426">
        <v>26797</v>
      </c>
      <c r="H426">
        <v>3.7317610180244001E-2</v>
      </c>
      <c r="I426">
        <v>2.3936859190149401E-2</v>
      </c>
      <c r="J426">
        <v>1.0580091762045999E-3</v>
      </c>
      <c r="K426">
        <v>2.3936859190149451</v>
      </c>
      <c r="L426">
        <f t="shared" si="36"/>
        <v>0.4</v>
      </c>
      <c r="M426">
        <f t="shared" si="37"/>
        <v>0</v>
      </c>
      <c r="N426">
        <f t="shared" si="38"/>
        <v>9.3294025450609996E-2</v>
      </c>
      <c r="O426">
        <f t="shared" si="39"/>
        <v>4.1235959249169623E-3</v>
      </c>
      <c r="P426">
        <f t="shared" si="40"/>
        <v>0.41235959249169624</v>
      </c>
      <c r="Q426">
        <f>VLOOKUP(C426,Sheet2!A:AU,47,0)</f>
        <v>4.0294784597542357</v>
      </c>
      <c r="R426">
        <f t="shared" si="41"/>
        <v>4.4418380522459318</v>
      </c>
    </row>
    <row r="427" spans="1:18" x14ac:dyDescent="0.3">
      <c r="A427" s="1">
        <v>425</v>
      </c>
      <c r="B427">
        <v>425</v>
      </c>
      <c r="C427" t="s">
        <v>486</v>
      </c>
      <c r="D427" t="s">
        <v>198</v>
      </c>
      <c r="E427">
        <v>1</v>
      </c>
      <c r="F427" t="s">
        <v>12</v>
      </c>
      <c r="G427">
        <v>17818</v>
      </c>
      <c r="H427">
        <v>5.6123021663486303E-2</v>
      </c>
      <c r="I427">
        <v>4.5831660813590698E-2</v>
      </c>
      <c r="J427">
        <v>2.0257594079607002E-3</v>
      </c>
      <c r="K427">
        <v>4.58316608135907</v>
      </c>
      <c r="L427">
        <f t="shared" si="36"/>
        <v>0.4</v>
      </c>
      <c r="M427">
        <f t="shared" si="37"/>
        <v>0</v>
      </c>
      <c r="N427">
        <f t="shared" si="38"/>
        <v>0.14030755415871574</v>
      </c>
      <c r="O427">
        <f t="shared" si="39"/>
        <v>6.2015938938152363E-3</v>
      </c>
      <c r="P427">
        <f t="shared" si="40"/>
        <v>0.6201593893815236</v>
      </c>
      <c r="Q427">
        <f>VLOOKUP(C427,Sheet2!A:AU,47,0)</f>
        <v>1.4047814537438614</v>
      </c>
      <c r="R427">
        <f t="shared" si="41"/>
        <v>2.024940843125385</v>
      </c>
    </row>
    <row r="428" spans="1:18" x14ac:dyDescent="0.3">
      <c r="A428" s="1">
        <v>426</v>
      </c>
      <c r="B428">
        <v>426</v>
      </c>
      <c r="C428" t="s">
        <v>487</v>
      </c>
      <c r="D428" t="s">
        <v>198</v>
      </c>
      <c r="E428">
        <v>1</v>
      </c>
      <c r="F428" t="s">
        <v>12</v>
      </c>
      <c r="G428">
        <v>25604</v>
      </c>
      <c r="H428">
        <v>3.9056397437900299E-2</v>
      </c>
      <c r="I428">
        <v>2.5961297852694801E-2</v>
      </c>
      <c r="J428">
        <v>1.1474893650891E-3</v>
      </c>
      <c r="K428">
        <v>2.596129785269488</v>
      </c>
      <c r="L428">
        <f t="shared" si="36"/>
        <v>0.4</v>
      </c>
      <c r="M428">
        <f t="shared" si="37"/>
        <v>0</v>
      </c>
      <c r="N428">
        <f t="shared" si="38"/>
        <v>9.7640993594750744E-2</v>
      </c>
      <c r="O428">
        <f t="shared" si="39"/>
        <v>4.3157319168879828E-3</v>
      </c>
      <c r="P428">
        <f t="shared" si="40"/>
        <v>0.43157319168879826</v>
      </c>
      <c r="Q428">
        <f>VLOOKUP(C428,Sheet2!A:AU,47,0)</f>
        <v>1.1841049221634627</v>
      </c>
      <c r="R428">
        <f t="shared" si="41"/>
        <v>1.6156781138522609</v>
      </c>
    </row>
    <row r="429" spans="1:18" x14ac:dyDescent="0.3">
      <c r="A429" s="1">
        <v>427</v>
      </c>
      <c r="B429">
        <v>427</v>
      </c>
      <c r="C429" t="s">
        <v>488</v>
      </c>
      <c r="D429" t="s">
        <v>36</v>
      </c>
      <c r="E429">
        <v>1</v>
      </c>
      <c r="F429" t="s">
        <v>12</v>
      </c>
      <c r="G429">
        <v>15217</v>
      </c>
      <c r="H429">
        <v>6.5715975553657005E-2</v>
      </c>
      <c r="I429">
        <v>5.7000564115455198E-2</v>
      </c>
      <c r="J429">
        <v>2.5194249339031E-3</v>
      </c>
      <c r="K429">
        <v>5.7000564115455266</v>
      </c>
      <c r="L429">
        <f t="shared" si="36"/>
        <v>0.4</v>
      </c>
      <c r="M429">
        <f t="shared" si="37"/>
        <v>0</v>
      </c>
      <c r="N429">
        <f t="shared" si="38"/>
        <v>0.16428993888414251</v>
      </c>
      <c r="O429">
        <f t="shared" si="39"/>
        <v>7.2616152986790996E-3</v>
      </c>
      <c r="P429">
        <f t="shared" si="40"/>
        <v>0.72616152986790994</v>
      </c>
      <c r="Q429">
        <f>VLOOKUP(C429,Sheet2!A:AU,47,0)</f>
        <v>1.2961778665873356</v>
      </c>
      <c r="R429">
        <f t="shared" si="41"/>
        <v>2.0223393964552456</v>
      </c>
    </row>
    <row r="430" spans="1:18" x14ac:dyDescent="0.3">
      <c r="A430" s="1">
        <v>428</v>
      </c>
      <c r="B430">
        <v>428</v>
      </c>
      <c r="C430" t="s">
        <v>489</v>
      </c>
      <c r="D430" t="s">
        <v>109</v>
      </c>
      <c r="E430">
        <v>4</v>
      </c>
      <c r="F430" t="s">
        <v>24</v>
      </c>
      <c r="G430">
        <v>19618</v>
      </c>
      <c r="H430">
        <v>0.20389438270975629</v>
      </c>
      <c r="I430">
        <v>0.2178791929091852</v>
      </c>
      <c r="J430">
        <v>9.6302603265859005E-3</v>
      </c>
      <c r="K430">
        <v>21.787919290918531</v>
      </c>
      <c r="L430">
        <f t="shared" si="36"/>
        <v>0.4</v>
      </c>
      <c r="M430">
        <f t="shared" si="37"/>
        <v>0</v>
      </c>
      <c r="N430">
        <f t="shared" si="38"/>
        <v>0.50973595677439065</v>
      </c>
      <c r="O430">
        <f t="shared" si="39"/>
        <v>2.253032928942807E-2</v>
      </c>
      <c r="P430">
        <f t="shared" si="40"/>
        <v>2.2530329289428068</v>
      </c>
      <c r="Q430">
        <f>VLOOKUP(C430,Sheet2!A:AU,47,0)</f>
        <v>6.3077861311041188</v>
      </c>
      <c r="R430">
        <f t="shared" si="41"/>
        <v>8.5608190600469261</v>
      </c>
    </row>
    <row r="431" spans="1:18" x14ac:dyDescent="0.3">
      <c r="A431" s="1">
        <v>429</v>
      </c>
      <c r="B431">
        <v>429</v>
      </c>
      <c r="C431" t="s">
        <v>490</v>
      </c>
      <c r="D431" t="s">
        <v>36</v>
      </c>
      <c r="E431">
        <v>2</v>
      </c>
      <c r="F431" t="s">
        <v>12</v>
      </c>
      <c r="G431">
        <v>53688</v>
      </c>
      <c r="H431">
        <v>3.7252272388615698E-2</v>
      </c>
      <c r="I431">
        <v>2.3860787577066601E-2</v>
      </c>
      <c r="J431">
        <v>1.0546468109063E-3</v>
      </c>
      <c r="K431">
        <v>2.3860787577066631</v>
      </c>
      <c r="L431">
        <f t="shared" si="36"/>
        <v>0.4</v>
      </c>
      <c r="M431">
        <f t="shared" si="37"/>
        <v>0</v>
      </c>
      <c r="N431">
        <f t="shared" si="38"/>
        <v>9.3130680971539245E-2</v>
      </c>
      <c r="O431">
        <f t="shared" si="39"/>
        <v>4.1163760989420348E-3</v>
      </c>
      <c r="P431">
        <f t="shared" si="40"/>
        <v>0.4116376098942035</v>
      </c>
      <c r="Q431">
        <f>VLOOKUP(C431,Sheet2!A:AU,47,0)</f>
        <v>0.3696424098137675</v>
      </c>
      <c r="R431">
        <f t="shared" si="41"/>
        <v>0.78128001970797101</v>
      </c>
    </row>
    <row r="432" spans="1:18" x14ac:dyDescent="0.3">
      <c r="A432" s="1">
        <v>430</v>
      </c>
      <c r="B432">
        <v>430</v>
      </c>
      <c r="C432" t="s">
        <v>491</v>
      </c>
      <c r="D432" t="s">
        <v>109</v>
      </c>
      <c r="E432">
        <v>6</v>
      </c>
      <c r="F432" t="s">
        <v>24</v>
      </c>
      <c r="G432">
        <v>94674</v>
      </c>
      <c r="H432">
        <v>6.3375372330312402E-2</v>
      </c>
      <c r="I432">
        <v>5.4275441971758202E-2</v>
      </c>
      <c r="J432">
        <v>2.3989745351517002E-3</v>
      </c>
      <c r="K432">
        <v>5.4275441971758234</v>
      </c>
      <c r="L432">
        <f t="shared" si="36"/>
        <v>0.4</v>
      </c>
      <c r="M432">
        <f t="shared" si="37"/>
        <v>0</v>
      </c>
      <c r="N432">
        <f t="shared" si="38"/>
        <v>0.15843843082578099</v>
      </c>
      <c r="O432">
        <f t="shared" si="39"/>
        <v>7.0029786424995206E-3</v>
      </c>
      <c r="P432">
        <f t="shared" si="40"/>
        <v>0.70029786424995211</v>
      </c>
      <c r="Q432">
        <f>VLOOKUP(C432,Sheet2!A:AU,47,0)</f>
        <v>0.84107240134179384</v>
      </c>
      <c r="R432">
        <f t="shared" si="41"/>
        <v>1.5413702655917461</v>
      </c>
    </row>
    <row r="433" spans="1:18" x14ac:dyDescent="0.3">
      <c r="A433" s="1">
        <v>431</v>
      </c>
      <c r="B433">
        <v>431</v>
      </c>
      <c r="C433" t="s">
        <v>492</v>
      </c>
      <c r="D433" t="s">
        <v>167</v>
      </c>
      <c r="E433">
        <v>2</v>
      </c>
      <c r="F433" t="s">
        <v>12</v>
      </c>
      <c r="G433">
        <v>27524</v>
      </c>
      <c r="H433">
        <v>7.2663856997529405E-2</v>
      </c>
      <c r="I433">
        <v>6.5089857245378593E-2</v>
      </c>
      <c r="J433">
        <v>2.8769716902456999E-3</v>
      </c>
      <c r="K433">
        <v>6.5089857245378591</v>
      </c>
      <c r="L433">
        <f t="shared" si="36"/>
        <v>0.4</v>
      </c>
      <c r="M433">
        <f t="shared" si="37"/>
        <v>0</v>
      </c>
      <c r="N433">
        <f t="shared" si="38"/>
        <v>0.18165964249382349</v>
      </c>
      <c r="O433">
        <f t="shared" si="39"/>
        <v>8.0293561982269987E-3</v>
      </c>
      <c r="P433">
        <f t="shared" si="40"/>
        <v>0.8029356198226999</v>
      </c>
      <c r="Q433">
        <f>VLOOKUP(C433,Sheet2!A:AU,47,0)</f>
        <v>1.7789247165136148</v>
      </c>
      <c r="R433">
        <f t="shared" si="41"/>
        <v>2.5818603363363146</v>
      </c>
    </row>
    <row r="434" spans="1:18" x14ac:dyDescent="0.3">
      <c r="A434" s="1">
        <v>432</v>
      </c>
      <c r="B434">
        <v>432</v>
      </c>
      <c r="C434" t="s">
        <v>493</v>
      </c>
      <c r="D434" t="s">
        <v>167</v>
      </c>
      <c r="E434">
        <v>1</v>
      </c>
      <c r="F434" t="s">
        <v>12</v>
      </c>
      <c r="G434">
        <v>12679</v>
      </c>
      <c r="H434">
        <v>7.8870573389068499E-2</v>
      </c>
      <c r="I434">
        <v>7.2316225264329195E-2</v>
      </c>
      <c r="J434">
        <v>3.1963771566832998E-3</v>
      </c>
      <c r="K434">
        <v>7.2316225264329281</v>
      </c>
      <c r="L434">
        <f t="shared" si="36"/>
        <v>0.4</v>
      </c>
      <c r="M434">
        <f t="shared" si="37"/>
        <v>0</v>
      </c>
      <c r="N434">
        <f t="shared" si="38"/>
        <v>0.19717643347267125</v>
      </c>
      <c r="O434">
        <f t="shared" si="39"/>
        <v>8.7151983594920702E-3</v>
      </c>
      <c r="P434">
        <f t="shared" si="40"/>
        <v>0.87151983594920701</v>
      </c>
      <c r="Q434">
        <f>VLOOKUP(C434,Sheet2!A:AU,47,0)</f>
        <v>2.1128920016699739</v>
      </c>
      <c r="R434">
        <f t="shared" si="41"/>
        <v>2.9844118376191808</v>
      </c>
    </row>
    <row r="435" spans="1:18" x14ac:dyDescent="0.3">
      <c r="A435" s="1">
        <v>433</v>
      </c>
      <c r="B435">
        <v>433</v>
      </c>
      <c r="C435" t="s">
        <v>494</v>
      </c>
      <c r="D435" t="s">
        <v>167</v>
      </c>
      <c r="E435">
        <v>1</v>
      </c>
      <c r="F435" t="s">
        <v>12</v>
      </c>
      <c r="G435">
        <v>25942</v>
      </c>
      <c r="H435">
        <v>3.8547529103384402E-2</v>
      </c>
      <c r="I435">
        <v>2.5368831623141502E-2</v>
      </c>
      <c r="J435">
        <v>1.1213023577428E-3</v>
      </c>
      <c r="K435">
        <v>2.5368831623141541</v>
      </c>
      <c r="L435">
        <f t="shared" si="36"/>
        <v>0.4</v>
      </c>
      <c r="M435">
        <f t="shared" si="37"/>
        <v>0</v>
      </c>
      <c r="N435">
        <f t="shared" si="38"/>
        <v>9.6368822758460995E-2</v>
      </c>
      <c r="O435">
        <f t="shared" si="39"/>
        <v>4.259501965923976E-3</v>
      </c>
      <c r="P435">
        <f t="shared" si="40"/>
        <v>0.42595019659239758</v>
      </c>
      <c r="Q435">
        <f>VLOOKUP(C435,Sheet2!A:AU,47,0)</f>
        <v>0.61427903373964599</v>
      </c>
      <c r="R435">
        <f t="shared" si="41"/>
        <v>1.0402292303320435</v>
      </c>
    </row>
    <row r="436" spans="1:18" x14ac:dyDescent="0.3">
      <c r="A436" s="1">
        <v>434</v>
      </c>
      <c r="B436">
        <v>434</v>
      </c>
      <c r="C436" t="s">
        <v>495</v>
      </c>
      <c r="D436" t="s">
        <v>167</v>
      </c>
      <c r="E436">
        <v>1</v>
      </c>
      <c r="F436" t="s">
        <v>12</v>
      </c>
      <c r="G436">
        <v>23272</v>
      </c>
      <c r="H436">
        <v>4.2970092815400401E-2</v>
      </c>
      <c r="I436">
        <v>3.0517942836576401E-2</v>
      </c>
      <c r="J436">
        <v>1.3488930733766E-3</v>
      </c>
      <c r="K436">
        <v>3.051794283657645</v>
      </c>
      <c r="L436">
        <f t="shared" si="36"/>
        <v>0.4</v>
      </c>
      <c r="M436">
        <f t="shared" si="37"/>
        <v>0</v>
      </c>
      <c r="N436">
        <f t="shared" si="38"/>
        <v>0.107425232038501</v>
      </c>
      <c r="O436">
        <f t="shared" si="39"/>
        <v>4.748195256101745E-3</v>
      </c>
      <c r="P436">
        <f t="shared" si="40"/>
        <v>0.47481952561017449</v>
      </c>
      <c r="Q436">
        <f>VLOOKUP(C436,Sheet2!A:AU,47,0)</f>
        <v>0.88385315721573809</v>
      </c>
      <c r="R436">
        <f t="shared" si="41"/>
        <v>1.3586726828259126</v>
      </c>
    </row>
    <row r="437" spans="1:18" x14ac:dyDescent="0.3">
      <c r="A437" s="1">
        <v>435</v>
      </c>
      <c r="B437">
        <v>435</v>
      </c>
      <c r="C437" t="s">
        <v>496</v>
      </c>
      <c r="D437" t="s">
        <v>214</v>
      </c>
      <c r="E437">
        <v>1</v>
      </c>
      <c r="F437" t="s">
        <v>12</v>
      </c>
      <c r="G437">
        <v>4392</v>
      </c>
      <c r="H437">
        <v>0.2276867030965391</v>
      </c>
      <c r="I437">
        <v>0.24558016268026259</v>
      </c>
      <c r="J437">
        <v>1.0854643190467601E-2</v>
      </c>
      <c r="K437">
        <v>24.558016268026261</v>
      </c>
      <c r="L437">
        <f t="shared" si="36"/>
        <v>0.4</v>
      </c>
      <c r="M437">
        <f t="shared" si="37"/>
        <v>0</v>
      </c>
      <c r="N437">
        <f t="shared" si="38"/>
        <v>0.56921675774134772</v>
      </c>
      <c r="O437">
        <f t="shared" si="39"/>
        <v>2.5159380692167572E-2</v>
      </c>
      <c r="P437">
        <f t="shared" si="40"/>
        <v>2.515938069216757</v>
      </c>
      <c r="Q437">
        <f>VLOOKUP(C437,Sheet2!A:AU,47,0)</f>
        <v>8.0399999999999991</v>
      </c>
      <c r="R437">
        <f t="shared" si="41"/>
        <v>10.555938069216756</v>
      </c>
    </row>
    <row r="438" spans="1:18" x14ac:dyDescent="0.3">
      <c r="A438" s="1">
        <v>436</v>
      </c>
      <c r="B438">
        <v>436</v>
      </c>
      <c r="C438" t="s">
        <v>497</v>
      </c>
      <c r="D438" t="s">
        <v>214</v>
      </c>
      <c r="E438">
        <v>4</v>
      </c>
      <c r="F438" t="s">
        <v>12</v>
      </c>
      <c r="G438">
        <v>7154</v>
      </c>
      <c r="H438">
        <v>0.4</v>
      </c>
      <c r="I438">
        <v>0.63147101183353349</v>
      </c>
      <c r="J438">
        <v>2.7911018723042101E-2</v>
      </c>
      <c r="K438">
        <v>63.14710118335335</v>
      </c>
      <c r="L438">
        <f t="shared" si="36"/>
        <v>0.4</v>
      </c>
      <c r="M438">
        <f t="shared" si="37"/>
        <v>0</v>
      </c>
      <c r="N438">
        <f t="shared" si="38"/>
        <v>1</v>
      </c>
      <c r="O438">
        <f t="shared" si="39"/>
        <v>4.4200000000000003E-2</v>
      </c>
      <c r="P438">
        <f t="shared" si="40"/>
        <v>4.42</v>
      </c>
      <c r="Q438">
        <f>VLOOKUP(C438,Sheet2!A:AU,47,0)</f>
        <v>8.0399999999999991</v>
      </c>
      <c r="R438">
        <f t="shared" si="41"/>
        <v>12.459999999999999</v>
      </c>
    </row>
    <row r="439" spans="1:18" x14ac:dyDescent="0.3">
      <c r="A439" s="1">
        <v>437</v>
      </c>
      <c r="B439">
        <v>437</v>
      </c>
      <c r="C439" t="s">
        <v>498</v>
      </c>
      <c r="D439" t="s">
        <v>214</v>
      </c>
      <c r="E439">
        <v>1</v>
      </c>
      <c r="F439" t="s">
        <v>12</v>
      </c>
      <c r="G439">
        <v>6090</v>
      </c>
      <c r="H439">
        <v>0.16420361247947449</v>
      </c>
      <c r="I439">
        <v>0.17166794455399759</v>
      </c>
      <c r="J439">
        <v>7.5877231492865998E-3</v>
      </c>
      <c r="K439">
        <v>17.166794455399771</v>
      </c>
      <c r="L439">
        <f t="shared" si="36"/>
        <v>0.4</v>
      </c>
      <c r="M439">
        <f t="shared" si="37"/>
        <v>0</v>
      </c>
      <c r="N439">
        <f t="shared" si="38"/>
        <v>0.4105090311986862</v>
      </c>
      <c r="O439">
        <f t="shared" si="39"/>
        <v>1.8144499178981931E-2</v>
      </c>
      <c r="P439">
        <f t="shared" si="40"/>
        <v>1.8144499178981932</v>
      </c>
      <c r="Q439">
        <f>VLOOKUP(C439,Sheet2!A:AU,47,0)</f>
        <v>4.6805371513525751</v>
      </c>
      <c r="R439">
        <f t="shared" si="41"/>
        <v>6.4949870692507687</v>
      </c>
    </row>
    <row r="440" spans="1:18" x14ac:dyDescent="0.3">
      <c r="A440" s="1">
        <v>438</v>
      </c>
      <c r="B440">
        <v>438</v>
      </c>
      <c r="C440" t="s">
        <v>499</v>
      </c>
      <c r="D440" t="s">
        <v>127</v>
      </c>
      <c r="E440">
        <v>1</v>
      </c>
      <c r="F440" t="s">
        <v>12</v>
      </c>
      <c r="G440">
        <v>16286</v>
      </c>
      <c r="H440">
        <v>6.1402431536288798E-2</v>
      </c>
      <c r="I440">
        <v>5.1978382567424798E-2</v>
      </c>
      <c r="J440">
        <v>2.2974445094801001E-3</v>
      </c>
      <c r="K440">
        <v>5.1978382567424806</v>
      </c>
      <c r="L440">
        <f t="shared" si="36"/>
        <v>0.4</v>
      </c>
      <c r="M440">
        <f t="shared" si="37"/>
        <v>0</v>
      </c>
      <c r="N440">
        <f t="shared" si="38"/>
        <v>0.15350607884072198</v>
      </c>
      <c r="O440">
        <f t="shared" si="39"/>
        <v>6.7849686847599117E-3</v>
      </c>
      <c r="P440">
        <f t="shared" si="40"/>
        <v>0.67849686847599122</v>
      </c>
      <c r="Q440">
        <f>VLOOKUP(C440,Sheet2!A:AU,47,0)</f>
        <v>1.1452376907841888</v>
      </c>
      <c r="R440">
        <f t="shared" si="41"/>
        <v>1.8237345592601799</v>
      </c>
    </row>
    <row r="441" spans="1:18" x14ac:dyDescent="0.3">
      <c r="A441" s="1">
        <v>439</v>
      </c>
      <c r="B441">
        <v>439</v>
      </c>
      <c r="C441" t="s">
        <v>500</v>
      </c>
      <c r="D441" t="s">
        <v>39</v>
      </c>
      <c r="E441">
        <v>2</v>
      </c>
      <c r="F441" t="s">
        <v>12</v>
      </c>
      <c r="G441">
        <v>24884</v>
      </c>
      <c r="H441">
        <v>8.03729303970422E-2</v>
      </c>
      <c r="I441">
        <v>7.4065392448811398E-2</v>
      </c>
      <c r="J441">
        <v>3.2736903462374E-3</v>
      </c>
      <c r="K441">
        <v>7.4065392448811469</v>
      </c>
      <c r="L441">
        <f t="shared" si="36"/>
        <v>0.4</v>
      </c>
      <c r="M441">
        <f t="shared" si="37"/>
        <v>0</v>
      </c>
      <c r="N441">
        <f t="shared" si="38"/>
        <v>0.20093232599260549</v>
      </c>
      <c r="O441">
        <f t="shared" si="39"/>
        <v>8.8812088088731627E-3</v>
      </c>
      <c r="P441">
        <f t="shared" si="40"/>
        <v>0.88812088088731622</v>
      </c>
      <c r="Q441">
        <f>VLOOKUP(C441,Sheet2!A:AU,47,0)</f>
        <v>2.3725164166378963</v>
      </c>
      <c r="R441">
        <f t="shared" si="41"/>
        <v>3.2606372975252125</v>
      </c>
    </row>
    <row r="442" spans="1:18" x14ac:dyDescent="0.3">
      <c r="A442" s="1">
        <v>440</v>
      </c>
      <c r="B442">
        <v>440</v>
      </c>
      <c r="C442" t="s">
        <v>501</v>
      </c>
      <c r="D442" t="s">
        <v>39</v>
      </c>
      <c r="E442">
        <v>3</v>
      </c>
      <c r="F442" t="s">
        <v>12</v>
      </c>
      <c r="G442">
        <v>35248</v>
      </c>
      <c r="H442">
        <v>8.5111211983658605E-2</v>
      </c>
      <c r="I442">
        <v>7.9582088292846298E-2</v>
      </c>
      <c r="J442">
        <v>3.5175283025438001E-3</v>
      </c>
      <c r="K442">
        <v>7.9582088292846382</v>
      </c>
      <c r="L442">
        <f t="shared" si="36"/>
        <v>0.4</v>
      </c>
      <c r="M442">
        <f t="shared" si="37"/>
        <v>0</v>
      </c>
      <c r="N442">
        <f t="shared" si="38"/>
        <v>0.21277802995914649</v>
      </c>
      <c r="O442">
        <f t="shared" si="39"/>
        <v>9.4047889241942757E-3</v>
      </c>
      <c r="P442">
        <f t="shared" si="40"/>
        <v>0.94047889241942761</v>
      </c>
      <c r="Q442">
        <f>VLOOKUP(C442,Sheet2!A:AU,47,0)</f>
        <v>2.5309540358467353</v>
      </c>
      <c r="R442">
        <f t="shared" si="41"/>
        <v>3.4714329282661627</v>
      </c>
    </row>
    <row r="443" spans="1:18" x14ac:dyDescent="0.3">
      <c r="A443" s="1">
        <v>441</v>
      </c>
      <c r="B443">
        <v>441</v>
      </c>
      <c r="C443" t="s">
        <v>502</v>
      </c>
      <c r="D443" t="s">
        <v>39</v>
      </c>
      <c r="E443">
        <v>1</v>
      </c>
      <c r="F443" t="s">
        <v>12</v>
      </c>
      <c r="G443">
        <v>27188</v>
      </c>
      <c r="H443">
        <v>3.6780932764454898E-2</v>
      </c>
      <c r="I443">
        <v>2.3312015348526699E-2</v>
      </c>
      <c r="J443">
        <v>1.0303910784048001E-3</v>
      </c>
      <c r="K443">
        <v>2.331201534852676</v>
      </c>
      <c r="L443">
        <f t="shared" si="36"/>
        <v>0.4</v>
      </c>
      <c r="M443">
        <f t="shared" si="37"/>
        <v>0</v>
      </c>
      <c r="N443">
        <f t="shared" si="38"/>
        <v>9.1952331911137233E-2</v>
      </c>
      <c r="O443">
        <f t="shared" si="39"/>
        <v>4.0642930704722661E-3</v>
      </c>
      <c r="P443">
        <f t="shared" si="40"/>
        <v>0.40642930704722663</v>
      </c>
      <c r="Q443">
        <f>VLOOKUP(C443,Sheet2!A:AU,47,0)</f>
        <v>1.1603849334498788</v>
      </c>
      <c r="R443">
        <f t="shared" si="41"/>
        <v>1.5668142404971055</v>
      </c>
    </row>
    <row r="444" spans="1:18" x14ac:dyDescent="0.3">
      <c r="A444" s="1">
        <v>442</v>
      </c>
      <c r="B444">
        <v>442</v>
      </c>
      <c r="C444" t="s">
        <v>503</v>
      </c>
      <c r="D444" t="s">
        <v>79</v>
      </c>
      <c r="E444">
        <v>1</v>
      </c>
      <c r="F444" t="s">
        <v>24</v>
      </c>
      <c r="G444">
        <v>17340</v>
      </c>
      <c r="H444">
        <v>5.7670126874279103E-2</v>
      </c>
      <c r="I444">
        <v>4.7632927524031102E-2</v>
      </c>
      <c r="J444">
        <v>2.1053753965621E-3</v>
      </c>
      <c r="K444">
        <v>4.7632927524031192</v>
      </c>
      <c r="L444">
        <f t="shared" si="36"/>
        <v>0.4</v>
      </c>
      <c r="M444">
        <f t="shared" si="37"/>
        <v>0</v>
      </c>
      <c r="N444">
        <f t="shared" si="38"/>
        <v>0.14417531718569776</v>
      </c>
      <c r="O444">
        <f t="shared" si="39"/>
        <v>6.3725490196078413E-3</v>
      </c>
      <c r="P444">
        <f t="shared" si="40"/>
        <v>0.63725490196078416</v>
      </c>
      <c r="Q444">
        <f>VLOOKUP(C444,Sheet2!A:AU,47,0)</f>
        <v>0.685356097297802</v>
      </c>
      <c r="R444">
        <f t="shared" si="41"/>
        <v>1.3226109992585862</v>
      </c>
    </row>
    <row r="445" spans="1:18" x14ac:dyDescent="0.3">
      <c r="A445" s="1">
        <v>443</v>
      </c>
      <c r="B445">
        <v>443</v>
      </c>
      <c r="C445" t="s">
        <v>504</v>
      </c>
      <c r="D445" t="s">
        <v>79</v>
      </c>
      <c r="E445">
        <v>1</v>
      </c>
      <c r="F445" t="s">
        <v>24</v>
      </c>
      <c r="G445">
        <v>8934</v>
      </c>
      <c r="H445">
        <v>0.1119319453772106</v>
      </c>
      <c r="I445">
        <v>0.1108089847407288</v>
      </c>
      <c r="J445">
        <v>4.8977571255401997E-3</v>
      </c>
      <c r="K445">
        <v>11.08089847407288</v>
      </c>
      <c r="L445">
        <f t="shared" si="36"/>
        <v>0.4</v>
      </c>
      <c r="M445">
        <f t="shared" si="37"/>
        <v>0</v>
      </c>
      <c r="N445">
        <f t="shared" si="38"/>
        <v>0.27982986344302646</v>
      </c>
      <c r="O445">
        <f t="shared" si="39"/>
        <v>1.2368479964181771E-2</v>
      </c>
      <c r="P445">
        <f t="shared" si="40"/>
        <v>1.2368479964181771</v>
      </c>
      <c r="Q445">
        <f>VLOOKUP(C445,Sheet2!A:AU,47,0)</f>
        <v>1.8715962668449608</v>
      </c>
      <c r="R445">
        <f t="shared" si="41"/>
        <v>3.1084442632631379</v>
      </c>
    </row>
    <row r="446" spans="1:18" x14ac:dyDescent="0.3">
      <c r="A446" s="1">
        <v>444</v>
      </c>
      <c r="B446">
        <v>444</v>
      </c>
      <c r="C446" t="s">
        <v>505</v>
      </c>
      <c r="D446" t="s">
        <v>145</v>
      </c>
      <c r="E446">
        <v>1</v>
      </c>
      <c r="F446" t="s">
        <v>12</v>
      </c>
      <c r="G446">
        <v>17849</v>
      </c>
      <c r="H446">
        <v>5.6025547649728197E-2</v>
      </c>
      <c r="I446">
        <v>4.5718173576335799E-2</v>
      </c>
      <c r="J446">
        <v>2.0207432720739998E-3</v>
      </c>
      <c r="K446">
        <v>4.5718173576335834</v>
      </c>
      <c r="L446">
        <f t="shared" si="36"/>
        <v>0.4</v>
      </c>
      <c r="M446">
        <f t="shared" si="37"/>
        <v>0</v>
      </c>
      <c r="N446">
        <f t="shared" si="38"/>
        <v>0.14006386912432048</v>
      </c>
      <c r="O446">
        <f t="shared" si="39"/>
        <v>6.1908230152949656E-3</v>
      </c>
      <c r="P446">
        <f t="shared" si="40"/>
        <v>0.61908230152949661</v>
      </c>
      <c r="Q446">
        <f>VLOOKUP(C446,Sheet2!A:AU,47,0)</f>
        <v>2.03229349538142</v>
      </c>
      <c r="R446">
        <f t="shared" si="41"/>
        <v>2.6513757969109166</v>
      </c>
    </row>
    <row r="447" spans="1:18" x14ac:dyDescent="0.3">
      <c r="A447" s="1">
        <v>445</v>
      </c>
      <c r="B447">
        <v>445</v>
      </c>
      <c r="C447" t="s">
        <v>506</v>
      </c>
      <c r="D447" t="s">
        <v>124</v>
      </c>
      <c r="E447">
        <v>1</v>
      </c>
      <c r="F447" t="s">
        <v>12</v>
      </c>
      <c r="G447">
        <v>36033</v>
      </c>
      <c r="H447">
        <v>2.7752338134487801E-2</v>
      </c>
      <c r="I447">
        <v>1.28001853607729E-2</v>
      </c>
      <c r="J447">
        <v>5.6576819294609998E-4</v>
      </c>
      <c r="K447">
        <v>1.280018536077298</v>
      </c>
      <c r="L447">
        <f t="shared" si="36"/>
        <v>0.4</v>
      </c>
      <c r="M447">
        <f t="shared" si="37"/>
        <v>0</v>
      </c>
      <c r="N447">
        <f t="shared" si="38"/>
        <v>6.9380845336219493E-2</v>
      </c>
      <c r="O447">
        <f t="shared" si="39"/>
        <v>3.0666333638609019E-3</v>
      </c>
      <c r="P447">
        <f t="shared" si="40"/>
        <v>0.30666333638609017</v>
      </c>
      <c r="Q447">
        <f>VLOOKUP(C447,Sheet2!A:AU,47,0)</f>
        <v>1.1297118666785515</v>
      </c>
      <c r="R447">
        <f t="shared" si="41"/>
        <v>1.4363752030646417</v>
      </c>
    </row>
    <row r="448" spans="1:18" x14ac:dyDescent="0.3">
      <c r="A448" s="1">
        <v>446</v>
      </c>
      <c r="B448">
        <v>446</v>
      </c>
      <c r="C448" t="s">
        <v>507</v>
      </c>
      <c r="D448" t="s">
        <v>33</v>
      </c>
      <c r="E448">
        <v>5</v>
      </c>
      <c r="F448" t="s">
        <v>17</v>
      </c>
      <c r="G448">
        <v>32648</v>
      </c>
      <c r="H448">
        <v>0.15314873805439841</v>
      </c>
      <c r="I448">
        <v>0.1587969535243792</v>
      </c>
      <c r="J448">
        <v>7.0188253457774998E-3</v>
      </c>
      <c r="K448">
        <v>15.879695352437921</v>
      </c>
      <c r="L448">
        <f t="shared" si="36"/>
        <v>0.4</v>
      </c>
      <c r="M448">
        <f t="shared" si="37"/>
        <v>0</v>
      </c>
      <c r="N448">
        <f t="shared" si="38"/>
        <v>0.38287184513599598</v>
      </c>
      <c r="O448">
        <f t="shared" si="39"/>
        <v>1.6922935555011023E-2</v>
      </c>
      <c r="P448">
        <f t="shared" si="40"/>
        <v>1.6922935555011023</v>
      </c>
      <c r="Q448">
        <f>VLOOKUP(C448,Sheet2!A:AU,47,0)</f>
        <v>2.9812664288022597</v>
      </c>
      <c r="R448">
        <f t="shared" si="41"/>
        <v>4.6735599843033615</v>
      </c>
    </row>
    <row r="449" spans="1:18" x14ac:dyDescent="0.3">
      <c r="A449" s="1">
        <v>447</v>
      </c>
      <c r="B449">
        <v>447</v>
      </c>
      <c r="C449" t="s">
        <v>508</v>
      </c>
      <c r="D449" t="s">
        <v>129</v>
      </c>
      <c r="E449">
        <v>1</v>
      </c>
      <c r="F449" t="s">
        <v>12</v>
      </c>
      <c r="G449">
        <v>18656</v>
      </c>
      <c r="H449">
        <v>5.36020583190394E-2</v>
      </c>
      <c r="I449">
        <v>4.2896548631875399E-2</v>
      </c>
      <c r="J449">
        <v>1.8960274495288E-3</v>
      </c>
      <c r="K449">
        <v>4.2896548631875451</v>
      </c>
      <c r="L449">
        <f t="shared" si="36"/>
        <v>0.4</v>
      </c>
      <c r="M449">
        <f t="shared" si="37"/>
        <v>0</v>
      </c>
      <c r="N449">
        <f t="shared" si="38"/>
        <v>0.13400514579759848</v>
      </c>
      <c r="O449">
        <f t="shared" si="39"/>
        <v>5.9230274442538533E-3</v>
      </c>
      <c r="P449">
        <f t="shared" si="40"/>
        <v>0.59230274442538533</v>
      </c>
      <c r="Q449">
        <f>VLOOKUP(C449,Sheet2!A:AU,47,0)</f>
        <v>2.1334174462413062</v>
      </c>
      <c r="R449">
        <f t="shared" si="41"/>
        <v>2.7257201906666917</v>
      </c>
    </row>
    <row r="450" spans="1:18" x14ac:dyDescent="0.3">
      <c r="A450" s="1">
        <v>448</v>
      </c>
      <c r="B450">
        <v>448</v>
      </c>
      <c r="C450" t="s">
        <v>509</v>
      </c>
      <c r="D450" t="s">
        <v>298</v>
      </c>
      <c r="E450">
        <v>3</v>
      </c>
      <c r="F450" t="s">
        <v>17</v>
      </c>
      <c r="G450">
        <v>21806</v>
      </c>
      <c r="H450">
        <v>0.1375768137209942</v>
      </c>
      <c r="I450">
        <v>0.14066684270606811</v>
      </c>
      <c r="J450">
        <v>6.2174744476082002E-3</v>
      </c>
      <c r="K450">
        <v>14.066684270606819</v>
      </c>
      <c r="L450">
        <f t="shared" si="36"/>
        <v>0.4</v>
      </c>
      <c r="M450">
        <f t="shared" si="37"/>
        <v>0</v>
      </c>
      <c r="N450">
        <f t="shared" si="38"/>
        <v>0.34394203430248549</v>
      </c>
      <c r="O450">
        <f t="shared" si="39"/>
        <v>1.5202237916169859E-2</v>
      </c>
      <c r="P450">
        <f t="shared" si="40"/>
        <v>1.5202237916169858</v>
      </c>
      <c r="Q450">
        <f>VLOOKUP(C450,Sheet2!A:AU,47,0)</f>
        <v>4.3005074173426836</v>
      </c>
      <c r="R450">
        <f t="shared" si="41"/>
        <v>5.8207312089596694</v>
      </c>
    </row>
    <row r="451" spans="1:18" x14ac:dyDescent="0.3">
      <c r="A451" s="1">
        <v>449</v>
      </c>
      <c r="B451">
        <v>449</v>
      </c>
      <c r="C451" t="s">
        <v>510</v>
      </c>
      <c r="D451" t="s">
        <v>164</v>
      </c>
      <c r="E451">
        <v>1</v>
      </c>
      <c r="F451" t="s">
        <v>24</v>
      </c>
      <c r="G451">
        <v>13434</v>
      </c>
      <c r="H451">
        <v>7.4437993151704601E-2</v>
      </c>
      <c r="I451">
        <v>6.7155451990979095E-2</v>
      </c>
      <c r="J451">
        <v>2.9682709780011998E-3</v>
      </c>
      <c r="K451">
        <v>6.715545199097912</v>
      </c>
      <c r="L451">
        <f t="shared" ref="L451:L514" si="42">MAX(H:H)</f>
        <v>0.4</v>
      </c>
      <c r="M451">
        <f t="shared" ref="M451:M514" si="43">MIN(H:H)</f>
        <v>0</v>
      </c>
      <c r="N451">
        <f t="shared" ref="N451:N514" si="44">(H451-M451)/(L451-M451)</f>
        <v>0.18609498287926149</v>
      </c>
      <c r="O451">
        <f t="shared" ref="O451:O514" si="45">N451*0.0442</f>
        <v>8.2253982432633592E-3</v>
      </c>
      <c r="P451">
        <f t="shared" ref="P451:P514" si="46">O451*100</f>
        <v>0.82253982432633588</v>
      </c>
      <c r="Q451">
        <f>VLOOKUP(C451,Sheet2!A:AU,47,0)</f>
        <v>1.8699554310808182</v>
      </c>
      <c r="R451">
        <f t="shared" ref="R451:R514" si="47">IFERROR((P451+Q451),0)</f>
        <v>2.6924952554071542</v>
      </c>
    </row>
    <row r="452" spans="1:18" x14ac:dyDescent="0.3">
      <c r="A452" s="1">
        <v>450</v>
      </c>
      <c r="B452">
        <v>450</v>
      </c>
      <c r="C452" t="s">
        <v>511</v>
      </c>
      <c r="D452" t="s">
        <v>127</v>
      </c>
      <c r="E452">
        <v>2</v>
      </c>
      <c r="F452" t="s">
        <v>12</v>
      </c>
      <c r="G452">
        <v>19220</v>
      </c>
      <c r="H452">
        <v>0.1040582726326743</v>
      </c>
      <c r="I452">
        <v>0.1016418094867792</v>
      </c>
      <c r="J452">
        <v>4.4925679793156002E-3</v>
      </c>
      <c r="K452">
        <v>10.16418094867792</v>
      </c>
      <c r="L452">
        <f t="shared" si="42"/>
        <v>0.4</v>
      </c>
      <c r="M452">
        <f t="shared" si="43"/>
        <v>0</v>
      </c>
      <c r="N452">
        <f t="shared" si="44"/>
        <v>0.26014568158168572</v>
      </c>
      <c r="O452">
        <f t="shared" si="45"/>
        <v>1.149843912591051E-2</v>
      </c>
      <c r="P452">
        <f t="shared" si="46"/>
        <v>1.1498439125910511</v>
      </c>
      <c r="Q452">
        <f>VLOOKUP(C452,Sheet2!A:AU,47,0)</f>
        <v>2.5053844558926701</v>
      </c>
      <c r="R452">
        <f t="shared" si="47"/>
        <v>3.655228368483721</v>
      </c>
    </row>
    <row r="453" spans="1:18" x14ac:dyDescent="0.3">
      <c r="A453" s="1">
        <v>451</v>
      </c>
      <c r="B453">
        <v>451</v>
      </c>
      <c r="C453" t="s">
        <v>512</v>
      </c>
      <c r="D453" t="s">
        <v>222</v>
      </c>
      <c r="E453">
        <v>2</v>
      </c>
      <c r="F453" t="s">
        <v>24</v>
      </c>
      <c r="G453">
        <v>11658</v>
      </c>
      <c r="H453">
        <v>0.17155601303825699</v>
      </c>
      <c r="I453">
        <v>0.1802282119979762</v>
      </c>
      <c r="J453">
        <v>7.9660869703104993E-3</v>
      </c>
      <c r="K453">
        <v>18.022821199797619</v>
      </c>
      <c r="L453">
        <f t="shared" si="42"/>
        <v>0.4</v>
      </c>
      <c r="M453">
        <f t="shared" si="43"/>
        <v>0</v>
      </c>
      <c r="N453">
        <f t="shared" si="44"/>
        <v>0.42889003259564246</v>
      </c>
      <c r="O453">
        <f t="shared" si="45"/>
        <v>1.8956939440727398E-2</v>
      </c>
      <c r="P453">
        <f t="shared" si="46"/>
        <v>1.8956939440727398</v>
      </c>
      <c r="Q453">
        <f>VLOOKUP(C453,Sheet2!A:AU,47,0)</f>
        <v>3.8694289130926602</v>
      </c>
      <c r="R453">
        <f t="shared" si="47"/>
        <v>5.7651228571653999</v>
      </c>
    </row>
    <row r="454" spans="1:18" x14ac:dyDescent="0.3">
      <c r="A454" s="1">
        <v>452</v>
      </c>
      <c r="B454">
        <v>452</v>
      </c>
      <c r="C454" t="s">
        <v>513</v>
      </c>
      <c r="D454" t="s">
        <v>143</v>
      </c>
      <c r="E454">
        <v>1</v>
      </c>
      <c r="F454" t="s">
        <v>24</v>
      </c>
      <c r="G454">
        <v>13514</v>
      </c>
      <c r="H454">
        <v>7.3997336095900507E-2</v>
      </c>
      <c r="I454">
        <v>6.6642402923725294E-2</v>
      </c>
      <c r="J454">
        <v>2.9455942092285999E-3</v>
      </c>
      <c r="K454">
        <v>6.664240292372539</v>
      </c>
      <c r="L454">
        <f t="shared" si="42"/>
        <v>0.4</v>
      </c>
      <c r="M454">
        <f t="shared" si="43"/>
        <v>0</v>
      </c>
      <c r="N454">
        <f t="shared" si="44"/>
        <v>0.18499334023975125</v>
      </c>
      <c r="O454">
        <f t="shared" si="45"/>
        <v>8.1767056385970063E-3</v>
      </c>
      <c r="P454">
        <f t="shared" si="46"/>
        <v>0.81767056385970061</v>
      </c>
      <c r="Q454">
        <f>VLOOKUP(C454,Sheet2!A:AU,47,0)</f>
        <v>3.5352349214215337</v>
      </c>
      <c r="R454">
        <f t="shared" si="47"/>
        <v>4.3529054852812346</v>
      </c>
    </row>
    <row r="455" spans="1:18" x14ac:dyDescent="0.3">
      <c r="A455" s="1">
        <v>453</v>
      </c>
      <c r="B455">
        <v>453</v>
      </c>
      <c r="C455" t="s">
        <v>514</v>
      </c>
      <c r="D455" t="s">
        <v>143</v>
      </c>
      <c r="E455">
        <v>5</v>
      </c>
      <c r="F455" t="s">
        <v>24</v>
      </c>
      <c r="G455">
        <v>13595</v>
      </c>
      <c r="H455">
        <v>0.36778227289444648</v>
      </c>
      <c r="I455">
        <v>0.4086909093810997</v>
      </c>
      <c r="J455">
        <v>1.8064138194644599E-2</v>
      </c>
      <c r="K455">
        <v>40.869090938109963</v>
      </c>
      <c r="L455">
        <f t="shared" si="42"/>
        <v>0.4</v>
      </c>
      <c r="M455">
        <f t="shared" si="43"/>
        <v>0</v>
      </c>
      <c r="N455">
        <f t="shared" si="44"/>
        <v>0.91945568223611618</v>
      </c>
      <c r="O455">
        <f t="shared" si="45"/>
        <v>4.0639941154836337E-2</v>
      </c>
      <c r="P455">
        <f t="shared" si="46"/>
        <v>4.0639941154836334</v>
      </c>
      <c r="Q455">
        <f>VLOOKUP(C455,Sheet2!A:AU,47,0)</f>
        <v>8.0399999999999991</v>
      </c>
      <c r="R455">
        <f t="shared" si="47"/>
        <v>12.103994115483633</v>
      </c>
    </row>
    <row r="456" spans="1:18" x14ac:dyDescent="0.3">
      <c r="A456" s="1">
        <v>454</v>
      </c>
      <c r="B456">
        <v>454</v>
      </c>
      <c r="C456" t="s">
        <v>515</v>
      </c>
      <c r="D456" t="s">
        <v>143</v>
      </c>
      <c r="E456">
        <v>1</v>
      </c>
      <c r="F456" t="s">
        <v>24</v>
      </c>
      <c r="G456">
        <v>11497</v>
      </c>
      <c r="H456">
        <v>8.6979211968339507E-2</v>
      </c>
      <c r="I456">
        <v>8.1756967004414399E-2</v>
      </c>
      <c r="J456">
        <v>3.6136579415950998E-3</v>
      </c>
      <c r="K456">
        <v>8.1756967004414403</v>
      </c>
      <c r="L456">
        <f t="shared" si="42"/>
        <v>0.4</v>
      </c>
      <c r="M456">
        <f t="shared" si="43"/>
        <v>0</v>
      </c>
      <c r="N456">
        <f t="shared" si="44"/>
        <v>0.21744802992084875</v>
      </c>
      <c r="O456">
        <f t="shared" si="45"/>
        <v>9.6112029225015154E-3</v>
      </c>
      <c r="P456">
        <f t="shared" si="46"/>
        <v>0.9611202922501515</v>
      </c>
      <c r="Q456">
        <f>VLOOKUP(C456,Sheet2!A:AU,47,0)</f>
        <v>2.8627425545874345</v>
      </c>
      <c r="R456">
        <f t="shared" si="47"/>
        <v>3.8238628468375859</v>
      </c>
    </row>
    <row r="457" spans="1:18" x14ac:dyDescent="0.3">
      <c r="A457" s="1">
        <v>455</v>
      </c>
      <c r="B457">
        <v>455</v>
      </c>
      <c r="C457" t="s">
        <v>516</v>
      </c>
      <c r="D457" t="s">
        <v>143</v>
      </c>
      <c r="E457">
        <v>5</v>
      </c>
      <c r="F457" t="s">
        <v>24</v>
      </c>
      <c r="G457">
        <v>10850</v>
      </c>
      <c r="H457">
        <v>0.4</v>
      </c>
      <c r="I457">
        <v>0.51702411068096166</v>
      </c>
      <c r="J457">
        <v>2.2852465692098499E-2</v>
      </c>
      <c r="K457">
        <v>51.702411068096168</v>
      </c>
      <c r="L457">
        <f t="shared" si="42"/>
        <v>0.4</v>
      </c>
      <c r="M457">
        <f t="shared" si="43"/>
        <v>0</v>
      </c>
      <c r="N457">
        <f t="shared" si="44"/>
        <v>1</v>
      </c>
      <c r="O457">
        <f t="shared" si="45"/>
        <v>4.4200000000000003E-2</v>
      </c>
      <c r="P457">
        <f t="shared" si="46"/>
        <v>4.42</v>
      </c>
      <c r="Q457">
        <f>VLOOKUP(C457,Sheet2!A:AU,47,0)</f>
        <v>8.0399999999999991</v>
      </c>
      <c r="R457">
        <f t="shared" si="47"/>
        <v>12.459999999999999</v>
      </c>
    </row>
    <row r="458" spans="1:18" x14ac:dyDescent="0.3">
      <c r="A458" s="1">
        <v>456</v>
      </c>
      <c r="B458">
        <v>456</v>
      </c>
      <c r="C458" t="s">
        <v>517</v>
      </c>
      <c r="D458" t="s">
        <v>91</v>
      </c>
      <c r="E458">
        <v>2</v>
      </c>
      <c r="F458" t="s">
        <v>24</v>
      </c>
      <c r="G458">
        <v>34735</v>
      </c>
      <c r="H458">
        <v>5.7578810997552902E-2</v>
      </c>
      <c r="I458">
        <v>4.75266100947224E-2</v>
      </c>
      <c r="J458">
        <v>2.1006761661866999E-3</v>
      </c>
      <c r="K458">
        <v>4.7526610094722459</v>
      </c>
      <c r="L458">
        <f t="shared" si="42"/>
        <v>0.4</v>
      </c>
      <c r="M458">
        <f t="shared" si="43"/>
        <v>0</v>
      </c>
      <c r="N458">
        <f t="shared" si="44"/>
        <v>0.14394702749388225</v>
      </c>
      <c r="O458">
        <f t="shared" si="45"/>
        <v>6.3624586152295961E-3</v>
      </c>
      <c r="P458">
        <f t="shared" si="46"/>
        <v>0.63624586152295959</v>
      </c>
      <c r="Q458">
        <f>VLOOKUP(C458,Sheet2!A:AU,47,0)</f>
        <v>1.0350799158432431</v>
      </c>
      <c r="R458">
        <f t="shared" si="47"/>
        <v>1.6713257773662027</v>
      </c>
    </row>
    <row r="459" spans="1:18" x14ac:dyDescent="0.3">
      <c r="A459" s="1">
        <v>457</v>
      </c>
      <c r="B459">
        <v>457</v>
      </c>
      <c r="C459" t="s">
        <v>518</v>
      </c>
      <c r="D459" t="s">
        <v>109</v>
      </c>
      <c r="E459">
        <v>2</v>
      </c>
      <c r="F459" t="s">
        <v>24</v>
      </c>
      <c r="G459">
        <v>26167</v>
      </c>
      <c r="H459">
        <v>7.6432147361180106E-2</v>
      </c>
      <c r="I459">
        <v>6.9477209792552494E-2</v>
      </c>
      <c r="J459">
        <v>3.0708926728308002E-3</v>
      </c>
      <c r="K459">
        <v>6.9477209792552532</v>
      </c>
      <c r="L459">
        <f t="shared" si="42"/>
        <v>0.4</v>
      </c>
      <c r="M459">
        <f t="shared" si="43"/>
        <v>0</v>
      </c>
      <c r="N459">
        <f t="shared" si="44"/>
        <v>0.19108036840295026</v>
      </c>
      <c r="O459">
        <f t="shared" si="45"/>
        <v>8.4457522834104019E-3</v>
      </c>
      <c r="P459">
        <f t="shared" si="46"/>
        <v>0.84457522834104015</v>
      </c>
      <c r="Q459">
        <f>VLOOKUP(C459,Sheet2!A:AU,47,0)</f>
        <v>1.7134861752668016</v>
      </c>
      <c r="R459">
        <f t="shared" si="47"/>
        <v>2.5580614036078417</v>
      </c>
    </row>
    <row r="460" spans="1:18" x14ac:dyDescent="0.3">
      <c r="A460" s="1">
        <v>458</v>
      </c>
      <c r="B460">
        <v>458</v>
      </c>
      <c r="C460" t="s">
        <v>519</v>
      </c>
      <c r="D460" t="s">
        <v>109</v>
      </c>
      <c r="E460">
        <v>4</v>
      </c>
      <c r="F460" t="s">
        <v>24</v>
      </c>
      <c r="G460">
        <v>37353</v>
      </c>
      <c r="H460">
        <v>0.1070864455331566</v>
      </c>
      <c r="I460">
        <v>0.1051674566121624</v>
      </c>
      <c r="J460">
        <v>4.6484015822574999E-3</v>
      </c>
      <c r="K460">
        <v>10.516745661216239</v>
      </c>
      <c r="L460">
        <f t="shared" si="42"/>
        <v>0.4</v>
      </c>
      <c r="M460">
        <f t="shared" si="43"/>
        <v>0</v>
      </c>
      <c r="N460">
        <f t="shared" si="44"/>
        <v>0.26771611383289151</v>
      </c>
      <c r="O460">
        <f t="shared" si="45"/>
        <v>1.1833052231413805E-2</v>
      </c>
      <c r="P460">
        <f t="shared" si="46"/>
        <v>1.1833052231413805</v>
      </c>
      <c r="Q460">
        <f>VLOOKUP(C460,Sheet2!A:AU,47,0)</f>
        <v>1.48757929300231</v>
      </c>
      <c r="R460">
        <f t="shared" si="47"/>
        <v>2.6708845161436905</v>
      </c>
    </row>
    <row r="461" spans="1:18" x14ac:dyDescent="0.3">
      <c r="A461" s="1">
        <v>459</v>
      </c>
      <c r="B461">
        <v>459</v>
      </c>
      <c r="C461" t="s">
        <v>520</v>
      </c>
      <c r="D461" t="s">
        <v>182</v>
      </c>
      <c r="E461">
        <v>3</v>
      </c>
      <c r="F461" t="s">
        <v>24</v>
      </c>
      <c r="G461">
        <v>30694</v>
      </c>
      <c r="H461">
        <v>9.7738971786016801E-2</v>
      </c>
      <c r="I461">
        <v>9.4284361416062695E-2</v>
      </c>
      <c r="J461">
        <v>4.1673687745899003E-3</v>
      </c>
      <c r="K461">
        <v>9.4284361416062765</v>
      </c>
      <c r="L461">
        <f t="shared" si="42"/>
        <v>0.4</v>
      </c>
      <c r="M461">
        <f t="shared" si="43"/>
        <v>0</v>
      </c>
      <c r="N461">
        <f t="shared" si="44"/>
        <v>0.24434742946504198</v>
      </c>
      <c r="O461">
        <f t="shared" si="45"/>
        <v>1.0800156382354856E-2</v>
      </c>
      <c r="P461">
        <f t="shared" si="46"/>
        <v>1.0800156382354855</v>
      </c>
      <c r="Q461">
        <f>VLOOKUP(C461,Sheet2!A:AU,47,0)</f>
        <v>1.8820472261984571</v>
      </c>
      <c r="R461">
        <f t="shared" si="47"/>
        <v>2.9620628644339426</v>
      </c>
    </row>
    <row r="462" spans="1:18" x14ac:dyDescent="0.3">
      <c r="A462" s="1">
        <v>460</v>
      </c>
      <c r="B462">
        <v>460</v>
      </c>
      <c r="C462" t="s">
        <v>521</v>
      </c>
      <c r="D462" t="s">
        <v>50</v>
      </c>
      <c r="E462">
        <v>1</v>
      </c>
      <c r="F462" t="s">
        <v>12</v>
      </c>
      <c r="G462">
        <v>10668</v>
      </c>
      <c r="H462">
        <v>9.3738282714660601E-2</v>
      </c>
      <c r="I462">
        <v>8.9626431242481097E-2</v>
      </c>
      <c r="J462">
        <v>3.9614882609176E-3</v>
      </c>
      <c r="K462">
        <v>8.9626431242481139</v>
      </c>
      <c r="L462">
        <f t="shared" si="42"/>
        <v>0.4</v>
      </c>
      <c r="M462">
        <f t="shared" si="43"/>
        <v>0</v>
      </c>
      <c r="N462">
        <f t="shared" si="44"/>
        <v>0.23434570678665148</v>
      </c>
      <c r="O462">
        <f t="shared" si="45"/>
        <v>1.0358080239969996E-2</v>
      </c>
      <c r="P462">
        <f t="shared" si="46"/>
        <v>1.0358080239969996</v>
      </c>
      <c r="Q462">
        <f>VLOOKUP(C462,Sheet2!A:AU,47,0)</f>
        <v>2.6959374293009297</v>
      </c>
      <c r="R462">
        <f t="shared" si="47"/>
        <v>3.7317454532979291</v>
      </c>
    </row>
    <row r="463" spans="1:18" x14ac:dyDescent="0.3">
      <c r="A463" s="1">
        <v>461</v>
      </c>
      <c r="B463">
        <v>461</v>
      </c>
      <c r="C463" t="s">
        <v>522</v>
      </c>
      <c r="D463" t="s">
        <v>50</v>
      </c>
      <c r="E463">
        <v>2</v>
      </c>
      <c r="F463" t="s">
        <v>12</v>
      </c>
      <c r="G463">
        <v>22805</v>
      </c>
      <c r="H463">
        <v>8.7700065775049296E-2</v>
      </c>
      <c r="I463">
        <v>8.2596244098216698E-2</v>
      </c>
      <c r="J463">
        <v>3.6507539891410998E-3</v>
      </c>
      <c r="K463">
        <v>8.259624409821674</v>
      </c>
      <c r="L463">
        <f t="shared" si="42"/>
        <v>0.4</v>
      </c>
      <c r="M463">
        <f t="shared" si="43"/>
        <v>0</v>
      </c>
      <c r="N463">
        <f t="shared" si="44"/>
        <v>0.21925016443762324</v>
      </c>
      <c r="O463">
        <f t="shared" si="45"/>
        <v>9.6908572681429477E-3</v>
      </c>
      <c r="P463">
        <f t="shared" si="46"/>
        <v>0.96908572681429472</v>
      </c>
      <c r="Q463">
        <f>VLOOKUP(C463,Sheet2!A:AU,47,0)</f>
        <v>1.649478741447608</v>
      </c>
      <c r="R463">
        <f t="shared" si="47"/>
        <v>2.6185644682619027</v>
      </c>
    </row>
    <row r="464" spans="1:18" x14ac:dyDescent="0.3">
      <c r="A464" s="1">
        <v>462</v>
      </c>
      <c r="B464">
        <v>462</v>
      </c>
      <c r="C464" t="s">
        <v>523</v>
      </c>
      <c r="D464" t="s">
        <v>286</v>
      </c>
      <c r="E464">
        <v>1</v>
      </c>
      <c r="F464" t="s">
        <v>24</v>
      </c>
      <c r="G464">
        <v>33894</v>
      </c>
      <c r="H464">
        <v>2.9503746975865899E-2</v>
      </c>
      <c r="I464">
        <v>1.48393191057423E-2</v>
      </c>
      <c r="J464">
        <v>6.5589790447380001E-4</v>
      </c>
      <c r="K464">
        <v>1.483931910574239</v>
      </c>
      <c r="L464">
        <f t="shared" si="42"/>
        <v>0.4</v>
      </c>
      <c r="M464">
        <f t="shared" si="43"/>
        <v>0</v>
      </c>
      <c r="N464">
        <f t="shared" si="44"/>
        <v>7.3759367439664741E-2</v>
      </c>
      <c r="O464">
        <f t="shared" si="45"/>
        <v>3.2601640408331817E-3</v>
      </c>
      <c r="P464">
        <f t="shared" si="46"/>
        <v>0.32601640408331817</v>
      </c>
      <c r="Q464">
        <f>VLOOKUP(C464,Sheet2!A:AU,47,0)</f>
        <v>0.310116918163438</v>
      </c>
      <c r="R464">
        <f t="shared" si="47"/>
        <v>0.63613332224675623</v>
      </c>
    </row>
    <row r="465" spans="1:18" x14ac:dyDescent="0.3">
      <c r="A465" s="1">
        <v>463</v>
      </c>
      <c r="B465">
        <v>463</v>
      </c>
      <c r="C465" t="s">
        <v>524</v>
      </c>
      <c r="D465" t="s">
        <v>286</v>
      </c>
      <c r="E465">
        <v>1</v>
      </c>
      <c r="F465" t="s">
        <v>24</v>
      </c>
      <c r="G465">
        <v>41233</v>
      </c>
      <c r="H465">
        <v>2.4252419178813E-2</v>
      </c>
      <c r="I465">
        <v>8.7252928065256995E-3</v>
      </c>
      <c r="J465">
        <v>3.8565794204839998E-4</v>
      </c>
      <c r="K465">
        <v>0.87252928065257052</v>
      </c>
      <c r="L465">
        <f t="shared" si="42"/>
        <v>0.4</v>
      </c>
      <c r="M465">
        <f t="shared" si="43"/>
        <v>0</v>
      </c>
      <c r="N465">
        <f t="shared" si="44"/>
        <v>6.0631047947032495E-2</v>
      </c>
      <c r="O465">
        <f t="shared" si="45"/>
        <v>2.6798923192588365E-3</v>
      </c>
      <c r="P465">
        <f t="shared" si="46"/>
        <v>0.26798923192588364</v>
      </c>
      <c r="Q465">
        <f>VLOOKUP(C465,Sheet2!A:AU,47,0)</f>
        <v>3.9924849509194837E-2</v>
      </c>
      <c r="R465">
        <f t="shared" si="47"/>
        <v>0.30791408143507848</v>
      </c>
    </row>
    <row r="466" spans="1:18" x14ac:dyDescent="0.3">
      <c r="A466" s="1">
        <v>464</v>
      </c>
      <c r="B466">
        <v>464</v>
      </c>
      <c r="C466" t="s">
        <v>525</v>
      </c>
      <c r="D466" t="s">
        <v>91</v>
      </c>
      <c r="E466">
        <v>1</v>
      </c>
      <c r="F466" t="s">
        <v>24</v>
      </c>
      <c r="G466">
        <v>59672</v>
      </c>
      <c r="H466">
        <v>1.6758278589623199E-2</v>
      </c>
      <c r="I466">
        <v>0</v>
      </c>
      <c r="J466">
        <v>0</v>
      </c>
      <c r="K466">
        <v>0</v>
      </c>
      <c r="L466">
        <f t="shared" si="42"/>
        <v>0.4</v>
      </c>
      <c r="M466">
        <f t="shared" si="43"/>
        <v>0</v>
      </c>
      <c r="N466">
        <f t="shared" si="44"/>
        <v>4.1895696474057997E-2</v>
      </c>
      <c r="O466">
        <f t="shared" si="45"/>
        <v>1.8517897841533637E-3</v>
      </c>
      <c r="P466">
        <f t="shared" si="46"/>
        <v>0.18517897841533637</v>
      </c>
      <c r="Q466">
        <f>VLOOKUP(C466,Sheet2!A:AU,47,0)</f>
        <v>0</v>
      </c>
      <c r="R466">
        <f t="shared" si="47"/>
        <v>0.18517897841533637</v>
      </c>
    </row>
    <row r="467" spans="1:18" x14ac:dyDescent="0.3">
      <c r="A467" s="1">
        <v>465</v>
      </c>
      <c r="B467">
        <v>465</v>
      </c>
      <c r="C467" t="s">
        <v>526</v>
      </c>
      <c r="D467" t="s">
        <v>64</v>
      </c>
      <c r="E467">
        <v>2</v>
      </c>
      <c r="F467" t="s">
        <v>24</v>
      </c>
      <c r="G467">
        <v>41995</v>
      </c>
      <c r="H467">
        <v>4.7624717228241402E-2</v>
      </c>
      <c r="I467">
        <v>3.59372381411006E-2</v>
      </c>
      <c r="J467">
        <v>1.5884259258366E-3</v>
      </c>
      <c r="K467">
        <v>3.5937238141100609</v>
      </c>
      <c r="L467">
        <f t="shared" si="42"/>
        <v>0.4</v>
      </c>
      <c r="M467">
        <f t="shared" si="43"/>
        <v>0</v>
      </c>
      <c r="N467">
        <f t="shared" si="44"/>
        <v>0.11906179307060349</v>
      </c>
      <c r="O467">
        <f t="shared" si="45"/>
        <v>5.2625312537206747E-3</v>
      </c>
      <c r="P467">
        <f t="shared" si="46"/>
        <v>0.52625312537206748</v>
      </c>
      <c r="Q467">
        <f>VLOOKUP(C467,Sheet2!A:AU,47,0)</f>
        <v>0.61180040871739017</v>
      </c>
      <c r="R467">
        <f t="shared" si="47"/>
        <v>1.1380535340894578</v>
      </c>
    </row>
    <row r="468" spans="1:18" x14ac:dyDescent="0.3">
      <c r="A468" s="1">
        <v>466</v>
      </c>
      <c r="B468">
        <v>466</v>
      </c>
      <c r="C468" t="s">
        <v>527</v>
      </c>
      <c r="D468" t="s">
        <v>70</v>
      </c>
      <c r="E468">
        <v>1</v>
      </c>
      <c r="F468" t="s">
        <v>12</v>
      </c>
      <c r="G468">
        <v>24995</v>
      </c>
      <c r="H468">
        <v>4.0008001600320003E-2</v>
      </c>
      <c r="I468">
        <v>2.7069233426387899E-2</v>
      </c>
      <c r="J468">
        <v>1.1964601174463E-3</v>
      </c>
      <c r="K468">
        <v>2.7069233426388002</v>
      </c>
      <c r="L468">
        <f t="shared" si="42"/>
        <v>0.4</v>
      </c>
      <c r="M468">
        <f t="shared" si="43"/>
        <v>0</v>
      </c>
      <c r="N468">
        <f t="shared" si="44"/>
        <v>0.10002000400080001</v>
      </c>
      <c r="O468">
        <f t="shared" si="45"/>
        <v>4.4208841768353605E-3</v>
      </c>
      <c r="P468">
        <f t="shared" si="46"/>
        <v>0.44208841768353607</v>
      </c>
      <c r="Q468">
        <f>VLOOKUP(C468,Sheet2!A:AU,47,0)</f>
        <v>0.73212495974103775</v>
      </c>
      <c r="R468">
        <f t="shared" si="47"/>
        <v>1.1742133774245738</v>
      </c>
    </row>
    <row r="469" spans="1:18" x14ac:dyDescent="0.3">
      <c r="A469" s="1">
        <v>467</v>
      </c>
      <c r="B469">
        <v>467</v>
      </c>
      <c r="C469" t="s">
        <v>528</v>
      </c>
      <c r="D469" t="s">
        <v>91</v>
      </c>
      <c r="E469">
        <v>3</v>
      </c>
      <c r="F469" t="s">
        <v>24</v>
      </c>
      <c r="G469">
        <v>7588</v>
      </c>
      <c r="H469">
        <v>0.39536109646810752</v>
      </c>
      <c r="I469">
        <v>0.4408004365611497</v>
      </c>
      <c r="J469">
        <v>1.9483379296002801E-2</v>
      </c>
      <c r="K469">
        <v>44.080043656114967</v>
      </c>
      <c r="L469">
        <f t="shared" si="42"/>
        <v>0.4</v>
      </c>
      <c r="M469">
        <f t="shared" si="43"/>
        <v>0</v>
      </c>
      <c r="N469">
        <f t="shared" si="44"/>
        <v>0.98840274117026872</v>
      </c>
      <c r="O469">
        <f t="shared" si="45"/>
        <v>4.3687401159725879E-2</v>
      </c>
      <c r="P469">
        <f t="shared" si="46"/>
        <v>4.3687401159725878</v>
      </c>
      <c r="Q469">
        <f>VLOOKUP(C469,Sheet2!A:AU,47,0)</f>
        <v>8.0399999999999991</v>
      </c>
      <c r="R469">
        <f t="shared" si="47"/>
        <v>12.408740115972588</v>
      </c>
    </row>
    <row r="470" spans="1:18" x14ac:dyDescent="0.3">
      <c r="A470" s="1">
        <v>468</v>
      </c>
      <c r="B470">
        <v>468</v>
      </c>
      <c r="C470" t="s">
        <v>529</v>
      </c>
      <c r="D470" t="s">
        <v>79</v>
      </c>
      <c r="E470">
        <v>1</v>
      </c>
      <c r="F470" t="s">
        <v>24</v>
      </c>
      <c r="G470">
        <v>24230</v>
      </c>
      <c r="H470">
        <v>4.1271151465125798E-2</v>
      </c>
      <c r="I470">
        <v>2.8539896045775202E-2</v>
      </c>
      <c r="J470">
        <v>1.2614634052232E-3</v>
      </c>
      <c r="K470">
        <v>2.8539896045775222</v>
      </c>
      <c r="L470">
        <f t="shared" si="42"/>
        <v>0.4</v>
      </c>
      <c r="M470">
        <f t="shared" si="43"/>
        <v>0</v>
      </c>
      <c r="N470">
        <f t="shared" si="44"/>
        <v>0.10317787866281448</v>
      </c>
      <c r="O470">
        <f t="shared" si="45"/>
        <v>4.5604622368964004E-3</v>
      </c>
      <c r="P470">
        <f t="shared" si="46"/>
        <v>0.45604622368964004</v>
      </c>
      <c r="Q470">
        <f>VLOOKUP(C470,Sheet2!A:AU,47,0)</f>
        <v>0.42648562872090551</v>
      </c>
      <c r="R470">
        <f t="shared" si="47"/>
        <v>0.88253185241054555</v>
      </c>
    </row>
    <row r="471" spans="1:18" x14ac:dyDescent="0.3">
      <c r="A471" s="1">
        <v>469</v>
      </c>
      <c r="B471">
        <v>469</v>
      </c>
      <c r="C471" t="s">
        <v>530</v>
      </c>
      <c r="D471" t="s">
        <v>79</v>
      </c>
      <c r="E471">
        <v>1</v>
      </c>
      <c r="F471" t="s">
        <v>24</v>
      </c>
      <c r="G471">
        <v>12430</v>
      </c>
      <c r="H471">
        <v>8.0450522928398993E-2</v>
      </c>
      <c r="I471">
        <v>7.4155732034468999E-2</v>
      </c>
      <c r="J471">
        <v>3.2776833559234999E-3</v>
      </c>
      <c r="K471">
        <v>7.4155732034469066</v>
      </c>
      <c r="L471">
        <f t="shared" si="42"/>
        <v>0.4</v>
      </c>
      <c r="M471">
        <f t="shared" si="43"/>
        <v>0</v>
      </c>
      <c r="N471">
        <f t="shared" si="44"/>
        <v>0.20112630732099748</v>
      </c>
      <c r="O471">
        <f t="shared" si="45"/>
        <v>8.8897827835880891E-3</v>
      </c>
      <c r="P471">
        <f t="shared" si="46"/>
        <v>0.88897827835880894</v>
      </c>
      <c r="Q471">
        <f>VLOOKUP(C471,Sheet2!A:AU,47,0)</f>
        <v>2.1007448614356092</v>
      </c>
      <c r="R471">
        <f t="shared" si="47"/>
        <v>2.9897231397944184</v>
      </c>
    </row>
    <row r="472" spans="1:18" x14ac:dyDescent="0.3">
      <c r="A472" s="1">
        <v>470</v>
      </c>
      <c r="B472">
        <v>470</v>
      </c>
      <c r="C472" t="s">
        <v>531</v>
      </c>
      <c r="D472" t="s">
        <v>79</v>
      </c>
      <c r="E472">
        <v>2</v>
      </c>
      <c r="F472" t="s">
        <v>24</v>
      </c>
      <c r="G472">
        <v>18059</v>
      </c>
      <c r="H472">
        <v>0.1107481034387286</v>
      </c>
      <c r="I472">
        <v>0.1094306589104394</v>
      </c>
      <c r="J472">
        <v>4.8368351238414001E-3</v>
      </c>
      <c r="K472">
        <v>10.94306589104394</v>
      </c>
      <c r="L472">
        <f t="shared" si="42"/>
        <v>0.4</v>
      </c>
      <c r="M472">
        <f t="shared" si="43"/>
        <v>0</v>
      </c>
      <c r="N472">
        <f t="shared" si="44"/>
        <v>0.27687025859682146</v>
      </c>
      <c r="O472">
        <f t="shared" si="45"/>
        <v>1.223766542997951E-2</v>
      </c>
      <c r="P472">
        <f t="shared" si="46"/>
        <v>1.223766542997951</v>
      </c>
      <c r="Q472">
        <f>VLOOKUP(C472,Sheet2!A:AU,47,0)</f>
        <v>2.4327213767101359</v>
      </c>
      <c r="R472">
        <f t="shared" si="47"/>
        <v>3.6564879197080868</v>
      </c>
    </row>
    <row r="473" spans="1:18" x14ac:dyDescent="0.3">
      <c r="A473" s="1">
        <v>471</v>
      </c>
      <c r="B473">
        <v>471</v>
      </c>
      <c r="C473" t="s">
        <v>532</v>
      </c>
      <c r="D473" t="s">
        <v>41</v>
      </c>
      <c r="E473">
        <v>1</v>
      </c>
      <c r="F473" t="s">
        <v>17</v>
      </c>
      <c r="G473">
        <v>3987</v>
      </c>
      <c r="H473">
        <v>0.25081514923501369</v>
      </c>
      <c r="I473">
        <v>0.27250819563033118</v>
      </c>
      <c r="J473">
        <v>1.20448622468606E-2</v>
      </c>
      <c r="K473">
        <v>27.250819563033129</v>
      </c>
      <c r="L473">
        <f t="shared" si="42"/>
        <v>0.4</v>
      </c>
      <c r="M473">
        <f t="shared" si="43"/>
        <v>0</v>
      </c>
      <c r="N473">
        <f t="shared" si="44"/>
        <v>0.62703787308753423</v>
      </c>
      <c r="O473">
        <f t="shared" si="45"/>
        <v>2.7715073990469016E-2</v>
      </c>
      <c r="P473">
        <f t="shared" si="46"/>
        <v>2.7715073990469015</v>
      </c>
      <c r="Q473">
        <f>VLOOKUP(C473,Sheet2!A:AU,47,0)</f>
        <v>8.0399999999999991</v>
      </c>
      <c r="R473">
        <f t="shared" si="47"/>
        <v>10.811507399046901</v>
      </c>
    </row>
    <row r="474" spans="1:18" x14ac:dyDescent="0.3">
      <c r="A474" s="1">
        <v>472</v>
      </c>
      <c r="B474">
        <v>472</v>
      </c>
      <c r="C474" t="s">
        <v>533</v>
      </c>
      <c r="D474" t="s">
        <v>74</v>
      </c>
      <c r="E474">
        <v>1</v>
      </c>
      <c r="F474" t="s">
        <v>17</v>
      </c>
      <c r="G474">
        <v>41346</v>
      </c>
      <c r="H474">
        <v>2.41861365065544E-2</v>
      </c>
      <c r="I474">
        <v>8.6481210859563999E-3</v>
      </c>
      <c r="J474">
        <v>3.822469519992E-4</v>
      </c>
      <c r="K474">
        <v>0.8648121085956455</v>
      </c>
      <c r="L474">
        <f t="shared" si="42"/>
        <v>0.4</v>
      </c>
      <c r="M474">
        <f t="shared" si="43"/>
        <v>0</v>
      </c>
      <c r="N474">
        <f t="shared" si="44"/>
        <v>6.0465341266385995E-2</v>
      </c>
      <c r="O474">
        <f t="shared" si="45"/>
        <v>2.6725680839742613E-3</v>
      </c>
      <c r="P474">
        <f t="shared" si="46"/>
        <v>0.2672568083974261</v>
      </c>
      <c r="Q474">
        <f>VLOOKUP(C474,Sheet2!A:AU,47,0)</f>
        <v>0.1400084591433591</v>
      </c>
      <c r="R474">
        <f t="shared" si="47"/>
        <v>0.40726526754078518</v>
      </c>
    </row>
    <row r="475" spans="1:18" x14ac:dyDescent="0.3">
      <c r="A475" s="1">
        <v>473</v>
      </c>
      <c r="B475">
        <v>473</v>
      </c>
      <c r="C475" t="s">
        <v>534</v>
      </c>
      <c r="D475" t="s">
        <v>172</v>
      </c>
      <c r="E475">
        <v>3</v>
      </c>
      <c r="F475" t="s">
        <v>12</v>
      </c>
      <c r="G475">
        <v>15564</v>
      </c>
      <c r="H475">
        <v>0.19275250578257511</v>
      </c>
      <c r="I475">
        <v>0.20490690643458109</v>
      </c>
      <c r="J475">
        <v>9.0568852644084003E-3</v>
      </c>
      <c r="K475">
        <v>20.49069064345812</v>
      </c>
      <c r="L475">
        <f t="shared" si="42"/>
        <v>0.4</v>
      </c>
      <c r="M475">
        <f t="shared" si="43"/>
        <v>0</v>
      </c>
      <c r="N475">
        <f t="shared" si="44"/>
        <v>0.48188126445643775</v>
      </c>
      <c r="O475">
        <f t="shared" si="45"/>
        <v>2.1299151888974549E-2</v>
      </c>
      <c r="P475">
        <f t="shared" si="46"/>
        <v>2.129915188897455</v>
      </c>
      <c r="Q475">
        <f>VLOOKUP(C475,Sheet2!A:AU,47,0)</f>
        <v>7.3757066264972293</v>
      </c>
      <c r="R475">
        <f t="shared" si="47"/>
        <v>9.5056218153946848</v>
      </c>
    </row>
    <row r="476" spans="1:18" x14ac:dyDescent="0.3">
      <c r="A476" s="1">
        <v>474</v>
      </c>
      <c r="B476">
        <v>474</v>
      </c>
      <c r="C476" t="s">
        <v>535</v>
      </c>
      <c r="D476" t="s">
        <v>11</v>
      </c>
      <c r="E476">
        <v>1</v>
      </c>
      <c r="F476" t="s">
        <v>12</v>
      </c>
      <c r="G476">
        <v>15850</v>
      </c>
      <c r="H476">
        <v>6.3091482649842198E-2</v>
      </c>
      <c r="I476">
        <v>5.3944914333882502E-2</v>
      </c>
      <c r="J476">
        <v>2.3843652135575998E-3</v>
      </c>
      <c r="K476">
        <v>5.3944914333882554</v>
      </c>
      <c r="L476">
        <f t="shared" si="42"/>
        <v>0.4</v>
      </c>
      <c r="M476">
        <f t="shared" si="43"/>
        <v>0</v>
      </c>
      <c r="N476">
        <f t="shared" si="44"/>
        <v>0.15772870662460547</v>
      </c>
      <c r="O476">
        <f t="shared" si="45"/>
        <v>6.9716088328075623E-3</v>
      </c>
      <c r="P476">
        <f t="shared" si="46"/>
        <v>0.69716088328075621</v>
      </c>
      <c r="Q476">
        <f>VLOOKUP(C476,Sheet2!A:AU,47,0)</f>
        <v>0.52212247569998138</v>
      </c>
      <c r="R476">
        <f t="shared" si="47"/>
        <v>1.2192833589807375</v>
      </c>
    </row>
    <row r="477" spans="1:18" x14ac:dyDescent="0.3">
      <c r="A477" s="1">
        <v>475</v>
      </c>
      <c r="B477">
        <v>475</v>
      </c>
      <c r="C477" t="s">
        <v>536</v>
      </c>
      <c r="D477" t="s">
        <v>116</v>
      </c>
      <c r="E477">
        <v>1</v>
      </c>
      <c r="F477" t="s">
        <v>12</v>
      </c>
      <c r="G477">
        <v>15618</v>
      </c>
      <c r="H477">
        <v>6.4028684850813103E-2</v>
      </c>
      <c r="I477">
        <v>5.5036081963455302E-2</v>
      </c>
      <c r="J477">
        <v>2.4325948227846999E-3</v>
      </c>
      <c r="K477">
        <v>5.5036081963455299</v>
      </c>
      <c r="L477">
        <f t="shared" si="42"/>
        <v>0.4</v>
      </c>
      <c r="M477">
        <f t="shared" si="43"/>
        <v>0</v>
      </c>
      <c r="N477">
        <f t="shared" si="44"/>
        <v>0.16007171212703275</v>
      </c>
      <c r="O477">
        <f t="shared" si="45"/>
        <v>7.0751696760148483E-3</v>
      </c>
      <c r="P477">
        <f t="shared" si="46"/>
        <v>0.70751696760148486</v>
      </c>
      <c r="Q477">
        <f>VLOOKUP(C477,Sheet2!A:AU,47,0)</f>
        <v>1.2001065266868027</v>
      </c>
      <c r="R477">
        <f t="shared" si="47"/>
        <v>1.9076234942882877</v>
      </c>
    </row>
    <row r="478" spans="1:18" x14ac:dyDescent="0.3">
      <c r="A478" s="1">
        <v>476</v>
      </c>
      <c r="B478">
        <v>476</v>
      </c>
      <c r="C478" t="s">
        <v>537</v>
      </c>
      <c r="D478" t="s">
        <v>66</v>
      </c>
      <c r="E478">
        <v>1</v>
      </c>
      <c r="F478" t="s">
        <v>24</v>
      </c>
      <c r="G478">
        <v>19783</v>
      </c>
      <c r="H478">
        <v>5.0548450689986299E-2</v>
      </c>
      <c r="I478">
        <v>3.9341288310476799E-2</v>
      </c>
      <c r="J478">
        <v>1.738884943323E-3</v>
      </c>
      <c r="K478">
        <v>3.9341288310476901</v>
      </c>
      <c r="L478">
        <f t="shared" si="42"/>
        <v>0.4</v>
      </c>
      <c r="M478">
        <f t="shared" si="43"/>
        <v>0</v>
      </c>
      <c r="N478">
        <f t="shared" si="44"/>
        <v>0.12637112672496573</v>
      </c>
      <c r="O478">
        <f t="shared" si="45"/>
        <v>5.5856038012434854E-3</v>
      </c>
      <c r="P478">
        <f t="shared" si="46"/>
        <v>0.5585603801243485</v>
      </c>
      <c r="Q478">
        <f>VLOOKUP(C478,Sheet2!A:AU,47,0)</f>
        <v>0.98022970541046939</v>
      </c>
      <c r="R478">
        <f t="shared" si="47"/>
        <v>1.538790085534818</v>
      </c>
    </row>
    <row r="479" spans="1:18" x14ac:dyDescent="0.3">
      <c r="A479" s="1">
        <v>477</v>
      </c>
      <c r="B479">
        <v>477</v>
      </c>
      <c r="C479" t="s">
        <v>538</v>
      </c>
      <c r="D479" t="s">
        <v>66</v>
      </c>
      <c r="E479">
        <v>1</v>
      </c>
      <c r="F479" t="s">
        <v>24</v>
      </c>
      <c r="G479">
        <v>29339</v>
      </c>
      <c r="H479">
        <v>3.4084324619107598E-2</v>
      </c>
      <c r="I479">
        <v>2.0172403091110999E-2</v>
      </c>
      <c r="J479">
        <v>8.9162021662710002E-4</v>
      </c>
      <c r="K479">
        <v>2.0172403091111062</v>
      </c>
      <c r="L479">
        <f t="shared" si="42"/>
        <v>0.4</v>
      </c>
      <c r="M479">
        <f t="shared" si="43"/>
        <v>0</v>
      </c>
      <c r="N479">
        <f t="shared" si="44"/>
        <v>8.5210811547768994E-2</v>
      </c>
      <c r="O479">
        <f t="shared" si="45"/>
        <v>3.76631787041139E-3</v>
      </c>
      <c r="P479">
        <f t="shared" si="46"/>
        <v>0.37663178704113898</v>
      </c>
      <c r="Q479">
        <f>VLOOKUP(C479,Sheet2!A:AU,47,0)</f>
        <v>0.55147508535069267</v>
      </c>
      <c r="R479">
        <f t="shared" si="47"/>
        <v>0.92810687239183165</v>
      </c>
    </row>
    <row r="480" spans="1:18" x14ac:dyDescent="0.3">
      <c r="A480" s="1">
        <v>478</v>
      </c>
      <c r="B480">
        <v>478</v>
      </c>
      <c r="C480" t="s">
        <v>539</v>
      </c>
      <c r="D480" t="s">
        <v>66</v>
      </c>
      <c r="E480">
        <v>1</v>
      </c>
      <c r="F480" t="s">
        <v>24</v>
      </c>
      <c r="G480">
        <v>18793</v>
      </c>
      <c r="H480">
        <v>5.3211302080561899E-2</v>
      </c>
      <c r="I480">
        <v>4.2441598186775502E-2</v>
      </c>
      <c r="J480">
        <v>1.8759186398554001E-3</v>
      </c>
      <c r="K480">
        <v>4.2441598186775558</v>
      </c>
      <c r="L480">
        <f t="shared" si="42"/>
        <v>0.4</v>
      </c>
      <c r="M480">
        <f t="shared" si="43"/>
        <v>0</v>
      </c>
      <c r="N480">
        <f t="shared" si="44"/>
        <v>0.13302825520140474</v>
      </c>
      <c r="O480">
        <f t="shared" si="45"/>
        <v>5.8798488799020896E-3</v>
      </c>
      <c r="P480">
        <f t="shared" si="46"/>
        <v>0.58798488799020898</v>
      </c>
      <c r="Q480">
        <f>VLOOKUP(C480,Sheet2!A:AU,47,0)</f>
        <v>1.2062960589282985</v>
      </c>
      <c r="R480">
        <f t="shared" si="47"/>
        <v>1.7942809469185075</v>
      </c>
    </row>
    <row r="481" spans="1:18" x14ac:dyDescent="0.3">
      <c r="A481" s="1">
        <v>479</v>
      </c>
      <c r="B481">
        <v>479</v>
      </c>
      <c r="C481" t="s">
        <v>540</v>
      </c>
      <c r="D481" t="s">
        <v>124</v>
      </c>
      <c r="E481">
        <v>2</v>
      </c>
      <c r="F481" t="s">
        <v>12</v>
      </c>
      <c r="G481">
        <v>28423</v>
      </c>
      <c r="H481">
        <v>7.0365549027196203E-2</v>
      </c>
      <c r="I481">
        <v>6.2413978702393201E-2</v>
      </c>
      <c r="J481">
        <v>2.7586978586457002E-3</v>
      </c>
      <c r="K481">
        <v>6.2413978702393278</v>
      </c>
      <c r="L481">
        <f t="shared" si="42"/>
        <v>0.4</v>
      </c>
      <c r="M481">
        <f t="shared" si="43"/>
        <v>0</v>
      </c>
      <c r="N481">
        <f t="shared" si="44"/>
        <v>0.17591387256799049</v>
      </c>
      <c r="O481">
        <f t="shared" si="45"/>
        <v>7.7753931675051801E-3</v>
      </c>
      <c r="P481">
        <f t="shared" si="46"/>
        <v>0.77753931675051802</v>
      </c>
      <c r="Q481">
        <f>VLOOKUP(C481,Sheet2!A:AU,47,0)</f>
        <v>2.9988272447858404</v>
      </c>
      <c r="R481">
        <f t="shared" si="47"/>
        <v>3.7763665615363582</v>
      </c>
    </row>
    <row r="482" spans="1:18" x14ac:dyDescent="0.3">
      <c r="A482" s="1">
        <v>480</v>
      </c>
      <c r="B482">
        <v>480</v>
      </c>
      <c r="C482" t="s">
        <v>541</v>
      </c>
      <c r="D482" t="s">
        <v>66</v>
      </c>
      <c r="E482">
        <v>2</v>
      </c>
      <c r="F482" t="s">
        <v>24</v>
      </c>
      <c r="G482">
        <v>11760</v>
      </c>
      <c r="H482">
        <v>0.17006802721088429</v>
      </c>
      <c r="I482">
        <v>0.17849577692002819</v>
      </c>
      <c r="J482">
        <v>7.8895133398651993E-3</v>
      </c>
      <c r="K482">
        <v>17.849577692002821</v>
      </c>
      <c r="L482">
        <f t="shared" si="42"/>
        <v>0.4</v>
      </c>
      <c r="M482">
        <f t="shared" si="43"/>
        <v>0</v>
      </c>
      <c r="N482">
        <f t="shared" si="44"/>
        <v>0.42517006802721069</v>
      </c>
      <c r="O482">
        <f t="shared" si="45"/>
        <v>1.8792517006802713E-2</v>
      </c>
      <c r="P482">
        <f t="shared" si="46"/>
        <v>1.8792517006802714</v>
      </c>
      <c r="Q482">
        <f>VLOOKUP(C482,Sheet2!A:AU,47,0)</f>
        <v>6.5460951691059188</v>
      </c>
      <c r="R482">
        <f t="shared" si="47"/>
        <v>8.4253468697861909</v>
      </c>
    </row>
    <row r="483" spans="1:18" x14ac:dyDescent="0.3">
      <c r="A483" s="1">
        <v>481</v>
      </c>
      <c r="B483">
        <v>481</v>
      </c>
      <c r="C483" t="s">
        <v>542</v>
      </c>
      <c r="D483" t="s">
        <v>77</v>
      </c>
      <c r="E483">
        <v>1</v>
      </c>
      <c r="F483" t="s">
        <v>24</v>
      </c>
      <c r="G483">
        <v>27095</v>
      </c>
      <c r="H483">
        <v>3.6907178446207702E-2</v>
      </c>
      <c r="I483">
        <v>2.3459000920220199E-2</v>
      </c>
      <c r="J483">
        <v>1.0368878406736999E-3</v>
      </c>
      <c r="K483">
        <v>2.3459000920220241</v>
      </c>
      <c r="L483">
        <f t="shared" si="42"/>
        <v>0.4</v>
      </c>
      <c r="M483">
        <f t="shared" si="43"/>
        <v>0</v>
      </c>
      <c r="N483">
        <f t="shared" si="44"/>
        <v>9.226794611551925E-2</v>
      </c>
      <c r="O483">
        <f t="shared" si="45"/>
        <v>4.0782432183059511E-3</v>
      </c>
      <c r="P483">
        <f t="shared" si="46"/>
        <v>0.40782432183059508</v>
      </c>
      <c r="Q483">
        <f>VLOOKUP(C483,Sheet2!A:AU,47,0)</f>
        <v>0.19526106548194389</v>
      </c>
      <c r="R483">
        <f t="shared" si="47"/>
        <v>0.60308538731253902</v>
      </c>
    </row>
    <row r="484" spans="1:18" x14ac:dyDescent="0.3">
      <c r="A484" s="1">
        <v>482</v>
      </c>
      <c r="B484">
        <v>482</v>
      </c>
      <c r="C484" t="s">
        <v>543</v>
      </c>
      <c r="D484" t="s">
        <v>77</v>
      </c>
      <c r="E484">
        <v>1</v>
      </c>
      <c r="F484" t="s">
        <v>24</v>
      </c>
      <c r="G484">
        <v>27135</v>
      </c>
      <c r="H484">
        <v>3.6852773171181102E-2</v>
      </c>
      <c r="I484">
        <v>2.3395657839158701E-2</v>
      </c>
      <c r="J484">
        <v>1.0340880764908001E-3</v>
      </c>
      <c r="K484">
        <v>2.339565783915877</v>
      </c>
      <c r="L484">
        <f t="shared" si="42"/>
        <v>0.4</v>
      </c>
      <c r="M484">
        <f t="shared" si="43"/>
        <v>0</v>
      </c>
      <c r="N484">
        <f t="shared" si="44"/>
        <v>9.2131932927952756E-2</v>
      </c>
      <c r="O484">
        <f t="shared" si="45"/>
        <v>4.0722314354155117E-3</v>
      </c>
      <c r="P484">
        <f t="shared" si="46"/>
        <v>0.4072231435415512</v>
      </c>
      <c r="Q484">
        <f>VLOOKUP(C484,Sheet2!A:AU,47,0)</f>
        <v>0.3920395026245721</v>
      </c>
      <c r="R484">
        <f t="shared" si="47"/>
        <v>0.7992626461661233</v>
      </c>
    </row>
    <row r="485" spans="1:18" x14ac:dyDescent="0.3">
      <c r="A485" s="1">
        <v>483</v>
      </c>
      <c r="B485">
        <v>483</v>
      </c>
      <c r="C485" t="s">
        <v>544</v>
      </c>
      <c r="D485" t="s">
        <v>77</v>
      </c>
      <c r="E485">
        <v>3</v>
      </c>
      <c r="F485" t="s">
        <v>24</v>
      </c>
      <c r="G485">
        <v>23977</v>
      </c>
      <c r="H485">
        <v>0.1251199065771364</v>
      </c>
      <c r="I485">
        <v>0.12616349025353399</v>
      </c>
      <c r="J485">
        <v>5.5764262692061996E-3</v>
      </c>
      <c r="K485">
        <v>12.61634902535341</v>
      </c>
      <c r="L485">
        <f t="shared" si="42"/>
        <v>0.4</v>
      </c>
      <c r="M485">
        <f t="shared" si="43"/>
        <v>0</v>
      </c>
      <c r="N485">
        <f t="shared" si="44"/>
        <v>0.31279976644284097</v>
      </c>
      <c r="O485">
        <f t="shared" si="45"/>
        <v>1.3825749676773571E-2</v>
      </c>
      <c r="P485">
        <f t="shared" si="46"/>
        <v>1.3825749676773571</v>
      </c>
      <c r="Q485">
        <f>VLOOKUP(C485,Sheet2!A:AU,47,0)</f>
        <v>2.1964540690570917</v>
      </c>
      <c r="R485">
        <f t="shared" si="47"/>
        <v>3.5790290367344486</v>
      </c>
    </row>
    <row r="486" spans="1:18" x14ac:dyDescent="0.3">
      <c r="A486" s="1">
        <v>484</v>
      </c>
      <c r="B486">
        <v>484</v>
      </c>
      <c r="C486" t="s">
        <v>545</v>
      </c>
      <c r="D486" t="s">
        <v>109</v>
      </c>
      <c r="E486">
        <v>4</v>
      </c>
      <c r="F486" t="s">
        <v>24</v>
      </c>
      <c r="G486">
        <v>55546</v>
      </c>
      <c r="H486">
        <v>7.2012386130414399E-2</v>
      </c>
      <c r="I486">
        <v>6.4331361457522801E-2</v>
      </c>
      <c r="J486">
        <v>2.8434461764225002E-3</v>
      </c>
      <c r="K486">
        <v>6.4331361457522824</v>
      </c>
      <c r="L486">
        <f t="shared" si="42"/>
        <v>0.4</v>
      </c>
      <c r="M486">
        <f t="shared" si="43"/>
        <v>0</v>
      </c>
      <c r="N486">
        <f t="shared" si="44"/>
        <v>0.18003096532603599</v>
      </c>
      <c r="O486">
        <f t="shared" si="45"/>
        <v>7.9573686674107909E-3</v>
      </c>
      <c r="P486">
        <f t="shared" si="46"/>
        <v>0.79573686674107913</v>
      </c>
      <c r="Q486">
        <f>VLOOKUP(C486,Sheet2!A:AU,47,0)</f>
        <v>0.82086016531463124</v>
      </c>
      <c r="R486">
        <f t="shared" si="47"/>
        <v>1.6165970320557104</v>
      </c>
    </row>
    <row r="487" spans="1:18" x14ac:dyDescent="0.3">
      <c r="A487" s="1">
        <v>485</v>
      </c>
      <c r="B487">
        <v>485</v>
      </c>
      <c r="C487" t="s">
        <v>546</v>
      </c>
      <c r="D487" t="s">
        <v>127</v>
      </c>
      <c r="E487">
        <v>1</v>
      </c>
      <c r="F487" t="s">
        <v>12</v>
      </c>
      <c r="G487">
        <v>11911</v>
      </c>
      <c r="H487">
        <v>8.3956007052304493E-2</v>
      </c>
      <c r="I487">
        <v>7.8237104013775594E-2</v>
      </c>
      <c r="J487">
        <v>3.4580799974087998E-3</v>
      </c>
      <c r="K487">
        <v>7.8237104013775616</v>
      </c>
      <c r="L487">
        <f t="shared" si="42"/>
        <v>0.4</v>
      </c>
      <c r="M487">
        <f t="shared" si="43"/>
        <v>0</v>
      </c>
      <c r="N487">
        <f t="shared" si="44"/>
        <v>0.20989001763076123</v>
      </c>
      <c r="O487">
        <f t="shared" si="45"/>
        <v>9.2771387792796468E-3</v>
      </c>
      <c r="P487">
        <f t="shared" si="46"/>
        <v>0.92771387792796467</v>
      </c>
      <c r="Q487">
        <f>VLOOKUP(C487,Sheet2!A:AU,47,0)</f>
        <v>1.9930956121490866</v>
      </c>
      <c r="R487">
        <f t="shared" si="47"/>
        <v>2.9208094900770512</v>
      </c>
    </row>
    <row r="488" spans="1:18" x14ac:dyDescent="0.3">
      <c r="A488" s="1">
        <v>486</v>
      </c>
      <c r="B488">
        <v>486</v>
      </c>
      <c r="C488" t="s">
        <v>547</v>
      </c>
      <c r="D488" t="s">
        <v>72</v>
      </c>
      <c r="E488">
        <v>2</v>
      </c>
      <c r="F488" t="s">
        <v>12</v>
      </c>
      <c r="G488">
        <v>49454</v>
      </c>
      <c r="H488">
        <v>4.0441622517895397E-2</v>
      </c>
      <c r="I488">
        <v>2.7574090444728E-2</v>
      </c>
      <c r="J488">
        <v>1.2187747976568999E-3</v>
      </c>
      <c r="K488">
        <v>2.7574090444728019</v>
      </c>
      <c r="L488">
        <f t="shared" si="42"/>
        <v>0.4</v>
      </c>
      <c r="M488">
        <f t="shared" si="43"/>
        <v>0</v>
      </c>
      <c r="N488">
        <f t="shared" si="44"/>
        <v>0.10110405629473848</v>
      </c>
      <c r="O488">
        <f t="shared" si="45"/>
        <v>4.4687992882274409E-3</v>
      </c>
      <c r="P488">
        <f t="shared" si="46"/>
        <v>0.44687992882274408</v>
      </c>
      <c r="Q488">
        <f>VLOOKUP(C488,Sheet2!A:AU,47,0)</f>
        <v>1.3301600710584884</v>
      </c>
      <c r="R488">
        <f t="shared" si="47"/>
        <v>1.7770399998812325</v>
      </c>
    </row>
    <row r="489" spans="1:18" x14ac:dyDescent="0.3">
      <c r="A489" s="1">
        <v>487</v>
      </c>
      <c r="B489">
        <v>487</v>
      </c>
      <c r="C489" t="s">
        <v>548</v>
      </c>
      <c r="D489" t="s">
        <v>72</v>
      </c>
      <c r="E489">
        <v>1</v>
      </c>
      <c r="F489" t="s">
        <v>12</v>
      </c>
      <c r="G489">
        <v>18984</v>
      </c>
      <c r="H489">
        <v>5.2675937631689797E-2</v>
      </c>
      <c r="I489">
        <v>4.1818283008868203E-2</v>
      </c>
      <c r="J489">
        <v>1.8483681089918999E-3</v>
      </c>
      <c r="K489">
        <v>4.1818283008868278</v>
      </c>
      <c r="L489">
        <f t="shared" si="42"/>
        <v>0.4</v>
      </c>
      <c r="M489">
        <f t="shared" si="43"/>
        <v>0</v>
      </c>
      <c r="N489">
        <f t="shared" si="44"/>
        <v>0.13168984407922449</v>
      </c>
      <c r="O489">
        <f t="shared" si="45"/>
        <v>5.8206911083017229E-3</v>
      </c>
      <c r="P489">
        <f t="shared" si="46"/>
        <v>0.58206911083017232</v>
      </c>
      <c r="Q489">
        <f>VLOOKUP(C489,Sheet2!A:AU,47,0)</f>
        <v>1.4281411300244939</v>
      </c>
      <c r="R489">
        <f t="shared" si="47"/>
        <v>2.0102102408546663</v>
      </c>
    </row>
    <row r="490" spans="1:18" x14ac:dyDescent="0.3">
      <c r="A490" s="1">
        <v>488</v>
      </c>
      <c r="B490">
        <v>488</v>
      </c>
      <c r="C490" t="s">
        <v>549</v>
      </c>
      <c r="D490" t="s">
        <v>72</v>
      </c>
      <c r="E490">
        <v>1</v>
      </c>
      <c r="F490" t="s">
        <v>12</v>
      </c>
      <c r="G490">
        <v>25380</v>
      </c>
      <c r="H490">
        <v>3.9401103230890397E-2</v>
      </c>
      <c r="I490">
        <v>2.6362632594170501E-2</v>
      </c>
      <c r="J490">
        <v>1.1652283606623001E-3</v>
      </c>
      <c r="K490">
        <v>2.6362632594170519</v>
      </c>
      <c r="L490">
        <f t="shared" si="42"/>
        <v>0.4</v>
      </c>
      <c r="M490">
        <f t="shared" si="43"/>
        <v>0</v>
      </c>
      <c r="N490">
        <f t="shared" si="44"/>
        <v>9.8502758077225985E-2</v>
      </c>
      <c r="O490">
        <f t="shared" si="45"/>
        <v>4.3538219070133888E-3</v>
      </c>
      <c r="P490">
        <f t="shared" si="46"/>
        <v>0.43538219070133888</v>
      </c>
      <c r="Q490">
        <f>VLOOKUP(C490,Sheet2!A:AU,47,0)</f>
        <v>0.84019691681525877</v>
      </c>
      <c r="R490">
        <f t="shared" si="47"/>
        <v>1.2755791075165976</v>
      </c>
    </row>
    <row r="491" spans="1:18" x14ac:dyDescent="0.3">
      <c r="A491" s="1">
        <v>489</v>
      </c>
      <c r="B491">
        <v>489</v>
      </c>
      <c r="C491" t="s">
        <v>550</v>
      </c>
      <c r="D491" t="s">
        <v>72</v>
      </c>
      <c r="E491">
        <v>1</v>
      </c>
      <c r="F491" t="s">
        <v>12</v>
      </c>
      <c r="G491">
        <v>31763</v>
      </c>
      <c r="H491">
        <v>3.1483172244435302E-2</v>
      </c>
      <c r="I491">
        <v>1.71439282669072E-2</v>
      </c>
      <c r="J491">
        <v>7.5776162939719996E-4</v>
      </c>
      <c r="K491">
        <v>1.71439282669072</v>
      </c>
      <c r="L491">
        <f t="shared" si="42"/>
        <v>0.4</v>
      </c>
      <c r="M491">
        <f t="shared" si="43"/>
        <v>0</v>
      </c>
      <c r="N491">
        <f t="shared" si="44"/>
        <v>7.8707930611088245E-2</v>
      </c>
      <c r="O491">
        <f t="shared" si="45"/>
        <v>3.4788905330101006E-3</v>
      </c>
      <c r="P491">
        <f t="shared" si="46"/>
        <v>0.34788905330101005</v>
      </c>
      <c r="Q491">
        <f>VLOOKUP(C491,Sheet2!A:AU,47,0)</f>
        <v>0.70312188092327554</v>
      </c>
      <c r="R491">
        <f t="shared" si="47"/>
        <v>1.0510109342242857</v>
      </c>
    </row>
    <row r="492" spans="1:18" x14ac:dyDescent="0.3">
      <c r="A492" s="1">
        <v>490</v>
      </c>
      <c r="B492">
        <v>490</v>
      </c>
      <c r="C492" t="s">
        <v>551</v>
      </c>
      <c r="D492" t="s">
        <v>41</v>
      </c>
      <c r="E492">
        <v>1</v>
      </c>
      <c r="F492" t="s">
        <v>17</v>
      </c>
      <c r="G492">
        <v>4492</v>
      </c>
      <c r="H492">
        <v>0.2226179875333926</v>
      </c>
      <c r="I492">
        <v>0.2396787485134077</v>
      </c>
      <c r="J492">
        <v>1.05938006842926E-2</v>
      </c>
      <c r="K492">
        <v>23.967874851340781</v>
      </c>
      <c r="L492">
        <f t="shared" si="42"/>
        <v>0.4</v>
      </c>
      <c r="M492">
        <f t="shared" si="43"/>
        <v>0</v>
      </c>
      <c r="N492">
        <f t="shared" si="44"/>
        <v>0.55654496883348148</v>
      </c>
      <c r="O492">
        <f t="shared" si="45"/>
        <v>2.4599287622439882E-2</v>
      </c>
      <c r="P492">
        <f t="shared" si="46"/>
        <v>2.459928762243988</v>
      </c>
      <c r="Q492">
        <f>VLOOKUP(C492,Sheet2!A:AU,47,0)</f>
        <v>8.0399999999999991</v>
      </c>
      <c r="R492">
        <f t="shared" si="47"/>
        <v>10.499928762243988</v>
      </c>
    </row>
    <row r="493" spans="1:18" x14ac:dyDescent="0.3">
      <c r="A493" s="1">
        <v>491</v>
      </c>
      <c r="B493">
        <v>491</v>
      </c>
      <c r="C493" t="s">
        <v>552</v>
      </c>
      <c r="D493" t="s">
        <v>109</v>
      </c>
      <c r="E493">
        <v>15</v>
      </c>
      <c r="F493" t="s">
        <v>24</v>
      </c>
      <c r="G493">
        <v>63471</v>
      </c>
      <c r="H493">
        <v>0.236328401947346</v>
      </c>
      <c r="I493">
        <v>0.25564153688611518</v>
      </c>
      <c r="J493">
        <v>1.12993559303662E-2</v>
      </c>
      <c r="K493">
        <v>25.564153688611519</v>
      </c>
      <c r="L493">
        <f t="shared" si="42"/>
        <v>0.4</v>
      </c>
      <c r="M493">
        <f t="shared" si="43"/>
        <v>0</v>
      </c>
      <c r="N493">
        <f t="shared" si="44"/>
        <v>0.59082100486836497</v>
      </c>
      <c r="O493">
        <f t="shared" si="45"/>
        <v>2.6114288415181732E-2</v>
      </c>
      <c r="P493">
        <f t="shared" si="46"/>
        <v>2.611428841518173</v>
      </c>
      <c r="Q493">
        <f>VLOOKUP(C493,Sheet2!A:AU,47,0)</f>
        <v>4.4954212582305333</v>
      </c>
      <c r="R493">
        <f t="shared" si="47"/>
        <v>7.1068500997487067</v>
      </c>
    </row>
    <row r="494" spans="1:18" x14ac:dyDescent="0.3">
      <c r="A494" s="1">
        <v>492</v>
      </c>
      <c r="B494">
        <v>492</v>
      </c>
      <c r="C494" t="s">
        <v>553</v>
      </c>
      <c r="D494" t="s">
        <v>114</v>
      </c>
      <c r="E494">
        <v>2</v>
      </c>
      <c r="F494" t="s">
        <v>17</v>
      </c>
      <c r="G494">
        <v>6636</v>
      </c>
      <c r="H494">
        <v>0.30138637733574442</v>
      </c>
      <c r="I494">
        <v>0.3313873649644335</v>
      </c>
      <c r="J494">
        <v>1.46473215314279E-2</v>
      </c>
      <c r="K494">
        <v>33.138736496443357</v>
      </c>
      <c r="L494">
        <f t="shared" si="42"/>
        <v>0.4</v>
      </c>
      <c r="M494">
        <f t="shared" si="43"/>
        <v>0</v>
      </c>
      <c r="N494">
        <f t="shared" si="44"/>
        <v>0.75346594333936101</v>
      </c>
      <c r="O494">
        <f t="shared" si="45"/>
        <v>3.330319469559976E-2</v>
      </c>
      <c r="P494">
        <f t="shared" si="46"/>
        <v>3.330319469559976</v>
      </c>
      <c r="Q494">
        <f>VLOOKUP(C494,Sheet2!A:AU,47,0)</f>
        <v>8.0399999999999991</v>
      </c>
      <c r="R494">
        <f t="shared" si="47"/>
        <v>11.370319469559975</v>
      </c>
    </row>
    <row r="495" spans="1:18" x14ac:dyDescent="0.3">
      <c r="A495" s="1">
        <v>493</v>
      </c>
      <c r="B495">
        <v>493</v>
      </c>
      <c r="C495" t="s">
        <v>554</v>
      </c>
      <c r="D495" t="s">
        <v>54</v>
      </c>
      <c r="E495">
        <v>5</v>
      </c>
      <c r="F495" t="s">
        <v>17</v>
      </c>
      <c r="G495">
        <v>25559</v>
      </c>
      <c r="H495">
        <v>0.19562580695645371</v>
      </c>
      <c r="I495">
        <v>0.20825223920023381</v>
      </c>
      <c r="J495">
        <v>9.2047489726502993E-3</v>
      </c>
      <c r="K495">
        <v>20.82522392002338</v>
      </c>
      <c r="L495">
        <f t="shared" si="42"/>
        <v>0.4</v>
      </c>
      <c r="M495">
        <f t="shared" si="43"/>
        <v>0</v>
      </c>
      <c r="N495">
        <f t="shared" si="44"/>
        <v>0.48906451739113427</v>
      </c>
      <c r="O495">
        <f t="shared" si="45"/>
        <v>2.1616651668688137E-2</v>
      </c>
      <c r="P495">
        <f t="shared" si="46"/>
        <v>2.1616651668688136</v>
      </c>
      <c r="Q495">
        <f>VLOOKUP(C495,Sheet2!A:AU,47,0)</f>
        <v>4.4372923131153437</v>
      </c>
      <c r="R495">
        <f t="shared" si="47"/>
        <v>6.5989574799841577</v>
      </c>
    </row>
    <row r="496" spans="1:18" x14ac:dyDescent="0.3">
      <c r="A496" s="1">
        <v>494</v>
      </c>
      <c r="B496">
        <v>494</v>
      </c>
      <c r="C496" t="s">
        <v>555</v>
      </c>
      <c r="D496" t="s">
        <v>54</v>
      </c>
      <c r="E496">
        <v>5</v>
      </c>
      <c r="F496" t="s">
        <v>17</v>
      </c>
      <c r="G496">
        <v>29178</v>
      </c>
      <c r="H496">
        <v>0.17136198505723491</v>
      </c>
      <c r="I496">
        <v>0.18000230871701581</v>
      </c>
      <c r="J496">
        <v>7.9561020452920996E-3</v>
      </c>
      <c r="K496">
        <v>18.000230871701589</v>
      </c>
      <c r="L496">
        <f t="shared" si="42"/>
        <v>0.4</v>
      </c>
      <c r="M496">
        <f t="shared" si="43"/>
        <v>0</v>
      </c>
      <c r="N496">
        <f t="shared" si="44"/>
        <v>0.42840496264308725</v>
      </c>
      <c r="O496">
        <f t="shared" si="45"/>
        <v>1.8935499348824457E-2</v>
      </c>
      <c r="P496">
        <f t="shared" si="46"/>
        <v>1.8935499348824456</v>
      </c>
      <c r="Q496">
        <f>VLOOKUP(C496,Sheet2!A:AU,47,0)</f>
        <v>3.9575537549435151</v>
      </c>
      <c r="R496">
        <f t="shared" si="47"/>
        <v>5.851103689825961</v>
      </c>
    </row>
    <row r="497" spans="1:18" x14ac:dyDescent="0.3">
      <c r="A497" s="1">
        <v>495</v>
      </c>
      <c r="B497">
        <v>495</v>
      </c>
      <c r="C497" t="s">
        <v>556</v>
      </c>
      <c r="D497" t="s">
        <v>129</v>
      </c>
      <c r="E497">
        <v>1</v>
      </c>
      <c r="F497" t="s">
        <v>12</v>
      </c>
      <c r="G497">
        <v>10403</v>
      </c>
      <c r="H497">
        <v>9.6126117466115504E-2</v>
      </c>
      <c r="I497">
        <v>9.2406544203011198E-2</v>
      </c>
      <c r="J497">
        <v>4.084369253773E-3</v>
      </c>
      <c r="K497">
        <v>9.2406544203011265</v>
      </c>
      <c r="L497">
        <f t="shared" si="42"/>
        <v>0.4</v>
      </c>
      <c r="M497">
        <f t="shared" si="43"/>
        <v>0</v>
      </c>
      <c r="N497">
        <f t="shared" si="44"/>
        <v>0.24031529366528875</v>
      </c>
      <c r="O497">
        <f t="shared" si="45"/>
        <v>1.0621935980005763E-2</v>
      </c>
      <c r="P497">
        <f t="shared" si="46"/>
        <v>1.0621935980005763</v>
      </c>
      <c r="Q497">
        <f>VLOOKUP(C497,Sheet2!A:AU,47,0)</f>
        <v>2.0341941113732589</v>
      </c>
      <c r="R497">
        <f t="shared" si="47"/>
        <v>3.0963877093738352</v>
      </c>
    </row>
    <row r="498" spans="1:18" x14ac:dyDescent="0.3">
      <c r="A498" s="1">
        <v>496</v>
      </c>
      <c r="B498">
        <v>496</v>
      </c>
      <c r="C498" t="s">
        <v>557</v>
      </c>
      <c r="D498" t="s">
        <v>129</v>
      </c>
      <c r="E498">
        <v>1</v>
      </c>
      <c r="F498" t="s">
        <v>12</v>
      </c>
      <c r="G498">
        <v>15673</v>
      </c>
      <c r="H498">
        <v>6.3803994130032501E-2</v>
      </c>
      <c r="I498">
        <v>5.47744786072882E-2</v>
      </c>
      <c r="J498">
        <v>2.4210319544421001E-3</v>
      </c>
      <c r="K498">
        <v>5.4774478607288204</v>
      </c>
      <c r="L498">
        <f t="shared" si="42"/>
        <v>0.4</v>
      </c>
      <c r="M498">
        <f t="shared" si="43"/>
        <v>0</v>
      </c>
      <c r="N498">
        <f t="shared" si="44"/>
        <v>0.15950998532508123</v>
      </c>
      <c r="O498">
        <f t="shared" si="45"/>
        <v>7.0503413513685912E-3</v>
      </c>
      <c r="P498">
        <f t="shared" si="46"/>
        <v>0.70503413513685909</v>
      </c>
      <c r="Q498">
        <f>VLOOKUP(C498,Sheet2!A:AU,47,0)</f>
        <v>1.5747769113407164</v>
      </c>
      <c r="R498">
        <f t="shared" si="47"/>
        <v>2.2798110464775756</v>
      </c>
    </row>
    <row r="499" spans="1:18" x14ac:dyDescent="0.3">
      <c r="A499" s="1">
        <v>497</v>
      </c>
      <c r="B499">
        <v>497</v>
      </c>
      <c r="C499" t="s">
        <v>558</v>
      </c>
      <c r="D499" t="s">
        <v>145</v>
      </c>
      <c r="E499">
        <v>2</v>
      </c>
      <c r="F499" t="s">
        <v>12</v>
      </c>
      <c r="G499">
        <v>23531</v>
      </c>
      <c r="H499">
        <v>8.4994262887255104E-2</v>
      </c>
      <c r="I499">
        <v>7.9445926567904696E-2</v>
      </c>
      <c r="J499">
        <v>3.5115099543013002E-3</v>
      </c>
      <c r="K499">
        <v>7.9445926567904728</v>
      </c>
      <c r="L499">
        <f t="shared" si="42"/>
        <v>0.4</v>
      </c>
      <c r="M499">
        <f t="shared" si="43"/>
        <v>0</v>
      </c>
      <c r="N499">
        <f t="shared" si="44"/>
        <v>0.21248565721813775</v>
      </c>
      <c r="O499">
        <f t="shared" si="45"/>
        <v>9.3918660490416896E-3</v>
      </c>
      <c r="P499">
        <f t="shared" si="46"/>
        <v>0.93918660490416894</v>
      </c>
      <c r="Q499">
        <f>VLOOKUP(C499,Sheet2!A:AU,47,0)</f>
        <v>2.1417274005365048</v>
      </c>
      <c r="R499">
        <f t="shared" si="47"/>
        <v>3.0809140054406736</v>
      </c>
    </row>
    <row r="500" spans="1:18" x14ac:dyDescent="0.3">
      <c r="A500" s="1">
        <v>498</v>
      </c>
      <c r="B500">
        <v>498</v>
      </c>
      <c r="C500" t="s">
        <v>559</v>
      </c>
      <c r="D500" t="s">
        <v>132</v>
      </c>
      <c r="E500">
        <v>4</v>
      </c>
      <c r="F500" t="s">
        <v>12</v>
      </c>
      <c r="G500">
        <v>29825</v>
      </c>
      <c r="H500">
        <v>0.1341156747694886</v>
      </c>
      <c r="I500">
        <v>0.13663710101166759</v>
      </c>
      <c r="J500">
        <v>6.0393598647157003E-3</v>
      </c>
      <c r="K500">
        <v>13.663710101166769</v>
      </c>
      <c r="L500">
        <f t="shared" si="42"/>
        <v>0.4</v>
      </c>
      <c r="M500">
        <f t="shared" si="43"/>
        <v>0</v>
      </c>
      <c r="N500">
        <f t="shared" si="44"/>
        <v>0.33528918692372151</v>
      </c>
      <c r="O500">
        <f t="shared" si="45"/>
        <v>1.4819782062028492E-2</v>
      </c>
      <c r="P500">
        <f t="shared" si="46"/>
        <v>1.4819782062028493</v>
      </c>
      <c r="Q500">
        <f>VLOOKUP(C500,Sheet2!A:AU,47,0)</f>
        <v>2.4439047881558396</v>
      </c>
      <c r="R500">
        <f t="shared" si="47"/>
        <v>3.9258829943586888</v>
      </c>
    </row>
    <row r="501" spans="1:18" x14ac:dyDescent="0.3">
      <c r="A501" s="1">
        <v>499</v>
      </c>
      <c r="B501">
        <v>0</v>
      </c>
      <c r="C501" t="s">
        <v>560</v>
      </c>
      <c r="D501" t="s">
        <v>214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f t="shared" si="42"/>
        <v>0.4</v>
      </c>
      <c r="M501">
        <f t="shared" si="43"/>
        <v>0</v>
      </c>
      <c r="N501">
        <f t="shared" si="44"/>
        <v>0</v>
      </c>
      <c r="O501">
        <f t="shared" si="45"/>
        <v>0</v>
      </c>
      <c r="P501">
        <f t="shared" si="46"/>
        <v>0</v>
      </c>
      <c r="Q501" t="e">
        <f>VLOOKUP(C501,Sheet2!A:AU,47,0)</f>
        <v>#N/A</v>
      </c>
      <c r="R501">
        <f t="shared" si="47"/>
        <v>0</v>
      </c>
    </row>
    <row r="502" spans="1:18" x14ac:dyDescent="0.3">
      <c r="A502" s="1">
        <v>500</v>
      </c>
      <c r="B502">
        <v>0</v>
      </c>
      <c r="C502" t="s">
        <v>561</v>
      </c>
      <c r="D502" t="s">
        <v>214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f t="shared" si="42"/>
        <v>0.4</v>
      </c>
      <c r="M502">
        <f t="shared" si="43"/>
        <v>0</v>
      </c>
      <c r="N502">
        <f t="shared" si="44"/>
        <v>0</v>
      </c>
      <c r="O502">
        <f t="shared" si="45"/>
        <v>0</v>
      </c>
      <c r="P502">
        <f t="shared" si="46"/>
        <v>0</v>
      </c>
      <c r="Q502" t="e">
        <f>VLOOKUP(C502,Sheet2!A:AU,47,0)</f>
        <v>#N/A</v>
      </c>
      <c r="R502">
        <f t="shared" si="47"/>
        <v>0</v>
      </c>
    </row>
    <row r="503" spans="1:18" x14ac:dyDescent="0.3">
      <c r="A503" s="1">
        <v>501</v>
      </c>
      <c r="B503">
        <v>0</v>
      </c>
      <c r="C503" t="s">
        <v>562</v>
      </c>
      <c r="D503" t="s">
        <v>214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f t="shared" si="42"/>
        <v>0.4</v>
      </c>
      <c r="M503">
        <f t="shared" si="43"/>
        <v>0</v>
      </c>
      <c r="N503">
        <f t="shared" si="44"/>
        <v>0</v>
      </c>
      <c r="O503">
        <f t="shared" si="45"/>
        <v>0</v>
      </c>
      <c r="P503">
        <f t="shared" si="46"/>
        <v>0</v>
      </c>
      <c r="Q503" t="e">
        <f>VLOOKUP(C503,Sheet2!A:AU,47,0)</f>
        <v>#N/A</v>
      </c>
      <c r="R503">
        <f t="shared" si="47"/>
        <v>0</v>
      </c>
    </row>
    <row r="504" spans="1:18" x14ac:dyDescent="0.3">
      <c r="A504" s="1">
        <v>502</v>
      </c>
      <c r="B504">
        <v>0</v>
      </c>
      <c r="C504" t="s">
        <v>563</v>
      </c>
      <c r="D504" t="s">
        <v>214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f t="shared" si="42"/>
        <v>0.4</v>
      </c>
      <c r="M504">
        <f t="shared" si="43"/>
        <v>0</v>
      </c>
      <c r="N504">
        <f t="shared" si="44"/>
        <v>0</v>
      </c>
      <c r="O504">
        <f t="shared" si="45"/>
        <v>0</v>
      </c>
      <c r="P504">
        <f t="shared" si="46"/>
        <v>0</v>
      </c>
      <c r="Q504" t="e">
        <f>VLOOKUP(C504,Sheet2!A:AU,47,0)</f>
        <v>#N/A</v>
      </c>
      <c r="R504">
        <f t="shared" si="47"/>
        <v>0</v>
      </c>
    </row>
    <row r="505" spans="1:18" x14ac:dyDescent="0.3">
      <c r="A505" s="1">
        <v>503</v>
      </c>
      <c r="B505">
        <v>0</v>
      </c>
      <c r="C505" t="s">
        <v>564</v>
      </c>
      <c r="D505" t="s">
        <v>214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f t="shared" si="42"/>
        <v>0.4</v>
      </c>
      <c r="M505">
        <f t="shared" si="43"/>
        <v>0</v>
      </c>
      <c r="N505">
        <f t="shared" si="44"/>
        <v>0</v>
      </c>
      <c r="O505">
        <f t="shared" si="45"/>
        <v>0</v>
      </c>
      <c r="P505">
        <f t="shared" si="46"/>
        <v>0</v>
      </c>
      <c r="Q505" t="e">
        <f>VLOOKUP(C505,Sheet2!A:AU,47,0)</f>
        <v>#N/A</v>
      </c>
      <c r="R505">
        <f t="shared" si="47"/>
        <v>0</v>
      </c>
    </row>
    <row r="506" spans="1:18" x14ac:dyDescent="0.3">
      <c r="A506" s="1">
        <v>504</v>
      </c>
      <c r="B506">
        <v>0</v>
      </c>
      <c r="C506" t="s">
        <v>565</v>
      </c>
      <c r="D506" t="s">
        <v>214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f t="shared" si="42"/>
        <v>0.4</v>
      </c>
      <c r="M506">
        <f t="shared" si="43"/>
        <v>0</v>
      </c>
      <c r="N506">
        <f t="shared" si="44"/>
        <v>0</v>
      </c>
      <c r="O506">
        <f t="shared" si="45"/>
        <v>0</v>
      </c>
      <c r="P506">
        <f t="shared" si="46"/>
        <v>0</v>
      </c>
      <c r="Q506" t="e">
        <f>VLOOKUP(C506,Sheet2!A:AU,47,0)</f>
        <v>#N/A</v>
      </c>
      <c r="R506">
        <f t="shared" si="47"/>
        <v>0</v>
      </c>
    </row>
    <row r="507" spans="1:18" x14ac:dyDescent="0.3">
      <c r="A507" s="1">
        <v>505</v>
      </c>
      <c r="B507">
        <v>0</v>
      </c>
      <c r="C507" t="s">
        <v>566</v>
      </c>
      <c r="D507" t="s">
        <v>214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f t="shared" si="42"/>
        <v>0.4</v>
      </c>
      <c r="M507">
        <f t="shared" si="43"/>
        <v>0</v>
      </c>
      <c r="N507">
        <f t="shared" si="44"/>
        <v>0</v>
      </c>
      <c r="O507">
        <f t="shared" si="45"/>
        <v>0</v>
      </c>
      <c r="P507">
        <f t="shared" si="46"/>
        <v>0</v>
      </c>
      <c r="Q507" t="e">
        <f>VLOOKUP(C507,Sheet2!A:AU,47,0)</f>
        <v>#N/A</v>
      </c>
      <c r="R507">
        <f t="shared" si="47"/>
        <v>0</v>
      </c>
    </row>
    <row r="508" spans="1:18" x14ac:dyDescent="0.3">
      <c r="A508" s="1">
        <v>506</v>
      </c>
      <c r="B508">
        <v>0</v>
      </c>
      <c r="C508" t="s">
        <v>567</v>
      </c>
      <c r="D508" t="s">
        <v>214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f t="shared" si="42"/>
        <v>0.4</v>
      </c>
      <c r="M508">
        <f t="shared" si="43"/>
        <v>0</v>
      </c>
      <c r="N508">
        <f t="shared" si="44"/>
        <v>0</v>
      </c>
      <c r="O508">
        <f t="shared" si="45"/>
        <v>0</v>
      </c>
      <c r="P508">
        <f t="shared" si="46"/>
        <v>0</v>
      </c>
      <c r="Q508" t="e">
        <f>VLOOKUP(C508,Sheet2!A:AU,47,0)</f>
        <v>#N/A</v>
      </c>
      <c r="R508">
        <f t="shared" si="47"/>
        <v>0</v>
      </c>
    </row>
    <row r="509" spans="1:18" x14ac:dyDescent="0.3">
      <c r="A509" s="1">
        <v>507</v>
      </c>
      <c r="B509">
        <v>0</v>
      </c>
      <c r="C509" t="s">
        <v>568</v>
      </c>
      <c r="D509" t="s">
        <v>214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f t="shared" si="42"/>
        <v>0.4</v>
      </c>
      <c r="M509">
        <f t="shared" si="43"/>
        <v>0</v>
      </c>
      <c r="N509">
        <f t="shared" si="44"/>
        <v>0</v>
      </c>
      <c r="O509">
        <f t="shared" si="45"/>
        <v>0</v>
      </c>
      <c r="P509">
        <f t="shared" si="46"/>
        <v>0</v>
      </c>
      <c r="Q509" t="e">
        <f>VLOOKUP(C509,Sheet2!A:AU,47,0)</f>
        <v>#N/A</v>
      </c>
      <c r="R509">
        <f t="shared" si="47"/>
        <v>0</v>
      </c>
    </row>
    <row r="510" spans="1:18" x14ac:dyDescent="0.3">
      <c r="A510" s="1">
        <v>508</v>
      </c>
      <c r="B510">
        <v>0</v>
      </c>
      <c r="C510" t="s">
        <v>569</v>
      </c>
      <c r="D510" t="s">
        <v>214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f t="shared" si="42"/>
        <v>0.4</v>
      </c>
      <c r="M510">
        <f t="shared" si="43"/>
        <v>0</v>
      </c>
      <c r="N510">
        <f t="shared" si="44"/>
        <v>0</v>
      </c>
      <c r="O510">
        <f t="shared" si="45"/>
        <v>0</v>
      </c>
      <c r="P510">
        <f t="shared" si="46"/>
        <v>0</v>
      </c>
      <c r="Q510" t="e">
        <f>VLOOKUP(C510,Sheet2!A:AU,47,0)</f>
        <v>#N/A</v>
      </c>
      <c r="R510">
        <f t="shared" si="47"/>
        <v>0</v>
      </c>
    </row>
    <row r="511" spans="1:18" x14ac:dyDescent="0.3">
      <c r="A511" s="1">
        <v>509</v>
      </c>
      <c r="B511">
        <v>0</v>
      </c>
      <c r="C511" t="s">
        <v>570</v>
      </c>
      <c r="D511" t="s">
        <v>214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f t="shared" si="42"/>
        <v>0.4</v>
      </c>
      <c r="M511">
        <f t="shared" si="43"/>
        <v>0</v>
      </c>
      <c r="N511">
        <f t="shared" si="44"/>
        <v>0</v>
      </c>
      <c r="O511">
        <f t="shared" si="45"/>
        <v>0</v>
      </c>
      <c r="P511">
        <f t="shared" si="46"/>
        <v>0</v>
      </c>
      <c r="Q511" t="e">
        <f>VLOOKUP(C511,Sheet2!A:AU,47,0)</f>
        <v>#N/A</v>
      </c>
      <c r="R511">
        <f t="shared" si="47"/>
        <v>0</v>
      </c>
    </row>
    <row r="512" spans="1:18" x14ac:dyDescent="0.3">
      <c r="A512" s="1">
        <v>510</v>
      </c>
      <c r="B512">
        <v>0</v>
      </c>
      <c r="C512" t="s">
        <v>571</v>
      </c>
      <c r="D512" t="s">
        <v>48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f t="shared" si="42"/>
        <v>0.4</v>
      </c>
      <c r="M512">
        <f t="shared" si="43"/>
        <v>0</v>
      </c>
      <c r="N512">
        <f t="shared" si="44"/>
        <v>0</v>
      </c>
      <c r="O512">
        <f t="shared" si="45"/>
        <v>0</v>
      </c>
      <c r="P512">
        <f t="shared" si="46"/>
        <v>0</v>
      </c>
      <c r="Q512" t="e">
        <f>VLOOKUP(C512,Sheet2!A:AU,47,0)</f>
        <v>#N/A</v>
      </c>
      <c r="R512">
        <f t="shared" si="47"/>
        <v>0</v>
      </c>
    </row>
    <row r="513" spans="1:18" x14ac:dyDescent="0.3">
      <c r="A513" s="1">
        <v>511</v>
      </c>
      <c r="B513">
        <v>0</v>
      </c>
      <c r="C513" t="s">
        <v>572</v>
      </c>
      <c r="D513" t="s">
        <v>48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f t="shared" si="42"/>
        <v>0.4</v>
      </c>
      <c r="M513">
        <f t="shared" si="43"/>
        <v>0</v>
      </c>
      <c r="N513">
        <f t="shared" si="44"/>
        <v>0</v>
      </c>
      <c r="O513">
        <f t="shared" si="45"/>
        <v>0</v>
      </c>
      <c r="P513">
        <f t="shared" si="46"/>
        <v>0</v>
      </c>
      <c r="Q513" t="e">
        <f>VLOOKUP(C513,Sheet2!A:AU,47,0)</f>
        <v>#N/A</v>
      </c>
      <c r="R513">
        <f t="shared" si="47"/>
        <v>0</v>
      </c>
    </row>
    <row r="514" spans="1:18" x14ac:dyDescent="0.3">
      <c r="A514" s="1">
        <v>512</v>
      </c>
      <c r="B514">
        <v>0</v>
      </c>
      <c r="C514" t="s">
        <v>573</v>
      </c>
      <c r="D514" t="s">
        <v>48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f t="shared" si="42"/>
        <v>0.4</v>
      </c>
      <c r="M514">
        <f t="shared" si="43"/>
        <v>0</v>
      </c>
      <c r="N514">
        <f t="shared" si="44"/>
        <v>0</v>
      </c>
      <c r="O514">
        <f t="shared" si="45"/>
        <v>0</v>
      </c>
      <c r="P514">
        <f t="shared" si="46"/>
        <v>0</v>
      </c>
      <c r="Q514" t="e">
        <f>VLOOKUP(C514,Sheet2!A:AU,47,0)</f>
        <v>#N/A</v>
      </c>
      <c r="R514">
        <f t="shared" si="47"/>
        <v>0</v>
      </c>
    </row>
    <row r="515" spans="1:18" x14ac:dyDescent="0.3">
      <c r="A515" s="1">
        <v>513</v>
      </c>
      <c r="B515">
        <v>0</v>
      </c>
      <c r="C515" t="s">
        <v>574</v>
      </c>
      <c r="D515" t="s">
        <v>48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f t="shared" ref="L515:L578" si="48">MAX(H:H)</f>
        <v>0.4</v>
      </c>
      <c r="M515">
        <f t="shared" ref="M515:M578" si="49">MIN(H:H)</f>
        <v>0</v>
      </c>
      <c r="N515">
        <f t="shared" ref="N515:N578" si="50">(H515-M515)/(L515-M515)</f>
        <v>0</v>
      </c>
      <c r="O515">
        <f t="shared" ref="O515:O578" si="51">N515*0.0442</f>
        <v>0</v>
      </c>
      <c r="P515">
        <f t="shared" ref="P515:P578" si="52">O515*100</f>
        <v>0</v>
      </c>
      <c r="Q515" t="e">
        <f>VLOOKUP(C515,Sheet2!A:AU,47,0)</f>
        <v>#N/A</v>
      </c>
      <c r="R515">
        <f t="shared" ref="R515:R578" si="53">IFERROR((P515+Q515),0)</f>
        <v>0</v>
      </c>
    </row>
    <row r="516" spans="1:18" x14ac:dyDescent="0.3">
      <c r="A516" s="1">
        <v>514</v>
      </c>
      <c r="B516">
        <v>0</v>
      </c>
      <c r="C516" t="s">
        <v>575</v>
      </c>
      <c r="D516" t="s">
        <v>48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f t="shared" si="48"/>
        <v>0.4</v>
      </c>
      <c r="M516">
        <f t="shared" si="49"/>
        <v>0</v>
      </c>
      <c r="N516">
        <f t="shared" si="50"/>
        <v>0</v>
      </c>
      <c r="O516">
        <f t="shared" si="51"/>
        <v>0</v>
      </c>
      <c r="P516">
        <f t="shared" si="52"/>
        <v>0</v>
      </c>
      <c r="Q516" t="e">
        <f>VLOOKUP(C516,Sheet2!A:AU,47,0)</f>
        <v>#N/A</v>
      </c>
      <c r="R516">
        <f t="shared" si="53"/>
        <v>0</v>
      </c>
    </row>
    <row r="517" spans="1:18" x14ac:dyDescent="0.3">
      <c r="A517" s="1">
        <v>515</v>
      </c>
      <c r="B517">
        <v>0</v>
      </c>
      <c r="C517" t="s">
        <v>576</v>
      </c>
      <c r="D517" t="s">
        <v>48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f t="shared" si="48"/>
        <v>0.4</v>
      </c>
      <c r="M517">
        <f t="shared" si="49"/>
        <v>0</v>
      </c>
      <c r="N517">
        <f t="shared" si="50"/>
        <v>0</v>
      </c>
      <c r="O517">
        <f t="shared" si="51"/>
        <v>0</v>
      </c>
      <c r="P517">
        <f t="shared" si="52"/>
        <v>0</v>
      </c>
      <c r="Q517" t="e">
        <f>VLOOKUP(C517,Sheet2!A:AU,47,0)</f>
        <v>#N/A</v>
      </c>
      <c r="R517">
        <f t="shared" si="53"/>
        <v>0</v>
      </c>
    </row>
    <row r="518" spans="1:18" x14ac:dyDescent="0.3">
      <c r="A518" s="1">
        <v>516</v>
      </c>
      <c r="B518">
        <v>0</v>
      </c>
      <c r="C518" t="s">
        <v>577</v>
      </c>
      <c r="D518" t="s">
        <v>48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f t="shared" si="48"/>
        <v>0.4</v>
      </c>
      <c r="M518">
        <f t="shared" si="49"/>
        <v>0</v>
      </c>
      <c r="N518">
        <f t="shared" si="50"/>
        <v>0</v>
      </c>
      <c r="O518">
        <f t="shared" si="51"/>
        <v>0</v>
      </c>
      <c r="P518">
        <f t="shared" si="52"/>
        <v>0</v>
      </c>
      <c r="Q518" t="e">
        <f>VLOOKUP(C518,Sheet2!A:AU,47,0)</f>
        <v>#N/A</v>
      </c>
      <c r="R518">
        <f t="shared" si="53"/>
        <v>0</v>
      </c>
    </row>
    <row r="519" spans="1:18" x14ac:dyDescent="0.3">
      <c r="A519" s="1">
        <v>517</v>
      </c>
      <c r="B519">
        <v>0</v>
      </c>
      <c r="C519" t="s">
        <v>578</v>
      </c>
      <c r="D519" t="s">
        <v>48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f t="shared" si="48"/>
        <v>0.4</v>
      </c>
      <c r="M519">
        <f t="shared" si="49"/>
        <v>0</v>
      </c>
      <c r="N519">
        <f t="shared" si="50"/>
        <v>0</v>
      </c>
      <c r="O519">
        <f t="shared" si="51"/>
        <v>0</v>
      </c>
      <c r="P519">
        <f t="shared" si="52"/>
        <v>0</v>
      </c>
      <c r="Q519" t="e">
        <f>VLOOKUP(C519,Sheet2!A:AU,47,0)</f>
        <v>#N/A</v>
      </c>
      <c r="R519">
        <f t="shared" si="53"/>
        <v>0</v>
      </c>
    </row>
    <row r="520" spans="1:18" x14ac:dyDescent="0.3">
      <c r="A520" s="1">
        <v>518</v>
      </c>
      <c r="B520">
        <v>0</v>
      </c>
      <c r="C520" t="s">
        <v>579</v>
      </c>
      <c r="D520" t="s">
        <v>48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f t="shared" si="48"/>
        <v>0.4</v>
      </c>
      <c r="M520">
        <f t="shared" si="49"/>
        <v>0</v>
      </c>
      <c r="N520">
        <f t="shared" si="50"/>
        <v>0</v>
      </c>
      <c r="O520">
        <f t="shared" si="51"/>
        <v>0</v>
      </c>
      <c r="P520">
        <f t="shared" si="52"/>
        <v>0</v>
      </c>
      <c r="Q520" t="e">
        <f>VLOOKUP(C520,Sheet2!A:AU,47,0)</f>
        <v>#N/A</v>
      </c>
      <c r="R520">
        <f t="shared" si="53"/>
        <v>0</v>
      </c>
    </row>
    <row r="521" spans="1:18" x14ac:dyDescent="0.3">
      <c r="A521" s="1">
        <v>519</v>
      </c>
      <c r="B521">
        <v>0</v>
      </c>
      <c r="C521" t="s">
        <v>580</v>
      </c>
      <c r="D521" t="s">
        <v>48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f t="shared" si="48"/>
        <v>0.4</v>
      </c>
      <c r="M521">
        <f t="shared" si="49"/>
        <v>0</v>
      </c>
      <c r="N521">
        <f t="shared" si="50"/>
        <v>0</v>
      </c>
      <c r="O521">
        <f t="shared" si="51"/>
        <v>0</v>
      </c>
      <c r="P521">
        <f t="shared" si="52"/>
        <v>0</v>
      </c>
      <c r="Q521" t="e">
        <f>VLOOKUP(C521,Sheet2!A:AU,47,0)</f>
        <v>#N/A</v>
      </c>
      <c r="R521">
        <f t="shared" si="53"/>
        <v>0</v>
      </c>
    </row>
    <row r="522" spans="1:18" x14ac:dyDescent="0.3">
      <c r="A522" s="1">
        <v>520</v>
      </c>
      <c r="B522">
        <v>0</v>
      </c>
      <c r="C522" t="s">
        <v>581</v>
      </c>
      <c r="D522" t="s">
        <v>48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f t="shared" si="48"/>
        <v>0.4</v>
      </c>
      <c r="M522">
        <f t="shared" si="49"/>
        <v>0</v>
      </c>
      <c r="N522">
        <f t="shared" si="50"/>
        <v>0</v>
      </c>
      <c r="O522">
        <f t="shared" si="51"/>
        <v>0</v>
      </c>
      <c r="P522">
        <f t="shared" si="52"/>
        <v>0</v>
      </c>
      <c r="Q522" t="e">
        <f>VLOOKUP(C522,Sheet2!A:AU,47,0)</f>
        <v>#N/A</v>
      </c>
      <c r="R522">
        <f t="shared" si="53"/>
        <v>0</v>
      </c>
    </row>
    <row r="523" spans="1:18" x14ac:dyDescent="0.3">
      <c r="A523" s="1">
        <v>521</v>
      </c>
      <c r="B523">
        <v>0</v>
      </c>
      <c r="C523" t="s">
        <v>582</v>
      </c>
      <c r="D523" t="s">
        <v>48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f t="shared" si="48"/>
        <v>0.4</v>
      </c>
      <c r="M523">
        <f t="shared" si="49"/>
        <v>0</v>
      </c>
      <c r="N523">
        <f t="shared" si="50"/>
        <v>0</v>
      </c>
      <c r="O523">
        <f t="shared" si="51"/>
        <v>0</v>
      </c>
      <c r="P523">
        <f t="shared" si="52"/>
        <v>0</v>
      </c>
      <c r="Q523" t="e">
        <f>VLOOKUP(C523,Sheet2!A:AU,47,0)</f>
        <v>#N/A</v>
      </c>
      <c r="R523">
        <f t="shared" si="53"/>
        <v>0</v>
      </c>
    </row>
    <row r="524" spans="1:18" x14ac:dyDescent="0.3">
      <c r="A524" s="1">
        <v>522</v>
      </c>
      <c r="B524">
        <v>0</v>
      </c>
      <c r="C524" t="s">
        <v>583</v>
      </c>
      <c r="D524" t="s">
        <v>48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f t="shared" si="48"/>
        <v>0.4</v>
      </c>
      <c r="M524">
        <f t="shared" si="49"/>
        <v>0</v>
      </c>
      <c r="N524">
        <f t="shared" si="50"/>
        <v>0</v>
      </c>
      <c r="O524">
        <f t="shared" si="51"/>
        <v>0</v>
      </c>
      <c r="P524">
        <f t="shared" si="52"/>
        <v>0</v>
      </c>
      <c r="Q524" t="e">
        <f>VLOOKUP(C524,Sheet2!A:AU,47,0)</f>
        <v>#N/A</v>
      </c>
      <c r="R524">
        <f t="shared" si="53"/>
        <v>0</v>
      </c>
    </row>
    <row r="525" spans="1:18" x14ac:dyDescent="0.3">
      <c r="A525" s="1">
        <v>523</v>
      </c>
      <c r="B525">
        <v>0</v>
      </c>
      <c r="C525" t="s">
        <v>584</v>
      </c>
      <c r="D525" t="s">
        <v>129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f t="shared" si="48"/>
        <v>0.4</v>
      </c>
      <c r="M525">
        <f t="shared" si="49"/>
        <v>0</v>
      </c>
      <c r="N525">
        <f t="shared" si="50"/>
        <v>0</v>
      </c>
      <c r="O525">
        <f t="shared" si="51"/>
        <v>0</v>
      </c>
      <c r="P525">
        <f t="shared" si="52"/>
        <v>0</v>
      </c>
      <c r="Q525" t="e">
        <f>VLOOKUP(C525,Sheet2!A:AU,47,0)</f>
        <v>#N/A</v>
      </c>
      <c r="R525">
        <f t="shared" si="53"/>
        <v>0</v>
      </c>
    </row>
    <row r="526" spans="1:18" x14ac:dyDescent="0.3">
      <c r="A526" s="1">
        <v>524</v>
      </c>
      <c r="B526">
        <v>0</v>
      </c>
      <c r="C526" t="s">
        <v>585</v>
      </c>
      <c r="D526" t="s">
        <v>129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f t="shared" si="48"/>
        <v>0.4</v>
      </c>
      <c r="M526">
        <f t="shared" si="49"/>
        <v>0</v>
      </c>
      <c r="N526">
        <f t="shared" si="50"/>
        <v>0</v>
      </c>
      <c r="O526">
        <f t="shared" si="51"/>
        <v>0</v>
      </c>
      <c r="P526">
        <f t="shared" si="52"/>
        <v>0</v>
      </c>
      <c r="Q526" t="e">
        <f>VLOOKUP(C526,Sheet2!A:AU,47,0)</f>
        <v>#N/A</v>
      </c>
      <c r="R526">
        <f t="shared" si="53"/>
        <v>0</v>
      </c>
    </row>
    <row r="527" spans="1:18" x14ac:dyDescent="0.3">
      <c r="A527" s="1">
        <v>525</v>
      </c>
      <c r="B527">
        <v>0</v>
      </c>
      <c r="C527" t="s">
        <v>586</v>
      </c>
      <c r="D527" t="s">
        <v>129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f t="shared" si="48"/>
        <v>0.4</v>
      </c>
      <c r="M527">
        <f t="shared" si="49"/>
        <v>0</v>
      </c>
      <c r="N527">
        <f t="shared" si="50"/>
        <v>0</v>
      </c>
      <c r="O527">
        <f t="shared" si="51"/>
        <v>0</v>
      </c>
      <c r="P527">
        <f t="shared" si="52"/>
        <v>0</v>
      </c>
      <c r="Q527" t="e">
        <f>VLOOKUP(C527,Sheet2!A:AU,47,0)</f>
        <v>#N/A</v>
      </c>
      <c r="R527">
        <f t="shared" si="53"/>
        <v>0</v>
      </c>
    </row>
    <row r="528" spans="1:18" x14ac:dyDescent="0.3">
      <c r="A528" s="1">
        <v>526</v>
      </c>
      <c r="B528">
        <v>0</v>
      </c>
      <c r="C528" t="s">
        <v>587</v>
      </c>
      <c r="D528" t="s">
        <v>129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f t="shared" si="48"/>
        <v>0.4</v>
      </c>
      <c r="M528">
        <f t="shared" si="49"/>
        <v>0</v>
      </c>
      <c r="N528">
        <f t="shared" si="50"/>
        <v>0</v>
      </c>
      <c r="O528">
        <f t="shared" si="51"/>
        <v>0</v>
      </c>
      <c r="P528">
        <f t="shared" si="52"/>
        <v>0</v>
      </c>
      <c r="Q528" t="e">
        <f>VLOOKUP(C528,Sheet2!A:AU,47,0)</f>
        <v>#N/A</v>
      </c>
      <c r="R528">
        <f t="shared" si="53"/>
        <v>0</v>
      </c>
    </row>
    <row r="529" spans="1:18" x14ac:dyDescent="0.3">
      <c r="A529" s="1">
        <v>527</v>
      </c>
      <c r="B529">
        <v>0</v>
      </c>
      <c r="C529" t="s">
        <v>588</v>
      </c>
      <c r="D529" t="s">
        <v>129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f t="shared" si="48"/>
        <v>0.4</v>
      </c>
      <c r="M529">
        <f t="shared" si="49"/>
        <v>0</v>
      </c>
      <c r="N529">
        <f t="shared" si="50"/>
        <v>0</v>
      </c>
      <c r="O529">
        <f t="shared" si="51"/>
        <v>0</v>
      </c>
      <c r="P529">
        <f t="shared" si="52"/>
        <v>0</v>
      </c>
      <c r="Q529" t="e">
        <f>VLOOKUP(C529,Sheet2!A:AU,47,0)</f>
        <v>#N/A</v>
      </c>
      <c r="R529">
        <f t="shared" si="53"/>
        <v>0</v>
      </c>
    </row>
    <row r="530" spans="1:18" x14ac:dyDescent="0.3">
      <c r="A530" s="1">
        <v>528</v>
      </c>
      <c r="B530">
        <v>0</v>
      </c>
      <c r="C530" t="s">
        <v>589</v>
      </c>
      <c r="D530" t="s">
        <v>129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f t="shared" si="48"/>
        <v>0.4</v>
      </c>
      <c r="M530">
        <f t="shared" si="49"/>
        <v>0</v>
      </c>
      <c r="N530">
        <f t="shared" si="50"/>
        <v>0</v>
      </c>
      <c r="O530">
        <f t="shared" si="51"/>
        <v>0</v>
      </c>
      <c r="P530">
        <f t="shared" si="52"/>
        <v>0</v>
      </c>
      <c r="Q530" t="e">
        <f>VLOOKUP(C530,Sheet2!A:AU,47,0)</f>
        <v>#N/A</v>
      </c>
      <c r="R530">
        <f t="shared" si="53"/>
        <v>0</v>
      </c>
    </row>
    <row r="531" spans="1:18" x14ac:dyDescent="0.3">
      <c r="A531" s="1">
        <v>529</v>
      </c>
      <c r="B531">
        <v>0</v>
      </c>
      <c r="C531" t="s">
        <v>590</v>
      </c>
      <c r="D531" t="s">
        <v>129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f t="shared" si="48"/>
        <v>0.4</v>
      </c>
      <c r="M531">
        <f t="shared" si="49"/>
        <v>0</v>
      </c>
      <c r="N531">
        <f t="shared" si="50"/>
        <v>0</v>
      </c>
      <c r="O531">
        <f t="shared" si="51"/>
        <v>0</v>
      </c>
      <c r="P531">
        <f t="shared" si="52"/>
        <v>0</v>
      </c>
      <c r="Q531" t="e">
        <f>VLOOKUP(C531,Sheet2!A:AU,47,0)</f>
        <v>#N/A</v>
      </c>
      <c r="R531">
        <f t="shared" si="53"/>
        <v>0</v>
      </c>
    </row>
    <row r="532" spans="1:18" x14ac:dyDescent="0.3">
      <c r="A532" s="1">
        <v>530</v>
      </c>
      <c r="B532">
        <v>0</v>
      </c>
      <c r="C532" t="s">
        <v>591</v>
      </c>
      <c r="D532" t="s">
        <v>129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f t="shared" si="48"/>
        <v>0.4</v>
      </c>
      <c r="M532">
        <f t="shared" si="49"/>
        <v>0</v>
      </c>
      <c r="N532">
        <f t="shared" si="50"/>
        <v>0</v>
      </c>
      <c r="O532">
        <f t="shared" si="51"/>
        <v>0</v>
      </c>
      <c r="P532">
        <f t="shared" si="52"/>
        <v>0</v>
      </c>
      <c r="Q532" t="e">
        <f>VLOOKUP(C532,Sheet2!A:AU,47,0)</f>
        <v>#N/A</v>
      </c>
      <c r="R532">
        <f t="shared" si="53"/>
        <v>0</v>
      </c>
    </row>
    <row r="533" spans="1:18" x14ac:dyDescent="0.3">
      <c r="A533" s="1">
        <v>531</v>
      </c>
      <c r="B533">
        <v>0</v>
      </c>
      <c r="C533" t="s">
        <v>592</v>
      </c>
      <c r="D533" t="s">
        <v>129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f t="shared" si="48"/>
        <v>0.4</v>
      </c>
      <c r="M533">
        <f t="shared" si="49"/>
        <v>0</v>
      </c>
      <c r="N533">
        <f t="shared" si="50"/>
        <v>0</v>
      </c>
      <c r="O533">
        <f t="shared" si="51"/>
        <v>0</v>
      </c>
      <c r="P533">
        <f t="shared" si="52"/>
        <v>0</v>
      </c>
      <c r="Q533" t="e">
        <f>VLOOKUP(C533,Sheet2!A:AU,47,0)</f>
        <v>#N/A</v>
      </c>
      <c r="R533">
        <f t="shared" si="53"/>
        <v>0</v>
      </c>
    </row>
    <row r="534" spans="1:18" x14ac:dyDescent="0.3">
      <c r="A534" s="1">
        <v>532</v>
      </c>
      <c r="B534">
        <v>0</v>
      </c>
      <c r="C534" t="s">
        <v>593</v>
      </c>
      <c r="D534" t="s">
        <v>129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f t="shared" si="48"/>
        <v>0.4</v>
      </c>
      <c r="M534">
        <f t="shared" si="49"/>
        <v>0</v>
      </c>
      <c r="N534">
        <f t="shared" si="50"/>
        <v>0</v>
      </c>
      <c r="O534">
        <f t="shared" si="51"/>
        <v>0</v>
      </c>
      <c r="P534">
        <f t="shared" si="52"/>
        <v>0</v>
      </c>
      <c r="Q534" t="e">
        <f>VLOOKUP(C534,Sheet2!A:AU,47,0)</f>
        <v>#N/A</v>
      </c>
      <c r="R534">
        <f t="shared" si="53"/>
        <v>0</v>
      </c>
    </row>
    <row r="535" spans="1:18" x14ac:dyDescent="0.3">
      <c r="A535" s="1">
        <v>533</v>
      </c>
      <c r="B535">
        <v>0</v>
      </c>
      <c r="C535" t="s">
        <v>594</v>
      </c>
      <c r="D535" t="s">
        <v>129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f t="shared" si="48"/>
        <v>0.4</v>
      </c>
      <c r="M535">
        <f t="shared" si="49"/>
        <v>0</v>
      </c>
      <c r="N535">
        <f t="shared" si="50"/>
        <v>0</v>
      </c>
      <c r="O535">
        <f t="shared" si="51"/>
        <v>0</v>
      </c>
      <c r="P535">
        <f t="shared" si="52"/>
        <v>0</v>
      </c>
      <c r="Q535" t="e">
        <f>VLOOKUP(C535,Sheet2!A:AU,47,0)</f>
        <v>#N/A</v>
      </c>
      <c r="R535">
        <f t="shared" si="53"/>
        <v>0</v>
      </c>
    </row>
    <row r="536" spans="1:18" x14ac:dyDescent="0.3">
      <c r="A536" s="1">
        <v>534</v>
      </c>
      <c r="B536">
        <v>0</v>
      </c>
      <c r="C536" t="s">
        <v>595</v>
      </c>
      <c r="D536" t="s">
        <v>116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f t="shared" si="48"/>
        <v>0.4</v>
      </c>
      <c r="M536">
        <f t="shared" si="49"/>
        <v>0</v>
      </c>
      <c r="N536">
        <f t="shared" si="50"/>
        <v>0</v>
      </c>
      <c r="O536">
        <f t="shared" si="51"/>
        <v>0</v>
      </c>
      <c r="P536">
        <f t="shared" si="52"/>
        <v>0</v>
      </c>
      <c r="Q536" t="e">
        <f>VLOOKUP(C536,Sheet2!A:AU,47,0)</f>
        <v>#N/A</v>
      </c>
      <c r="R536">
        <f t="shared" si="53"/>
        <v>0</v>
      </c>
    </row>
    <row r="537" spans="1:18" x14ac:dyDescent="0.3">
      <c r="A537" s="1">
        <v>535</v>
      </c>
      <c r="B537">
        <v>0</v>
      </c>
      <c r="C537" t="s">
        <v>596</v>
      </c>
      <c r="D537" t="s">
        <v>116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f t="shared" si="48"/>
        <v>0.4</v>
      </c>
      <c r="M537">
        <f t="shared" si="49"/>
        <v>0</v>
      </c>
      <c r="N537">
        <f t="shared" si="50"/>
        <v>0</v>
      </c>
      <c r="O537">
        <f t="shared" si="51"/>
        <v>0</v>
      </c>
      <c r="P537">
        <f t="shared" si="52"/>
        <v>0</v>
      </c>
      <c r="Q537" t="e">
        <f>VLOOKUP(C537,Sheet2!A:AU,47,0)</f>
        <v>#N/A</v>
      </c>
      <c r="R537">
        <f t="shared" si="53"/>
        <v>0</v>
      </c>
    </row>
    <row r="538" spans="1:18" x14ac:dyDescent="0.3">
      <c r="A538" s="1">
        <v>536</v>
      </c>
      <c r="B538">
        <v>0</v>
      </c>
      <c r="C538" t="s">
        <v>597</v>
      </c>
      <c r="D538" t="s">
        <v>116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f t="shared" si="48"/>
        <v>0.4</v>
      </c>
      <c r="M538">
        <f t="shared" si="49"/>
        <v>0</v>
      </c>
      <c r="N538">
        <f t="shared" si="50"/>
        <v>0</v>
      </c>
      <c r="O538">
        <f t="shared" si="51"/>
        <v>0</v>
      </c>
      <c r="P538">
        <f t="shared" si="52"/>
        <v>0</v>
      </c>
      <c r="Q538" t="e">
        <f>VLOOKUP(C538,Sheet2!A:AU,47,0)</f>
        <v>#N/A</v>
      </c>
      <c r="R538">
        <f t="shared" si="53"/>
        <v>0</v>
      </c>
    </row>
    <row r="539" spans="1:18" x14ac:dyDescent="0.3">
      <c r="A539" s="1">
        <v>537</v>
      </c>
      <c r="B539">
        <v>0</v>
      </c>
      <c r="C539" t="s">
        <v>598</v>
      </c>
      <c r="D539" t="s">
        <v>116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f t="shared" si="48"/>
        <v>0.4</v>
      </c>
      <c r="M539">
        <f t="shared" si="49"/>
        <v>0</v>
      </c>
      <c r="N539">
        <f t="shared" si="50"/>
        <v>0</v>
      </c>
      <c r="O539">
        <f t="shared" si="51"/>
        <v>0</v>
      </c>
      <c r="P539">
        <f t="shared" si="52"/>
        <v>0</v>
      </c>
      <c r="Q539" t="e">
        <f>VLOOKUP(C539,Sheet2!A:AU,47,0)</f>
        <v>#N/A</v>
      </c>
      <c r="R539">
        <f t="shared" si="53"/>
        <v>0</v>
      </c>
    </row>
    <row r="540" spans="1:18" x14ac:dyDescent="0.3">
      <c r="A540" s="1">
        <v>538</v>
      </c>
      <c r="B540">
        <v>0</v>
      </c>
      <c r="C540" t="s">
        <v>599</v>
      </c>
      <c r="D540" t="s">
        <v>116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f t="shared" si="48"/>
        <v>0.4</v>
      </c>
      <c r="M540">
        <f t="shared" si="49"/>
        <v>0</v>
      </c>
      <c r="N540">
        <f t="shared" si="50"/>
        <v>0</v>
      </c>
      <c r="O540">
        <f t="shared" si="51"/>
        <v>0</v>
      </c>
      <c r="P540">
        <f t="shared" si="52"/>
        <v>0</v>
      </c>
      <c r="Q540" t="e">
        <f>VLOOKUP(C540,Sheet2!A:AU,47,0)</f>
        <v>#N/A</v>
      </c>
      <c r="R540">
        <f t="shared" si="53"/>
        <v>0</v>
      </c>
    </row>
    <row r="541" spans="1:18" x14ac:dyDescent="0.3">
      <c r="A541" s="1">
        <v>539</v>
      </c>
      <c r="B541">
        <v>0</v>
      </c>
      <c r="C541" t="s">
        <v>600</v>
      </c>
      <c r="D541" t="s">
        <v>116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f t="shared" si="48"/>
        <v>0.4</v>
      </c>
      <c r="M541">
        <f t="shared" si="49"/>
        <v>0</v>
      </c>
      <c r="N541">
        <f t="shared" si="50"/>
        <v>0</v>
      </c>
      <c r="O541">
        <f t="shared" si="51"/>
        <v>0</v>
      </c>
      <c r="P541">
        <f t="shared" si="52"/>
        <v>0</v>
      </c>
      <c r="Q541" t="e">
        <f>VLOOKUP(C541,Sheet2!A:AU,47,0)</f>
        <v>#N/A</v>
      </c>
      <c r="R541">
        <f t="shared" si="53"/>
        <v>0</v>
      </c>
    </row>
    <row r="542" spans="1:18" x14ac:dyDescent="0.3">
      <c r="A542" s="1">
        <v>540</v>
      </c>
      <c r="B542">
        <v>0</v>
      </c>
      <c r="C542" t="s">
        <v>601</v>
      </c>
      <c r="D542" t="s">
        <v>116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f t="shared" si="48"/>
        <v>0.4</v>
      </c>
      <c r="M542">
        <f t="shared" si="49"/>
        <v>0</v>
      </c>
      <c r="N542">
        <f t="shared" si="50"/>
        <v>0</v>
      </c>
      <c r="O542">
        <f t="shared" si="51"/>
        <v>0</v>
      </c>
      <c r="P542">
        <f t="shared" si="52"/>
        <v>0</v>
      </c>
      <c r="Q542" t="e">
        <f>VLOOKUP(C542,Sheet2!A:AU,47,0)</f>
        <v>#N/A</v>
      </c>
      <c r="R542">
        <f t="shared" si="53"/>
        <v>0</v>
      </c>
    </row>
    <row r="543" spans="1:18" x14ac:dyDescent="0.3">
      <c r="A543" s="1">
        <v>541</v>
      </c>
      <c r="B543">
        <v>0</v>
      </c>
      <c r="C543" t="s">
        <v>602</v>
      </c>
      <c r="D543" t="s">
        <v>116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f t="shared" si="48"/>
        <v>0.4</v>
      </c>
      <c r="M543">
        <f t="shared" si="49"/>
        <v>0</v>
      </c>
      <c r="N543">
        <f t="shared" si="50"/>
        <v>0</v>
      </c>
      <c r="O543">
        <f t="shared" si="51"/>
        <v>0</v>
      </c>
      <c r="P543">
        <f t="shared" si="52"/>
        <v>0</v>
      </c>
      <c r="Q543" t="e">
        <f>VLOOKUP(C543,Sheet2!A:AU,47,0)</f>
        <v>#N/A</v>
      </c>
      <c r="R543">
        <f t="shared" si="53"/>
        <v>0</v>
      </c>
    </row>
    <row r="544" spans="1:18" x14ac:dyDescent="0.3">
      <c r="A544" s="1">
        <v>542</v>
      </c>
      <c r="B544">
        <v>0</v>
      </c>
      <c r="C544" t="s">
        <v>603</v>
      </c>
      <c r="D544" t="s">
        <v>105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f t="shared" si="48"/>
        <v>0.4</v>
      </c>
      <c r="M544">
        <f t="shared" si="49"/>
        <v>0</v>
      </c>
      <c r="N544">
        <f t="shared" si="50"/>
        <v>0</v>
      </c>
      <c r="O544">
        <f t="shared" si="51"/>
        <v>0</v>
      </c>
      <c r="P544">
        <f t="shared" si="52"/>
        <v>0</v>
      </c>
      <c r="Q544" t="e">
        <f>VLOOKUP(C544,Sheet2!A:AU,47,0)</f>
        <v>#N/A</v>
      </c>
      <c r="R544">
        <f t="shared" si="53"/>
        <v>0</v>
      </c>
    </row>
    <row r="545" spans="1:18" x14ac:dyDescent="0.3">
      <c r="A545" s="1">
        <v>543</v>
      </c>
      <c r="B545">
        <v>0</v>
      </c>
      <c r="C545" t="s">
        <v>604</v>
      </c>
      <c r="D545" t="s">
        <v>105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f t="shared" si="48"/>
        <v>0.4</v>
      </c>
      <c r="M545">
        <f t="shared" si="49"/>
        <v>0</v>
      </c>
      <c r="N545">
        <f t="shared" si="50"/>
        <v>0</v>
      </c>
      <c r="O545">
        <f t="shared" si="51"/>
        <v>0</v>
      </c>
      <c r="P545">
        <f t="shared" si="52"/>
        <v>0</v>
      </c>
      <c r="Q545" t="e">
        <f>VLOOKUP(C545,Sheet2!A:AU,47,0)</f>
        <v>#N/A</v>
      </c>
      <c r="R545">
        <f t="shared" si="53"/>
        <v>0</v>
      </c>
    </row>
    <row r="546" spans="1:18" x14ac:dyDescent="0.3">
      <c r="A546" s="1">
        <v>544</v>
      </c>
      <c r="B546">
        <v>0</v>
      </c>
      <c r="C546" t="s">
        <v>605</v>
      </c>
      <c r="D546" t="s">
        <v>105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f t="shared" si="48"/>
        <v>0.4</v>
      </c>
      <c r="M546">
        <f t="shared" si="49"/>
        <v>0</v>
      </c>
      <c r="N546">
        <f t="shared" si="50"/>
        <v>0</v>
      </c>
      <c r="O546">
        <f t="shared" si="51"/>
        <v>0</v>
      </c>
      <c r="P546">
        <f t="shared" si="52"/>
        <v>0</v>
      </c>
      <c r="Q546" t="e">
        <f>VLOOKUP(C546,Sheet2!A:AU,47,0)</f>
        <v>#N/A</v>
      </c>
      <c r="R546">
        <f t="shared" si="53"/>
        <v>0</v>
      </c>
    </row>
    <row r="547" spans="1:18" x14ac:dyDescent="0.3">
      <c r="A547" s="1">
        <v>545</v>
      </c>
      <c r="B547">
        <v>0</v>
      </c>
      <c r="C547" t="s">
        <v>606</v>
      </c>
      <c r="D547" t="s">
        <v>105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f t="shared" si="48"/>
        <v>0.4</v>
      </c>
      <c r="M547">
        <f t="shared" si="49"/>
        <v>0</v>
      </c>
      <c r="N547">
        <f t="shared" si="50"/>
        <v>0</v>
      </c>
      <c r="O547">
        <f t="shared" si="51"/>
        <v>0</v>
      </c>
      <c r="P547">
        <f t="shared" si="52"/>
        <v>0</v>
      </c>
      <c r="Q547" t="e">
        <f>VLOOKUP(C547,Sheet2!A:AU,47,0)</f>
        <v>#N/A</v>
      </c>
      <c r="R547">
        <f t="shared" si="53"/>
        <v>0</v>
      </c>
    </row>
    <row r="548" spans="1:18" x14ac:dyDescent="0.3">
      <c r="A548" s="1">
        <v>546</v>
      </c>
      <c r="B548">
        <v>0</v>
      </c>
      <c r="C548" t="s">
        <v>607</v>
      </c>
      <c r="D548" t="s">
        <v>105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f t="shared" si="48"/>
        <v>0.4</v>
      </c>
      <c r="M548">
        <f t="shared" si="49"/>
        <v>0</v>
      </c>
      <c r="N548">
        <f t="shared" si="50"/>
        <v>0</v>
      </c>
      <c r="O548">
        <f t="shared" si="51"/>
        <v>0</v>
      </c>
      <c r="P548">
        <f t="shared" si="52"/>
        <v>0</v>
      </c>
      <c r="Q548" t="e">
        <f>VLOOKUP(C548,Sheet2!A:AU,47,0)</f>
        <v>#N/A</v>
      </c>
      <c r="R548">
        <f t="shared" si="53"/>
        <v>0</v>
      </c>
    </row>
    <row r="549" spans="1:18" x14ac:dyDescent="0.3">
      <c r="A549" s="1">
        <v>547</v>
      </c>
      <c r="B549">
        <v>0</v>
      </c>
      <c r="C549" t="s">
        <v>608</v>
      </c>
      <c r="D549" t="s">
        <v>105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f t="shared" si="48"/>
        <v>0.4</v>
      </c>
      <c r="M549">
        <f t="shared" si="49"/>
        <v>0</v>
      </c>
      <c r="N549">
        <f t="shared" si="50"/>
        <v>0</v>
      </c>
      <c r="O549">
        <f t="shared" si="51"/>
        <v>0</v>
      </c>
      <c r="P549">
        <f t="shared" si="52"/>
        <v>0</v>
      </c>
      <c r="Q549" t="e">
        <f>VLOOKUP(C549,Sheet2!A:AU,47,0)</f>
        <v>#N/A</v>
      </c>
      <c r="R549">
        <f t="shared" si="53"/>
        <v>0</v>
      </c>
    </row>
    <row r="550" spans="1:18" x14ac:dyDescent="0.3">
      <c r="A550" s="1">
        <v>548</v>
      </c>
      <c r="B550">
        <v>0</v>
      </c>
      <c r="C550" t="s">
        <v>609</v>
      </c>
      <c r="D550" t="s">
        <v>105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f t="shared" si="48"/>
        <v>0.4</v>
      </c>
      <c r="M550">
        <f t="shared" si="49"/>
        <v>0</v>
      </c>
      <c r="N550">
        <f t="shared" si="50"/>
        <v>0</v>
      </c>
      <c r="O550">
        <f t="shared" si="51"/>
        <v>0</v>
      </c>
      <c r="P550">
        <f t="shared" si="52"/>
        <v>0</v>
      </c>
      <c r="Q550" t="e">
        <f>VLOOKUP(C550,Sheet2!A:AU,47,0)</f>
        <v>#N/A</v>
      </c>
      <c r="R550">
        <f t="shared" si="53"/>
        <v>0</v>
      </c>
    </row>
    <row r="551" spans="1:18" x14ac:dyDescent="0.3">
      <c r="A551" s="1">
        <v>549</v>
      </c>
      <c r="B551">
        <v>0</v>
      </c>
      <c r="C551" t="s">
        <v>610</v>
      </c>
      <c r="D551" t="s">
        <v>145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f t="shared" si="48"/>
        <v>0.4</v>
      </c>
      <c r="M551">
        <f t="shared" si="49"/>
        <v>0</v>
      </c>
      <c r="N551">
        <f t="shared" si="50"/>
        <v>0</v>
      </c>
      <c r="O551">
        <f t="shared" si="51"/>
        <v>0</v>
      </c>
      <c r="P551">
        <f t="shared" si="52"/>
        <v>0</v>
      </c>
      <c r="Q551" t="e">
        <f>VLOOKUP(C551,Sheet2!A:AU,47,0)</f>
        <v>#N/A</v>
      </c>
      <c r="R551">
        <f t="shared" si="53"/>
        <v>0</v>
      </c>
    </row>
    <row r="552" spans="1:18" x14ac:dyDescent="0.3">
      <c r="A552" s="1">
        <v>550</v>
      </c>
      <c r="B552">
        <v>0</v>
      </c>
      <c r="C552" t="s">
        <v>611</v>
      </c>
      <c r="D552" t="s">
        <v>145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f t="shared" si="48"/>
        <v>0.4</v>
      </c>
      <c r="M552">
        <f t="shared" si="49"/>
        <v>0</v>
      </c>
      <c r="N552">
        <f t="shared" si="50"/>
        <v>0</v>
      </c>
      <c r="O552">
        <f t="shared" si="51"/>
        <v>0</v>
      </c>
      <c r="P552">
        <f t="shared" si="52"/>
        <v>0</v>
      </c>
      <c r="Q552" t="e">
        <f>VLOOKUP(C552,Sheet2!A:AU,47,0)</f>
        <v>#N/A</v>
      </c>
      <c r="R552">
        <f t="shared" si="53"/>
        <v>0</v>
      </c>
    </row>
    <row r="553" spans="1:18" x14ac:dyDescent="0.3">
      <c r="A553" s="1">
        <v>551</v>
      </c>
      <c r="B553">
        <v>0</v>
      </c>
      <c r="C553" t="s">
        <v>612</v>
      </c>
      <c r="D553" t="s">
        <v>145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f t="shared" si="48"/>
        <v>0.4</v>
      </c>
      <c r="M553">
        <f t="shared" si="49"/>
        <v>0</v>
      </c>
      <c r="N553">
        <f t="shared" si="50"/>
        <v>0</v>
      </c>
      <c r="O553">
        <f t="shared" si="51"/>
        <v>0</v>
      </c>
      <c r="P553">
        <f t="shared" si="52"/>
        <v>0</v>
      </c>
      <c r="Q553" t="e">
        <f>VLOOKUP(C553,Sheet2!A:AU,47,0)</f>
        <v>#N/A</v>
      </c>
      <c r="R553">
        <f t="shared" si="53"/>
        <v>0</v>
      </c>
    </row>
    <row r="554" spans="1:18" x14ac:dyDescent="0.3">
      <c r="A554" s="1">
        <v>552</v>
      </c>
      <c r="B554">
        <v>0</v>
      </c>
      <c r="C554" t="s">
        <v>613</v>
      </c>
      <c r="D554" t="s">
        <v>145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f t="shared" si="48"/>
        <v>0.4</v>
      </c>
      <c r="M554">
        <f t="shared" si="49"/>
        <v>0</v>
      </c>
      <c r="N554">
        <f t="shared" si="50"/>
        <v>0</v>
      </c>
      <c r="O554">
        <f t="shared" si="51"/>
        <v>0</v>
      </c>
      <c r="P554">
        <f t="shared" si="52"/>
        <v>0</v>
      </c>
      <c r="Q554" t="e">
        <f>VLOOKUP(C554,Sheet2!A:AU,47,0)</f>
        <v>#N/A</v>
      </c>
      <c r="R554">
        <f t="shared" si="53"/>
        <v>0</v>
      </c>
    </row>
    <row r="555" spans="1:18" x14ac:dyDescent="0.3">
      <c r="A555" s="1">
        <v>553</v>
      </c>
      <c r="B555">
        <v>0</v>
      </c>
      <c r="C555" t="s">
        <v>614</v>
      </c>
      <c r="D555" t="s">
        <v>198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f t="shared" si="48"/>
        <v>0.4</v>
      </c>
      <c r="M555">
        <f t="shared" si="49"/>
        <v>0</v>
      </c>
      <c r="N555">
        <f t="shared" si="50"/>
        <v>0</v>
      </c>
      <c r="O555">
        <f t="shared" si="51"/>
        <v>0</v>
      </c>
      <c r="P555">
        <f t="shared" si="52"/>
        <v>0</v>
      </c>
      <c r="Q555" t="e">
        <f>VLOOKUP(C555,Sheet2!A:AU,47,0)</f>
        <v>#N/A</v>
      </c>
      <c r="R555">
        <f t="shared" si="53"/>
        <v>0</v>
      </c>
    </row>
    <row r="556" spans="1:18" x14ac:dyDescent="0.3">
      <c r="A556" s="1">
        <v>554</v>
      </c>
      <c r="B556">
        <v>0</v>
      </c>
      <c r="C556" t="s">
        <v>615</v>
      </c>
      <c r="D556" t="s">
        <v>198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f t="shared" si="48"/>
        <v>0.4</v>
      </c>
      <c r="M556">
        <f t="shared" si="49"/>
        <v>0</v>
      </c>
      <c r="N556">
        <f t="shared" si="50"/>
        <v>0</v>
      </c>
      <c r="O556">
        <f t="shared" si="51"/>
        <v>0</v>
      </c>
      <c r="P556">
        <f t="shared" si="52"/>
        <v>0</v>
      </c>
      <c r="Q556" t="e">
        <f>VLOOKUP(C556,Sheet2!A:AU,47,0)</f>
        <v>#N/A</v>
      </c>
      <c r="R556">
        <f t="shared" si="53"/>
        <v>0</v>
      </c>
    </row>
    <row r="557" spans="1:18" x14ac:dyDescent="0.3">
      <c r="A557" s="1">
        <v>555</v>
      </c>
      <c r="B557">
        <v>0</v>
      </c>
      <c r="C557" t="s">
        <v>616</v>
      </c>
      <c r="D557" t="s">
        <v>121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f t="shared" si="48"/>
        <v>0.4</v>
      </c>
      <c r="M557">
        <f t="shared" si="49"/>
        <v>0</v>
      </c>
      <c r="N557">
        <f t="shared" si="50"/>
        <v>0</v>
      </c>
      <c r="O557">
        <f t="shared" si="51"/>
        <v>0</v>
      </c>
      <c r="P557">
        <f t="shared" si="52"/>
        <v>0</v>
      </c>
      <c r="Q557" t="e">
        <f>VLOOKUP(C557,Sheet2!A:AU,47,0)</f>
        <v>#N/A</v>
      </c>
      <c r="R557">
        <f t="shared" si="53"/>
        <v>0</v>
      </c>
    </row>
    <row r="558" spans="1:18" x14ac:dyDescent="0.3">
      <c r="A558" s="1">
        <v>556</v>
      </c>
      <c r="B558">
        <v>0</v>
      </c>
      <c r="C558" t="s">
        <v>617</v>
      </c>
      <c r="D558" t="s">
        <v>121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f t="shared" si="48"/>
        <v>0.4</v>
      </c>
      <c r="M558">
        <f t="shared" si="49"/>
        <v>0</v>
      </c>
      <c r="N558">
        <f t="shared" si="50"/>
        <v>0</v>
      </c>
      <c r="O558">
        <f t="shared" si="51"/>
        <v>0</v>
      </c>
      <c r="P558">
        <f t="shared" si="52"/>
        <v>0</v>
      </c>
      <c r="Q558" t="e">
        <f>VLOOKUP(C558,Sheet2!A:AU,47,0)</f>
        <v>#N/A</v>
      </c>
      <c r="R558">
        <f t="shared" si="53"/>
        <v>0</v>
      </c>
    </row>
    <row r="559" spans="1:18" x14ac:dyDescent="0.3">
      <c r="A559" s="1">
        <v>557</v>
      </c>
      <c r="B559">
        <v>0</v>
      </c>
      <c r="C559" t="s">
        <v>618</v>
      </c>
      <c r="D559" t="s">
        <v>121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f t="shared" si="48"/>
        <v>0.4</v>
      </c>
      <c r="M559">
        <f t="shared" si="49"/>
        <v>0</v>
      </c>
      <c r="N559">
        <f t="shared" si="50"/>
        <v>0</v>
      </c>
      <c r="O559">
        <f t="shared" si="51"/>
        <v>0</v>
      </c>
      <c r="P559">
        <f t="shared" si="52"/>
        <v>0</v>
      </c>
      <c r="Q559" t="e">
        <f>VLOOKUP(C559,Sheet2!A:AU,47,0)</f>
        <v>#N/A</v>
      </c>
      <c r="R559">
        <f t="shared" si="53"/>
        <v>0</v>
      </c>
    </row>
    <row r="560" spans="1:18" x14ac:dyDescent="0.3">
      <c r="A560" s="1">
        <v>558</v>
      </c>
      <c r="B560">
        <v>0</v>
      </c>
      <c r="C560" t="s">
        <v>619</v>
      </c>
      <c r="D560" t="s">
        <v>121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f t="shared" si="48"/>
        <v>0.4</v>
      </c>
      <c r="M560">
        <f t="shared" si="49"/>
        <v>0</v>
      </c>
      <c r="N560">
        <f t="shared" si="50"/>
        <v>0</v>
      </c>
      <c r="O560">
        <f t="shared" si="51"/>
        <v>0</v>
      </c>
      <c r="P560">
        <f t="shared" si="52"/>
        <v>0</v>
      </c>
      <c r="Q560" t="e">
        <f>VLOOKUP(C560,Sheet2!A:AU,47,0)</f>
        <v>#N/A</v>
      </c>
      <c r="R560">
        <f t="shared" si="53"/>
        <v>0</v>
      </c>
    </row>
    <row r="561" spans="1:18" x14ac:dyDescent="0.3">
      <c r="A561" s="1">
        <v>559</v>
      </c>
      <c r="B561">
        <v>0</v>
      </c>
      <c r="C561" t="s">
        <v>620</v>
      </c>
      <c r="D561" t="s">
        <v>121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f t="shared" si="48"/>
        <v>0.4</v>
      </c>
      <c r="M561">
        <f t="shared" si="49"/>
        <v>0</v>
      </c>
      <c r="N561">
        <f t="shared" si="50"/>
        <v>0</v>
      </c>
      <c r="O561">
        <f t="shared" si="51"/>
        <v>0</v>
      </c>
      <c r="P561">
        <f t="shared" si="52"/>
        <v>0</v>
      </c>
      <c r="Q561" t="e">
        <f>VLOOKUP(C561,Sheet2!A:AU,47,0)</f>
        <v>#N/A</v>
      </c>
      <c r="R561">
        <f t="shared" si="53"/>
        <v>0</v>
      </c>
    </row>
    <row r="562" spans="1:18" x14ac:dyDescent="0.3">
      <c r="A562" s="1">
        <v>560</v>
      </c>
      <c r="B562">
        <v>0</v>
      </c>
      <c r="C562" t="s">
        <v>621</v>
      </c>
      <c r="D562" t="s">
        <v>121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f t="shared" si="48"/>
        <v>0.4</v>
      </c>
      <c r="M562">
        <f t="shared" si="49"/>
        <v>0</v>
      </c>
      <c r="N562">
        <f t="shared" si="50"/>
        <v>0</v>
      </c>
      <c r="O562">
        <f t="shared" si="51"/>
        <v>0</v>
      </c>
      <c r="P562">
        <f t="shared" si="52"/>
        <v>0</v>
      </c>
      <c r="Q562" t="e">
        <f>VLOOKUP(C562,Sheet2!A:AU,47,0)</f>
        <v>#N/A</v>
      </c>
      <c r="R562">
        <f t="shared" si="53"/>
        <v>0</v>
      </c>
    </row>
    <row r="563" spans="1:18" x14ac:dyDescent="0.3">
      <c r="A563" s="1">
        <v>561</v>
      </c>
      <c r="B563">
        <v>0</v>
      </c>
      <c r="C563" t="s">
        <v>622</v>
      </c>
      <c r="D563" t="s">
        <v>237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f t="shared" si="48"/>
        <v>0.4</v>
      </c>
      <c r="M563">
        <f t="shared" si="49"/>
        <v>0</v>
      </c>
      <c r="N563">
        <f t="shared" si="50"/>
        <v>0</v>
      </c>
      <c r="O563">
        <f t="shared" si="51"/>
        <v>0</v>
      </c>
      <c r="P563">
        <f t="shared" si="52"/>
        <v>0</v>
      </c>
      <c r="Q563" t="e">
        <f>VLOOKUP(C563,Sheet2!A:AU,47,0)</f>
        <v>#N/A</v>
      </c>
      <c r="R563">
        <f t="shared" si="53"/>
        <v>0</v>
      </c>
    </row>
    <row r="564" spans="1:18" x14ac:dyDescent="0.3">
      <c r="A564" s="1">
        <v>562</v>
      </c>
      <c r="B564">
        <v>0</v>
      </c>
      <c r="C564" t="s">
        <v>623</v>
      </c>
      <c r="D564" t="s">
        <v>237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f t="shared" si="48"/>
        <v>0.4</v>
      </c>
      <c r="M564">
        <f t="shared" si="49"/>
        <v>0</v>
      </c>
      <c r="N564">
        <f t="shared" si="50"/>
        <v>0</v>
      </c>
      <c r="O564">
        <f t="shared" si="51"/>
        <v>0</v>
      </c>
      <c r="P564">
        <f t="shared" si="52"/>
        <v>0</v>
      </c>
      <c r="Q564" t="e">
        <f>VLOOKUP(C564,Sheet2!A:AU,47,0)</f>
        <v>#N/A</v>
      </c>
      <c r="R564">
        <f t="shared" si="53"/>
        <v>0</v>
      </c>
    </row>
    <row r="565" spans="1:18" x14ac:dyDescent="0.3">
      <c r="A565" s="1">
        <v>563</v>
      </c>
      <c r="B565">
        <v>0</v>
      </c>
      <c r="C565" t="s">
        <v>624</v>
      </c>
      <c r="D565" t="s">
        <v>237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f t="shared" si="48"/>
        <v>0.4</v>
      </c>
      <c r="M565">
        <f t="shared" si="49"/>
        <v>0</v>
      </c>
      <c r="N565">
        <f t="shared" si="50"/>
        <v>0</v>
      </c>
      <c r="O565">
        <f t="shared" si="51"/>
        <v>0</v>
      </c>
      <c r="P565">
        <f t="shared" si="52"/>
        <v>0</v>
      </c>
      <c r="Q565" t="e">
        <f>VLOOKUP(C565,Sheet2!A:AU,47,0)</f>
        <v>#N/A</v>
      </c>
      <c r="R565">
        <f t="shared" si="53"/>
        <v>0</v>
      </c>
    </row>
    <row r="566" spans="1:18" x14ac:dyDescent="0.3">
      <c r="A566" s="1">
        <v>564</v>
      </c>
      <c r="B566">
        <v>0</v>
      </c>
      <c r="C566" t="s">
        <v>625</v>
      </c>
      <c r="D566" t="s">
        <v>167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f t="shared" si="48"/>
        <v>0.4</v>
      </c>
      <c r="M566">
        <f t="shared" si="49"/>
        <v>0</v>
      </c>
      <c r="N566">
        <f t="shared" si="50"/>
        <v>0</v>
      </c>
      <c r="O566">
        <f t="shared" si="51"/>
        <v>0</v>
      </c>
      <c r="P566">
        <f t="shared" si="52"/>
        <v>0</v>
      </c>
      <c r="Q566" t="e">
        <f>VLOOKUP(C566,Sheet2!A:AU,47,0)</f>
        <v>#N/A</v>
      </c>
      <c r="R566">
        <f t="shared" si="53"/>
        <v>0</v>
      </c>
    </row>
    <row r="567" spans="1:18" x14ac:dyDescent="0.3">
      <c r="A567" s="1">
        <v>565</v>
      </c>
      <c r="B567">
        <v>0</v>
      </c>
      <c r="C567" t="s">
        <v>626</v>
      </c>
      <c r="D567" t="s">
        <v>167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f t="shared" si="48"/>
        <v>0.4</v>
      </c>
      <c r="M567">
        <f t="shared" si="49"/>
        <v>0</v>
      </c>
      <c r="N567">
        <f t="shared" si="50"/>
        <v>0</v>
      </c>
      <c r="O567">
        <f t="shared" si="51"/>
        <v>0</v>
      </c>
      <c r="P567">
        <f t="shared" si="52"/>
        <v>0</v>
      </c>
      <c r="Q567" t="e">
        <f>VLOOKUP(C567,Sheet2!A:AU,47,0)</f>
        <v>#N/A</v>
      </c>
      <c r="R567">
        <f t="shared" si="53"/>
        <v>0</v>
      </c>
    </row>
    <row r="568" spans="1:18" x14ac:dyDescent="0.3">
      <c r="A568" s="1">
        <v>566</v>
      </c>
      <c r="B568">
        <v>0</v>
      </c>
      <c r="C568" t="s">
        <v>627</v>
      </c>
      <c r="D568" t="s">
        <v>70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f t="shared" si="48"/>
        <v>0.4</v>
      </c>
      <c r="M568">
        <f t="shared" si="49"/>
        <v>0</v>
      </c>
      <c r="N568">
        <f t="shared" si="50"/>
        <v>0</v>
      </c>
      <c r="O568">
        <f t="shared" si="51"/>
        <v>0</v>
      </c>
      <c r="P568">
        <f t="shared" si="52"/>
        <v>0</v>
      </c>
      <c r="Q568" t="e">
        <f>VLOOKUP(C568,Sheet2!A:AU,47,0)</f>
        <v>#N/A</v>
      </c>
      <c r="R568">
        <f t="shared" si="53"/>
        <v>0</v>
      </c>
    </row>
    <row r="569" spans="1:18" x14ac:dyDescent="0.3">
      <c r="A569" s="1">
        <v>567</v>
      </c>
      <c r="B569">
        <v>0</v>
      </c>
      <c r="C569" t="s">
        <v>628</v>
      </c>
      <c r="D569" t="s">
        <v>70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f t="shared" si="48"/>
        <v>0.4</v>
      </c>
      <c r="M569">
        <f t="shared" si="49"/>
        <v>0</v>
      </c>
      <c r="N569">
        <f t="shared" si="50"/>
        <v>0</v>
      </c>
      <c r="O569">
        <f t="shared" si="51"/>
        <v>0</v>
      </c>
      <c r="P569">
        <f t="shared" si="52"/>
        <v>0</v>
      </c>
      <c r="Q569" t="e">
        <f>VLOOKUP(C569,Sheet2!A:AU,47,0)</f>
        <v>#N/A</v>
      </c>
      <c r="R569">
        <f t="shared" si="53"/>
        <v>0</v>
      </c>
    </row>
    <row r="570" spans="1:18" x14ac:dyDescent="0.3">
      <c r="A570" s="1">
        <v>568</v>
      </c>
      <c r="B570">
        <v>0</v>
      </c>
      <c r="C570" t="s">
        <v>629</v>
      </c>
      <c r="D570" t="s">
        <v>70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f t="shared" si="48"/>
        <v>0.4</v>
      </c>
      <c r="M570">
        <f t="shared" si="49"/>
        <v>0</v>
      </c>
      <c r="N570">
        <f t="shared" si="50"/>
        <v>0</v>
      </c>
      <c r="O570">
        <f t="shared" si="51"/>
        <v>0</v>
      </c>
      <c r="P570">
        <f t="shared" si="52"/>
        <v>0</v>
      </c>
      <c r="Q570" t="e">
        <f>VLOOKUP(C570,Sheet2!A:AU,47,0)</f>
        <v>#N/A</v>
      </c>
      <c r="R570">
        <f t="shared" si="53"/>
        <v>0</v>
      </c>
    </row>
    <row r="571" spans="1:18" x14ac:dyDescent="0.3">
      <c r="A571" s="1">
        <v>569</v>
      </c>
      <c r="B571">
        <v>0</v>
      </c>
      <c r="C571" t="s">
        <v>630</v>
      </c>
      <c r="D571" t="s">
        <v>70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f t="shared" si="48"/>
        <v>0.4</v>
      </c>
      <c r="M571">
        <f t="shared" si="49"/>
        <v>0</v>
      </c>
      <c r="N571">
        <f t="shared" si="50"/>
        <v>0</v>
      </c>
      <c r="O571">
        <f t="shared" si="51"/>
        <v>0</v>
      </c>
      <c r="P571">
        <f t="shared" si="52"/>
        <v>0</v>
      </c>
      <c r="Q571" t="e">
        <f>VLOOKUP(C571,Sheet2!A:AU,47,0)</f>
        <v>#N/A</v>
      </c>
      <c r="R571">
        <f t="shared" si="53"/>
        <v>0</v>
      </c>
    </row>
    <row r="572" spans="1:18" x14ac:dyDescent="0.3">
      <c r="A572" s="1">
        <v>570</v>
      </c>
      <c r="B572">
        <v>0</v>
      </c>
      <c r="C572" t="s">
        <v>631</v>
      </c>
      <c r="D572" t="s">
        <v>70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f t="shared" si="48"/>
        <v>0.4</v>
      </c>
      <c r="M572">
        <f t="shared" si="49"/>
        <v>0</v>
      </c>
      <c r="N572">
        <f t="shared" si="50"/>
        <v>0</v>
      </c>
      <c r="O572">
        <f t="shared" si="51"/>
        <v>0</v>
      </c>
      <c r="P572">
        <f t="shared" si="52"/>
        <v>0</v>
      </c>
      <c r="Q572" t="e">
        <f>VLOOKUP(C572,Sheet2!A:AU,47,0)</f>
        <v>#N/A</v>
      </c>
      <c r="R572">
        <f t="shared" si="53"/>
        <v>0</v>
      </c>
    </row>
    <row r="573" spans="1:18" x14ac:dyDescent="0.3">
      <c r="A573" s="1">
        <v>571</v>
      </c>
      <c r="B573">
        <v>0</v>
      </c>
      <c r="C573" t="s">
        <v>632</v>
      </c>
      <c r="D573" t="s">
        <v>70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f t="shared" si="48"/>
        <v>0.4</v>
      </c>
      <c r="M573">
        <f t="shared" si="49"/>
        <v>0</v>
      </c>
      <c r="N573">
        <f t="shared" si="50"/>
        <v>0</v>
      </c>
      <c r="O573">
        <f t="shared" si="51"/>
        <v>0</v>
      </c>
      <c r="P573">
        <f t="shared" si="52"/>
        <v>0</v>
      </c>
      <c r="Q573" t="e">
        <f>VLOOKUP(C573,Sheet2!A:AU,47,0)</f>
        <v>#N/A</v>
      </c>
      <c r="R573">
        <f t="shared" si="53"/>
        <v>0</v>
      </c>
    </row>
    <row r="574" spans="1:18" x14ac:dyDescent="0.3">
      <c r="A574" s="1">
        <v>572</v>
      </c>
      <c r="B574">
        <v>0</v>
      </c>
      <c r="C574" t="s">
        <v>633</v>
      </c>
      <c r="D574" t="s">
        <v>36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f t="shared" si="48"/>
        <v>0.4</v>
      </c>
      <c r="M574">
        <f t="shared" si="49"/>
        <v>0</v>
      </c>
      <c r="N574">
        <f t="shared" si="50"/>
        <v>0</v>
      </c>
      <c r="O574">
        <f t="shared" si="51"/>
        <v>0</v>
      </c>
      <c r="P574">
        <f t="shared" si="52"/>
        <v>0</v>
      </c>
      <c r="Q574" t="e">
        <f>VLOOKUP(C574,Sheet2!A:AU,47,0)</f>
        <v>#N/A</v>
      </c>
      <c r="R574">
        <f t="shared" si="53"/>
        <v>0</v>
      </c>
    </row>
    <row r="575" spans="1:18" x14ac:dyDescent="0.3">
      <c r="A575" s="1">
        <v>573</v>
      </c>
      <c r="B575">
        <v>0</v>
      </c>
      <c r="C575" t="s">
        <v>634</v>
      </c>
      <c r="D575" t="s">
        <v>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f t="shared" si="48"/>
        <v>0.4</v>
      </c>
      <c r="M575">
        <f t="shared" si="49"/>
        <v>0</v>
      </c>
      <c r="N575">
        <f t="shared" si="50"/>
        <v>0</v>
      </c>
      <c r="O575">
        <f t="shared" si="51"/>
        <v>0</v>
      </c>
      <c r="P575">
        <f t="shared" si="52"/>
        <v>0</v>
      </c>
      <c r="Q575" t="e">
        <f>VLOOKUP(C575,Sheet2!A:AU,47,0)</f>
        <v>#N/A</v>
      </c>
      <c r="R575">
        <f t="shared" si="53"/>
        <v>0</v>
      </c>
    </row>
    <row r="576" spans="1:18" x14ac:dyDescent="0.3">
      <c r="A576" s="1">
        <v>574</v>
      </c>
      <c r="B576">
        <v>0</v>
      </c>
      <c r="C576" t="s">
        <v>635</v>
      </c>
      <c r="D576" t="s">
        <v>127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f t="shared" si="48"/>
        <v>0.4</v>
      </c>
      <c r="M576">
        <f t="shared" si="49"/>
        <v>0</v>
      </c>
      <c r="N576">
        <f t="shared" si="50"/>
        <v>0</v>
      </c>
      <c r="O576">
        <f t="shared" si="51"/>
        <v>0</v>
      </c>
      <c r="P576">
        <f t="shared" si="52"/>
        <v>0</v>
      </c>
      <c r="Q576" t="e">
        <f>VLOOKUP(C576,Sheet2!A:AU,47,0)</f>
        <v>#N/A</v>
      </c>
      <c r="R576">
        <f t="shared" si="53"/>
        <v>0</v>
      </c>
    </row>
    <row r="577" spans="1:18" x14ac:dyDescent="0.3">
      <c r="A577" s="1">
        <v>575</v>
      </c>
      <c r="B577">
        <v>0</v>
      </c>
      <c r="C577" t="s">
        <v>355</v>
      </c>
      <c r="D577" t="s">
        <v>127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f t="shared" si="48"/>
        <v>0.4</v>
      </c>
      <c r="M577">
        <f t="shared" si="49"/>
        <v>0</v>
      </c>
      <c r="N577">
        <f t="shared" si="50"/>
        <v>0</v>
      </c>
      <c r="O577">
        <f t="shared" si="51"/>
        <v>0</v>
      </c>
      <c r="P577">
        <f t="shared" si="52"/>
        <v>0</v>
      </c>
      <c r="Q577">
        <f>VLOOKUP(C577,Sheet2!A:AU,47,0)</f>
        <v>1.0040229087178389</v>
      </c>
      <c r="R577">
        <f t="shared" si="53"/>
        <v>1.0040229087178389</v>
      </c>
    </row>
    <row r="578" spans="1:18" x14ac:dyDescent="0.3">
      <c r="A578" s="1">
        <v>576</v>
      </c>
      <c r="B578">
        <v>0</v>
      </c>
      <c r="C578" t="s">
        <v>397</v>
      </c>
      <c r="D578" t="s">
        <v>127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f t="shared" si="48"/>
        <v>0.4</v>
      </c>
      <c r="M578">
        <f t="shared" si="49"/>
        <v>0</v>
      </c>
      <c r="N578">
        <f t="shared" si="50"/>
        <v>0</v>
      </c>
      <c r="O578">
        <f t="shared" si="51"/>
        <v>0</v>
      </c>
      <c r="P578">
        <f t="shared" si="52"/>
        <v>0</v>
      </c>
      <c r="Q578">
        <f>VLOOKUP(C578,Sheet2!A:AU,47,0)</f>
        <v>3.8743652888295039</v>
      </c>
      <c r="R578">
        <f t="shared" si="53"/>
        <v>3.8743652888295039</v>
      </c>
    </row>
    <row r="579" spans="1:18" x14ac:dyDescent="0.3">
      <c r="A579" s="1">
        <v>577</v>
      </c>
      <c r="B579">
        <v>0</v>
      </c>
      <c r="C579" t="s">
        <v>636</v>
      </c>
      <c r="D579" t="s">
        <v>127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f t="shared" ref="L579:L642" si="54">MAX(H:H)</f>
        <v>0.4</v>
      </c>
      <c r="M579">
        <f t="shared" ref="M579:M642" si="55">MIN(H:H)</f>
        <v>0</v>
      </c>
      <c r="N579">
        <f t="shared" ref="N579:N642" si="56">(H579-M579)/(L579-M579)</f>
        <v>0</v>
      </c>
      <c r="O579">
        <f t="shared" ref="O579:O642" si="57">N579*0.0442</f>
        <v>0</v>
      </c>
      <c r="P579">
        <f t="shared" ref="P579:P642" si="58">O579*100</f>
        <v>0</v>
      </c>
      <c r="Q579" t="e">
        <f>VLOOKUP(C579,Sheet2!A:AU,47,0)</f>
        <v>#N/A</v>
      </c>
      <c r="R579">
        <f t="shared" ref="R579:R642" si="59">IFERROR((P579+Q579),0)</f>
        <v>0</v>
      </c>
    </row>
    <row r="580" spans="1:18" x14ac:dyDescent="0.3">
      <c r="A580" s="1">
        <v>578</v>
      </c>
      <c r="B580">
        <v>0</v>
      </c>
      <c r="C580" t="s">
        <v>637</v>
      </c>
      <c r="D580" t="s">
        <v>127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f t="shared" si="54"/>
        <v>0.4</v>
      </c>
      <c r="M580">
        <f t="shared" si="55"/>
        <v>0</v>
      </c>
      <c r="N580">
        <f t="shared" si="56"/>
        <v>0</v>
      </c>
      <c r="O580">
        <f t="shared" si="57"/>
        <v>0</v>
      </c>
      <c r="P580">
        <f t="shared" si="58"/>
        <v>0</v>
      </c>
      <c r="Q580" t="e">
        <f>VLOOKUP(C580,Sheet2!A:AU,47,0)</f>
        <v>#N/A</v>
      </c>
      <c r="R580">
        <f t="shared" si="59"/>
        <v>0</v>
      </c>
    </row>
    <row r="581" spans="1:18" x14ac:dyDescent="0.3">
      <c r="A581" s="1">
        <v>579</v>
      </c>
      <c r="B581">
        <v>0</v>
      </c>
      <c r="C581" t="s">
        <v>638</v>
      </c>
      <c r="D581" t="s">
        <v>127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f t="shared" si="54"/>
        <v>0.4</v>
      </c>
      <c r="M581">
        <f t="shared" si="55"/>
        <v>0</v>
      </c>
      <c r="N581">
        <f t="shared" si="56"/>
        <v>0</v>
      </c>
      <c r="O581">
        <f t="shared" si="57"/>
        <v>0</v>
      </c>
      <c r="P581">
        <f t="shared" si="58"/>
        <v>0</v>
      </c>
      <c r="Q581" t="e">
        <f>VLOOKUP(C581,Sheet2!A:AU,47,0)</f>
        <v>#N/A</v>
      </c>
      <c r="R581">
        <f t="shared" si="59"/>
        <v>0</v>
      </c>
    </row>
    <row r="582" spans="1:18" x14ac:dyDescent="0.3">
      <c r="A582" s="1">
        <v>580</v>
      </c>
      <c r="B582">
        <v>0</v>
      </c>
      <c r="C582" t="s">
        <v>639</v>
      </c>
      <c r="D582" t="s">
        <v>127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f t="shared" si="54"/>
        <v>0.4</v>
      </c>
      <c r="M582">
        <f t="shared" si="55"/>
        <v>0</v>
      </c>
      <c r="N582">
        <f t="shared" si="56"/>
        <v>0</v>
      </c>
      <c r="O582">
        <f t="shared" si="57"/>
        <v>0</v>
      </c>
      <c r="P582">
        <f t="shared" si="58"/>
        <v>0</v>
      </c>
      <c r="Q582" t="e">
        <f>VLOOKUP(C582,Sheet2!A:AU,47,0)</f>
        <v>#N/A</v>
      </c>
      <c r="R582">
        <f t="shared" si="59"/>
        <v>0</v>
      </c>
    </row>
    <row r="583" spans="1:18" x14ac:dyDescent="0.3">
      <c r="A583" s="1">
        <v>581</v>
      </c>
      <c r="B583">
        <v>0</v>
      </c>
      <c r="C583" t="s">
        <v>640</v>
      </c>
      <c r="D583" t="s">
        <v>127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f t="shared" si="54"/>
        <v>0.4</v>
      </c>
      <c r="M583">
        <f t="shared" si="55"/>
        <v>0</v>
      </c>
      <c r="N583">
        <f t="shared" si="56"/>
        <v>0</v>
      </c>
      <c r="O583">
        <f t="shared" si="57"/>
        <v>0</v>
      </c>
      <c r="P583">
        <f t="shared" si="58"/>
        <v>0</v>
      </c>
      <c r="Q583" t="e">
        <f>VLOOKUP(C583,Sheet2!A:AU,47,0)</f>
        <v>#N/A</v>
      </c>
      <c r="R583">
        <f t="shared" si="59"/>
        <v>0</v>
      </c>
    </row>
    <row r="584" spans="1:18" x14ac:dyDescent="0.3">
      <c r="A584" s="1">
        <v>582</v>
      </c>
      <c r="B584">
        <v>0</v>
      </c>
      <c r="C584" t="s">
        <v>641</v>
      </c>
      <c r="D584" t="s">
        <v>127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f t="shared" si="54"/>
        <v>0.4</v>
      </c>
      <c r="M584">
        <f t="shared" si="55"/>
        <v>0</v>
      </c>
      <c r="N584">
        <f t="shared" si="56"/>
        <v>0</v>
      </c>
      <c r="O584">
        <f t="shared" si="57"/>
        <v>0</v>
      </c>
      <c r="P584">
        <f t="shared" si="58"/>
        <v>0</v>
      </c>
      <c r="Q584" t="e">
        <f>VLOOKUP(C584,Sheet2!A:AU,47,0)</f>
        <v>#N/A</v>
      </c>
      <c r="R584">
        <f t="shared" si="59"/>
        <v>0</v>
      </c>
    </row>
    <row r="585" spans="1:18" x14ac:dyDescent="0.3">
      <c r="A585" s="1">
        <v>583</v>
      </c>
      <c r="B585">
        <v>0</v>
      </c>
      <c r="C585" t="s">
        <v>642</v>
      </c>
      <c r="D585" t="s">
        <v>172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f t="shared" si="54"/>
        <v>0.4</v>
      </c>
      <c r="M585">
        <f t="shared" si="55"/>
        <v>0</v>
      </c>
      <c r="N585">
        <f t="shared" si="56"/>
        <v>0</v>
      </c>
      <c r="O585">
        <f t="shared" si="57"/>
        <v>0</v>
      </c>
      <c r="P585">
        <f t="shared" si="58"/>
        <v>0</v>
      </c>
      <c r="Q585" t="e">
        <f>VLOOKUP(C585,Sheet2!A:AU,47,0)</f>
        <v>#N/A</v>
      </c>
      <c r="R585">
        <f t="shared" si="59"/>
        <v>0</v>
      </c>
    </row>
    <row r="586" spans="1:18" x14ac:dyDescent="0.3">
      <c r="A586" s="1">
        <v>584</v>
      </c>
      <c r="B586">
        <v>0</v>
      </c>
      <c r="C586" t="s">
        <v>643</v>
      </c>
      <c r="D586" t="s">
        <v>172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f t="shared" si="54"/>
        <v>0.4</v>
      </c>
      <c r="M586">
        <f t="shared" si="55"/>
        <v>0</v>
      </c>
      <c r="N586">
        <f t="shared" si="56"/>
        <v>0</v>
      </c>
      <c r="O586">
        <f t="shared" si="57"/>
        <v>0</v>
      </c>
      <c r="P586">
        <f t="shared" si="58"/>
        <v>0</v>
      </c>
      <c r="Q586" t="e">
        <f>VLOOKUP(C586,Sheet2!A:AU,47,0)</f>
        <v>#N/A</v>
      </c>
      <c r="R586">
        <f t="shared" si="59"/>
        <v>0</v>
      </c>
    </row>
    <row r="587" spans="1:18" x14ac:dyDescent="0.3">
      <c r="A587" s="1">
        <v>585</v>
      </c>
      <c r="B587">
        <v>0</v>
      </c>
      <c r="C587" t="s">
        <v>644</v>
      </c>
      <c r="D587" t="s">
        <v>172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f t="shared" si="54"/>
        <v>0.4</v>
      </c>
      <c r="M587">
        <f t="shared" si="55"/>
        <v>0</v>
      </c>
      <c r="N587">
        <f t="shared" si="56"/>
        <v>0</v>
      </c>
      <c r="O587">
        <f t="shared" si="57"/>
        <v>0</v>
      </c>
      <c r="P587">
        <f t="shared" si="58"/>
        <v>0</v>
      </c>
      <c r="Q587" t="e">
        <f>VLOOKUP(C587,Sheet2!A:AU,47,0)</f>
        <v>#N/A</v>
      </c>
      <c r="R587">
        <f t="shared" si="59"/>
        <v>0</v>
      </c>
    </row>
    <row r="588" spans="1:18" x14ac:dyDescent="0.3">
      <c r="A588" s="1">
        <v>586</v>
      </c>
      <c r="B588">
        <v>0</v>
      </c>
      <c r="C588" t="s">
        <v>645</v>
      </c>
      <c r="D588" t="s">
        <v>172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f t="shared" si="54"/>
        <v>0.4</v>
      </c>
      <c r="M588">
        <f t="shared" si="55"/>
        <v>0</v>
      </c>
      <c r="N588">
        <f t="shared" si="56"/>
        <v>0</v>
      </c>
      <c r="O588">
        <f t="shared" si="57"/>
        <v>0</v>
      </c>
      <c r="P588">
        <f t="shared" si="58"/>
        <v>0</v>
      </c>
      <c r="Q588" t="e">
        <f>VLOOKUP(C588,Sheet2!A:AU,47,0)</f>
        <v>#N/A</v>
      </c>
      <c r="R588">
        <f t="shared" si="59"/>
        <v>0</v>
      </c>
    </row>
    <row r="589" spans="1:18" x14ac:dyDescent="0.3">
      <c r="A589" s="1">
        <v>587</v>
      </c>
      <c r="B589">
        <v>0</v>
      </c>
      <c r="C589" t="s">
        <v>646</v>
      </c>
      <c r="D589" t="s">
        <v>172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f t="shared" si="54"/>
        <v>0.4</v>
      </c>
      <c r="M589">
        <f t="shared" si="55"/>
        <v>0</v>
      </c>
      <c r="N589">
        <f t="shared" si="56"/>
        <v>0</v>
      </c>
      <c r="O589">
        <f t="shared" si="57"/>
        <v>0</v>
      </c>
      <c r="P589">
        <f t="shared" si="58"/>
        <v>0</v>
      </c>
      <c r="Q589" t="e">
        <f>VLOOKUP(C589,Sheet2!A:AU,47,0)</f>
        <v>#N/A</v>
      </c>
      <c r="R589">
        <f t="shared" si="59"/>
        <v>0</v>
      </c>
    </row>
    <row r="590" spans="1:18" x14ac:dyDescent="0.3">
      <c r="A590" s="1">
        <v>588</v>
      </c>
      <c r="B590">
        <v>0</v>
      </c>
      <c r="C590" t="s">
        <v>647</v>
      </c>
      <c r="D590" t="s">
        <v>172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f t="shared" si="54"/>
        <v>0.4</v>
      </c>
      <c r="M590">
        <f t="shared" si="55"/>
        <v>0</v>
      </c>
      <c r="N590">
        <f t="shared" si="56"/>
        <v>0</v>
      </c>
      <c r="O590">
        <f t="shared" si="57"/>
        <v>0</v>
      </c>
      <c r="P590">
        <f t="shared" si="58"/>
        <v>0</v>
      </c>
      <c r="Q590" t="e">
        <f>VLOOKUP(C590,Sheet2!A:AU,47,0)</f>
        <v>#N/A</v>
      </c>
      <c r="R590">
        <f t="shared" si="59"/>
        <v>0</v>
      </c>
    </row>
    <row r="591" spans="1:18" x14ac:dyDescent="0.3">
      <c r="A591" s="1">
        <v>589</v>
      </c>
      <c r="B591">
        <v>0</v>
      </c>
      <c r="C591" t="s">
        <v>648</v>
      </c>
      <c r="D591" t="s">
        <v>172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f t="shared" si="54"/>
        <v>0.4</v>
      </c>
      <c r="M591">
        <f t="shared" si="55"/>
        <v>0</v>
      </c>
      <c r="N591">
        <f t="shared" si="56"/>
        <v>0</v>
      </c>
      <c r="O591">
        <f t="shared" si="57"/>
        <v>0</v>
      </c>
      <c r="P591">
        <f t="shared" si="58"/>
        <v>0</v>
      </c>
      <c r="Q591" t="e">
        <f>VLOOKUP(C591,Sheet2!A:AU,47,0)</f>
        <v>#N/A</v>
      </c>
      <c r="R591">
        <f t="shared" si="59"/>
        <v>0</v>
      </c>
    </row>
    <row r="592" spans="1:18" x14ac:dyDescent="0.3">
      <c r="A592" s="1">
        <v>590</v>
      </c>
      <c r="B592">
        <v>0</v>
      </c>
      <c r="C592" t="s">
        <v>649</v>
      </c>
      <c r="D592" t="s">
        <v>172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f t="shared" si="54"/>
        <v>0.4</v>
      </c>
      <c r="M592">
        <f t="shared" si="55"/>
        <v>0</v>
      </c>
      <c r="N592">
        <f t="shared" si="56"/>
        <v>0</v>
      </c>
      <c r="O592">
        <f t="shared" si="57"/>
        <v>0</v>
      </c>
      <c r="P592">
        <f t="shared" si="58"/>
        <v>0</v>
      </c>
      <c r="Q592" t="e">
        <f>VLOOKUP(C592,Sheet2!A:AU,47,0)</f>
        <v>#N/A</v>
      </c>
      <c r="R592">
        <f t="shared" si="59"/>
        <v>0</v>
      </c>
    </row>
    <row r="593" spans="1:18" x14ac:dyDescent="0.3">
      <c r="A593" s="1">
        <v>591</v>
      </c>
      <c r="B593">
        <v>0</v>
      </c>
      <c r="C593" t="s">
        <v>650</v>
      </c>
      <c r="D593" t="s">
        <v>172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f t="shared" si="54"/>
        <v>0.4</v>
      </c>
      <c r="M593">
        <f t="shared" si="55"/>
        <v>0</v>
      </c>
      <c r="N593">
        <f t="shared" si="56"/>
        <v>0</v>
      </c>
      <c r="O593">
        <f t="shared" si="57"/>
        <v>0</v>
      </c>
      <c r="P593">
        <f t="shared" si="58"/>
        <v>0</v>
      </c>
      <c r="Q593" t="e">
        <f>VLOOKUP(C593,Sheet2!A:AU,47,0)</f>
        <v>#N/A</v>
      </c>
      <c r="R593">
        <f t="shared" si="59"/>
        <v>0</v>
      </c>
    </row>
    <row r="594" spans="1:18" x14ac:dyDescent="0.3">
      <c r="A594" s="1">
        <v>592</v>
      </c>
      <c r="B594">
        <v>0</v>
      </c>
      <c r="C594" t="s">
        <v>651</v>
      </c>
      <c r="D594" t="s">
        <v>172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f t="shared" si="54"/>
        <v>0.4</v>
      </c>
      <c r="M594">
        <f t="shared" si="55"/>
        <v>0</v>
      </c>
      <c r="N594">
        <f t="shared" si="56"/>
        <v>0</v>
      </c>
      <c r="O594">
        <f t="shared" si="57"/>
        <v>0</v>
      </c>
      <c r="P594">
        <f t="shared" si="58"/>
        <v>0</v>
      </c>
      <c r="Q594" t="e">
        <f>VLOOKUP(C594,Sheet2!A:AU,47,0)</f>
        <v>#N/A</v>
      </c>
      <c r="R594">
        <f t="shared" si="59"/>
        <v>0</v>
      </c>
    </row>
    <row r="595" spans="1:18" x14ac:dyDescent="0.3">
      <c r="A595" s="1">
        <v>593</v>
      </c>
      <c r="B595">
        <v>0</v>
      </c>
      <c r="C595" t="s">
        <v>652</v>
      </c>
      <c r="D595" t="s">
        <v>210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f t="shared" si="54"/>
        <v>0.4</v>
      </c>
      <c r="M595">
        <f t="shared" si="55"/>
        <v>0</v>
      </c>
      <c r="N595">
        <f t="shared" si="56"/>
        <v>0</v>
      </c>
      <c r="O595">
        <f t="shared" si="57"/>
        <v>0</v>
      </c>
      <c r="P595">
        <f t="shared" si="58"/>
        <v>0</v>
      </c>
      <c r="Q595" t="e">
        <f>VLOOKUP(C595,Sheet2!A:AU,47,0)</f>
        <v>#N/A</v>
      </c>
      <c r="R595">
        <f t="shared" si="59"/>
        <v>0</v>
      </c>
    </row>
    <row r="596" spans="1:18" x14ac:dyDescent="0.3">
      <c r="A596" s="1">
        <v>594</v>
      </c>
      <c r="B596">
        <v>0</v>
      </c>
      <c r="C596" t="s">
        <v>653</v>
      </c>
      <c r="D596" t="s">
        <v>210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f t="shared" si="54"/>
        <v>0.4</v>
      </c>
      <c r="M596">
        <f t="shared" si="55"/>
        <v>0</v>
      </c>
      <c r="N596">
        <f t="shared" si="56"/>
        <v>0</v>
      </c>
      <c r="O596">
        <f t="shared" si="57"/>
        <v>0</v>
      </c>
      <c r="P596">
        <f t="shared" si="58"/>
        <v>0</v>
      </c>
      <c r="Q596" t="e">
        <f>VLOOKUP(C596,Sheet2!A:AU,47,0)</f>
        <v>#N/A</v>
      </c>
      <c r="R596">
        <f t="shared" si="59"/>
        <v>0</v>
      </c>
    </row>
    <row r="597" spans="1:18" x14ac:dyDescent="0.3">
      <c r="A597" s="1">
        <v>595</v>
      </c>
      <c r="B597">
        <v>0</v>
      </c>
      <c r="C597" t="s">
        <v>654</v>
      </c>
      <c r="D597" t="s">
        <v>210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f t="shared" si="54"/>
        <v>0.4</v>
      </c>
      <c r="M597">
        <f t="shared" si="55"/>
        <v>0</v>
      </c>
      <c r="N597">
        <f t="shared" si="56"/>
        <v>0</v>
      </c>
      <c r="O597">
        <f t="shared" si="57"/>
        <v>0</v>
      </c>
      <c r="P597">
        <f t="shared" si="58"/>
        <v>0</v>
      </c>
      <c r="Q597" t="e">
        <f>VLOOKUP(C597,Sheet2!A:AU,47,0)</f>
        <v>#N/A</v>
      </c>
      <c r="R597">
        <f t="shared" si="59"/>
        <v>0</v>
      </c>
    </row>
    <row r="598" spans="1:18" x14ac:dyDescent="0.3">
      <c r="A598" s="1">
        <v>596</v>
      </c>
      <c r="B598">
        <v>0</v>
      </c>
      <c r="C598" t="s">
        <v>655</v>
      </c>
      <c r="D598" t="s">
        <v>210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f t="shared" si="54"/>
        <v>0.4</v>
      </c>
      <c r="M598">
        <f t="shared" si="55"/>
        <v>0</v>
      </c>
      <c r="N598">
        <f t="shared" si="56"/>
        <v>0</v>
      </c>
      <c r="O598">
        <f t="shared" si="57"/>
        <v>0</v>
      </c>
      <c r="P598">
        <f t="shared" si="58"/>
        <v>0</v>
      </c>
      <c r="Q598" t="e">
        <f>VLOOKUP(C598,Sheet2!A:AU,47,0)</f>
        <v>#N/A</v>
      </c>
      <c r="R598">
        <f t="shared" si="59"/>
        <v>0</v>
      </c>
    </row>
    <row r="599" spans="1:18" x14ac:dyDescent="0.3">
      <c r="A599" s="1">
        <v>597</v>
      </c>
      <c r="B599">
        <v>0</v>
      </c>
      <c r="C599" t="s">
        <v>656</v>
      </c>
      <c r="D599" t="s">
        <v>210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f t="shared" si="54"/>
        <v>0.4</v>
      </c>
      <c r="M599">
        <f t="shared" si="55"/>
        <v>0</v>
      </c>
      <c r="N599">
        <f t="shared" si="56"/>
        <v>0</v>
      </c>
      <c r="O599">
        <f t="shared" si="57"/>
        <v>0</v>
      </c>
      <c r="P599">
        <f t="shared" si="58"/>
        <v>0</v>
      </c>
      <c r="Q599" t="e">
        <f>VLOOKUP(C599,Sheet2!A:AU,47,0)</f>
        <v>#N/A</v>
      </c>
      <c r="R599">
        <f t="shared" si="59"/>
        <v>0</v>
      </c>
    </row>
    <row r="600" spans="1:18" x14ac:dyDescent="0.3">
      <c r="A600" s="1">
        <v>598</v>
      </c>
      <c r="B600">
        <v>0</v>
      </c>
      <c r="C600" t="s">
        <v>657</v>
      </c>
      <c r="D600" t="s">
        <v>210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f t="shared" si="54"/>
        <v>0.4</v>
      </c>
      <c r="M600">
        <f t="shared" si="55"/>
        <v>0</v>
      </c>
      <c r="N600">
        <f t="shared" si="56"/>
        <v>0</v>
      </c>
      <c r="O600">
        <f t="shared" si="57"/>
        <v>0</v>
      </c>
      <c r="P600">
        <f t="shared" si="58"/>
        <v>0</v>
      </c>
      <c r="Q600" t="e">
        <f>VLOOKUP(C600,Sheet2!A:AU,47,0)</f>
        <v>#N/A</v>
      </c>
      <c r="R600">
        <f t="shared" si="59"/>
        <v>0</v>
      </c>
    </row>
    <row r="601" spans="1:18" x14ac:dyDescent="0.3">
      <c r="A601" s="1">
        <v>599</v>
      </c>
      <c r="B601">
        <v>0</v>
      </c>
      <c r="C601" t="s">
        <v>658</v>
      </c>
      <c r="D601" t="s">
        <v>72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f t="shared" si="54"/>
        <v>0.4</v>
      </c>
      <c r="M601">
        <f t="shared" si="55"/>
        <v>0</v>
      </c>
      <c r="N601">
        <f t="shared" si="56"/>
        <v>0</v>
      </c>
      <c r="O601">
        <f t="shared" si="57"/>
        <v>0</v>
      </c>
      <c r="P601">
        <f t="shared" si="58"/>
        <v>0</v>
      </c>
      <c r="Q601" t="e">
        <f>VLOOKUP(C601,Sheet2!A:AU,47,0)</f>
        <v>#N/A</v>
      </c>
      <c r="R601">
        <f t="shared" si="59"/>
        <v>0</v>
      </c>
    </row>
    <row r="602" spans="1:18" x14ac:dyDescent="0.3">
      <c r="A602" s="1">
        <v>600</v>
      </c>
      <c r="B602">
        <v>0</v>
      </c>
      <c r="C602" t="s">
        <v>659</v>
      </c>
      <c r="D602" t="s">
        <v>72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f t="shared" si="54"/>
        <v>0.4</v>
      </c>
      <c r="M602">
        <f t="shared" si="55"/>
        <v>0</v>
      </c>
      <c r="N602">
        <f t="shared" si="56"/>
        <v>0</v>
      </c>
      <c r="O602">
        <f t="shared" si="57"/>
        <v>0</v>
      </c>
      <c r="P602">
        <f t="shared" si="58"/>
        <v>0</v>
      </c>
      <c r="Q602" t="e">
        <f>VLOOKUP(C602,Sheet2!A:AU,47,0)</f>
        <v>#N/A</v>
      </c>
      <c r="R602">
        <f t="shared" si="59"/>
        <v>0</v>
      </c>
    </row>
    <row r="603" spans="1:18" x14ac:dyDescent="0.3">
      <c r="A603" s="1">
        <v>601</v>
      </c>
      <c r="B603">
        <v>0</v>
      </c>
      <c r="C603" t="s">
        <v>660</v>
      </c>
      <c r="D603" t="s">
        <v>72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f t="shared" si="54"/>
        <v>0.4</v>
      </c>
      <c r="M603">
        <f t="shared" si="55"/>
        <v>0</v>
      </c>
      <c r="N603">
        <f t="shared" si="56"/>
        <v>0</v>
      </c>
      <c r="O603">
        <f t="shared" si="57"/>
        <v>0</v>
      </c>
      <c r="P603">
        <f t="shared" si="58"/>
        <v>0</v>
      </c>
      <c r="Q603" t="e">
        <f>VLOOKUP(C603,Sheet2!A:AU,47,0)</f>
        <v>#N/A</v>
      </c>
      <c r="R603">
        <f t="shared" si="59"/>
        <v>0</v>
      </c>
    </row>
    <row r="604" spans="1:18" x14ac:dyDescent="0.3">
      <c r="A604" s="1">
        <v>602</v>
      </c>
      <c r="B604">
        <v>0</v>
      </c>
      <c r="C604" t="s">
        <v>661</v>
      </c>
      <c r="D604" t="s">
        <v>72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f t="shared" si="54"/>
        <v>0.4</v>
      </c>
      <c r="M604">
        <f t="shared" si="55"/>
        <v>0</v>
      </c>
      <c r="N604">
        <f t="shared" si="56"/>
        <v>0</v>
      </c>
      <c r="O604">
        <f t="shared" si="57"/>
        <v>0</v>
      </c>
      <c r="P604">
        <f t="shared" si="58"/>
        <v>0</v>
      </c>
      <c r="Q604" t="e">
        <f>VLOOKUP(C604,Sheet2!A:AU,47,0)</f>
        <v>#N/A</v>
      </c>
      <c r="R604">
        <f t="shared" si="59"/>
        <v>0</v>
      </c>
    </row>
    <row r="605" spans="1:18" x14ac:dyDescent="0.3">
      <c r="A605" s="1">
        <v>603</v>
      </c>
      <c r="B605">
        <v>0</v>
      </c>
      <c r="C605" t="s">
        <v>662</v>
      </c>
      <c r="D605" t="s">
        <v>72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f t="shared" si="54"/>
        <v>0.4</v>
      </c>
      <c r="M605">
        <f t="shared" si="55"/>
        <v>0</v>
      </c>
      <c r="N605">
        <f t="shared" si="56"/>
        <v>0</v>
      </c>
      <c r="O605">
        <f t="shared" si="57"/>
        <v>0</v>
      </c>
      <c r="P605">
        <f t="shared" si="58"/>
        <v>0</v>
      </c>
      <c r="Q605" t="e">
        <f>VLOOKUP(C605,Sheet2!A:AU,47,0)</f>
        <v>#N/A</v>
      </c>
      <c r="R605">
        <f t="shared" si="59"/>
        <v>0</v>
      </c>
    </row>
    <row r="606" spans="1:18" x14ac:dyDescent="0.3">
      <c r="A606" s="1">
        <v>604</v>
      </c>
      <c r="B606">
        <v>0</v>
      </c>
      <c r="C606" t="s">
        <v>663</v>
      </c>
      <c r="D606" t="s">
        <v>72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f t="shared" si="54"/>
        <v>0.4</v>
      </c>
      <c r="M606">
        <f t="shared" si="55"/>
        <v>0</v>
      </c>
      <c r="N606">
        <f t="shared" si="56"/>
        <v>0</v>
      </c>
      <c r="O606">
        <f t="shared" si="57"/>
        <v>0</v>
      </c>
      <c r="P606">
        <f t="shared" si="58"/>
        <v>0</v>
      </c>
      <c r="Q606" t="e">
        <f>VLOOKUP(C606,Sheet2!A:AU,47,0)</f>
        <v>#N/A</v>
      </c>
      <c r="R606">
        <f t="shared" si="59"/>
        <v>0</v>
      </c>
    </row>
    <row r="607" spans="1:18" x14ac:dyDescent="0.3">
      <c r="A607" s="1">
        <v>605</v>
      </c>
      <c r="B607">
        <v>0</v>
      </c>
      <c r="C607" t="s">
        <v>664</v>
      </c>
      <c r="D607" t="s">
        <v>72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f t="shared" si="54"/>
        <v>0.4</v>
      </c>
      <c r="M607">
        <f t="shared" si="55"/>
        <v>0</v>
      </c>
      <c r="N607">
        <f t="shared" si="56"/>
        <v>0</v>
      </c>
      <c r="O607">
        <f t="shared" si="57"/>
        <v>0</v>
      </c>
      <c r="P607">
        <f t="shared" si="58"/>
        <v>0</v>
      </c>
      <c r="Q607" t="e">
        <f>VLOOKUP(C607,Sheet2!A:AU,47,0)</f>
        <v>#N/A</v>
      </c>
      <c r="R607">
        <f t="shared" si="59"/>
        <v>0</v>
      </c>
    </row>
    <row r="608" spans="1:18" x14ac:dyDescent="0.3">
      <c r="A608" s="1">
        <v>606</v>
      </c>
      <c r="B608">
        <v>0</v>
      </c>
      <c r="C608" t="s">
        <v>665</v>
      </c>
      <c r="D608" t="s">
        <v>72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f t="shared" si="54"/>
        <v>0.4</v>
      </c>
      <c r="M608">
        <f t="shared" si="55"/>
        <v>0</v>
      </c>
      <c r="N608">
        <f t="shared" si="56"/>
        <v>0</v>
      </c>
      <c r="O608">
        <f t="shared" si="57"/>
        <v>0</v>
      </c>
      <c r="P608">
        <f t="shared" si="58"/>
        <v>0</v>
      </c>
      <c r="Q608" t="e">
        <f>VLOOKUP(C608,Sheet2!A:AU,47,0)</f>
        <v>#N/A</v>
      </c>
      <c r="R608">
        <f t="shared" si="59"/>
        <v>0</v>
      </c>
    </row>
    <row r="609" spans="1:18" x14ac:dyDescent="0.3">
      <c r="A609" s="1">
        <v>607</v>
      </c>
      <c r="B609">
        <v>0</v>
      </c>
      <c r="C609" t="s">
        <v>666</v>
      </c>
      <c r="D609" t="s">
        <v>72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f t="shared" si="54"/>
        <v>0.4</v>
      </c>
      <c r="M609">
        <f t="shared" si="55"/>
        <v>0</v>
      </c>
      <c r="N609">
        <f t="shared" si="56"/>
        <v>0</v>
      </c>
      <c r="O609">
        <f t="shared" si="57"/>
        <v>0</v>
      </c>
      <c r="P609">
        <f t="shared" si="58"/>
        <v>0</v>
      </c>
      <c r="Q609" t="e">
        <f>VLOOKUP(C609,Sheet2!A:AU,47,0)</f>
        <v>#N/A</v>
      </c>
      <c r="R609">
        <f t="shared" si="59"/>
        <v>0</v>
      </c>
    </row>
    <row r="610" spans="1:18" x14ac:dyDescent="0.3">
      <c r="A610" s="1">
        <v>608</v>
      </c>
      <c r="B610">
        <v>0</v>
      </c>
      <c r="C610" t="s">
        <v>667</v>
      </c>
      <c r="D610" t="s">
        <v>11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f t="shared" si="54"/>
        <v>0.4</v>
      </c>
      <c r="M610">
        <f t="shared" si="55"/>
        <v>0</v>
      </c>
      <c r="N610">
        <f t="shared" si="56"/>
        <v>0</v>
      </c>
      <c r="O610">
        <f t="shared" si="57"/>
        <v>0</v>
      </c>
      <c r="P610">
        <f t="shared" si="58"/>
        <v>0</v>
      </c>
      <c r="Q610" t="e">
        <f>VLOOKUP(C610,Sheet2!A:AU,47,0)</f>
        <v>#N/A</v>
      </c>
      <c r="R610">
        <f t="shared" si="59"/>
        <v>0</v>
      </c>
    </row>
    <row r="611" spans="1:18" x14ac:dyDescent="0.3">
      <c r="A611" s="1">
        <v>609</v>
      </c>
      <c r="B611">
        <v>0</v>
      </c>
      <c r="C611" t="s">
        <v>668</v>
      </c>
      <c r="D611" t="s">
        <v>11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f t="shared" si="54"/>
        <v>0.4</v>
      </c>
      <c r="M611">
        <f t="shared" si="55"/>
        <v>0</v>
      </c>
      <c r="N611">
        <f t="shared" si="56"/>
        <v>0</v>
      </c>
      <c r="O611">
        <f t="shared" si="57"/>
        <v>0</v>
      </c>
      <c r="P611">
        <f t="shared" si="58"/>
        <v>0</v>
      </c>
      <c r="Q611" t="e">
        <f>VLOOKUP(C611,Sheet2!A:AU,47,0)</f>
        <v>#N/A</v>
      </c>
      <c r="R611">
        <f t="shared" si="59"/>
        <v>0</v>
      </c>
    </row>
    <row r="612" spans="1:18" x14ac:dyDescent="0.3">
      <c r="A612" s="1">
        <v>610</v>
      </c>
      <c r="B612">
        <v>0</v>
      </c>
      <c r="C612" t="s">
        <v>669</v>
      </c>
      <c r="D612" t="s">
        <v>14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f t="shared" si="54"/>
        <v>0.4</v>
      </c>
      <c r="M612">
        <f t="shared" si="55"/>
        <v>0</v>
      </c>
      <c r="N612">
        <f t="shared" si="56"/>
        <v>0</v>
      </c>
      <c r="O612">
        <f t="shared" si="57"/>
        <v>0</v>
      </c>
      <c r="P612">
        <f t="shared" si="58"/>
        <v>0</v>
      </c>
      <c r="Q612" t="e">
        <f>VLOOKUP(C612,Sheet2!A:AU,47,0)</f>
        <v>#N/A</v>
      </c>
      <c r="R612">
        <f t="shared" si="59"/>
        <v>0</v>
      </c>
    </row>
    <row r="613" spans="1:18" x14ac:dyDescent="0.3">
      <c r="A613" s="1">
        <v>611</v>
      </c>
      <c r="B613">
        <v>0</v>
      </c>
      <c r="C613" t="s">
        <v>670</v>
      </c>
      <c r="D613" t="s">
        <v>148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f t="shared" si="54"/>
        <v>0.4</v>
      </c>
      <c r="M613">
        <f t="shared" si="55"/>
        <v>0</v>
      </c>
      <c r="N613">
        <f t="shared" si="56"/>
        <v>0</v>
      </c>
      <c r="O613">
        <f t="shared" si="57"/>
        <v>0</v>
      </c>
      <c r="P613">
        <f t="shared" si="58"/>
        <v>0</v>
      </c>
      <c r="Q613" t="e">
        <f>VLOOKUP(C613,Sheet2!A:AU,47,0)</f>
        <v>#N/A</v>
      </c>
      <c r="R613">
        <f t="shared" si="59"/>
        <v>0</v>
      </c>
    </row>
    <row r="614" spans="1:18" x14ac:dyDescent="0.3">
      <c r="A614" s="1">
        <v>612</v>
      </c>
      <c r="B614">
        <v>0</v>
      </c>
      <c r="C614" t="s">
        <v>671</v>
      </c>
      <c r="D614" t="s">
        <v>148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f t="shared" si="54"/>
        <v>0.4</v>
      </c>
      <c r="M614">
        <f t="shared" si="55"/>
        <v>0</v>
      </c>
      <c r="N614">
        <f t="shared" si="56"/>
        <v>0</v>
      </c>
      <c r="O614">
        <f t="shared" si="57"/>
        <v>0</v>
      </c>
      <c r="P614">
        <f t="shared" si="58"/>
        <v>0</v>
      </c>
      <c r="Q614" t="e">
        <f>VLOOKUP(C614,Sheet2!A:AU,47,0)</f>
        <v>#N/A</v>
      </c>
      <c r="R614">
        <f t="shared" si="59"/>
        <v>0</v>
      </c>
    </row>
    <row r="615" spans="1:18" x14ac:dyDescent="0.3">
      <c r="A615" s="1">
        <v>613</v>
      </c>
      <c r="B615">
        <v>0</v>
      </c>
      <c r="C615" t="s">
        <v>672</v>
      </c>
      <c r="D615" t="s">
        <v>148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f t="shared" si="54"/>
        <v>0.4</v>
      </c>
      <c r="M615">
        <f t="shared" si="55"/>
        <v>0</v>
      </c>
      <c r="N615">
        <f t="shared" si="56"/>
        <v>0</v>
      </c>
      <c r="O615">
        <f t="shared" si="57"/>
        <v>0</v>
      </c>
      <c r="P615">
        <f t="shared" si="58"/>
        <v>0</v>
      </c>
      <c r="Q615" t="e">
        <f>VLOOKUP(C615,Sheet2!A:AU,47,0)</f>
        <v>#N/A</v>
      </c>
      <c r="R615">
        <f t="shared" si="59"/>
        <v>0</v>
      </c>
    </row>
    <row r="616" spans="1:18" x14ac:dyDescent="0.3">
      <c r="A616" s="1">
        <v>614</v>
      </c>
      <c r="B616">
        <v>0</v>
      </c>
      <c r="C616" t="s">
        <v>673</v>
      </c>
      <c r="D616" t="s">
        <v>148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f t="shared" si="54"/>
        <v>0.4</v>
      </c>
      <c r="M616">
        <f t="shared" si="55"/>
        <v>0</v>
      </c>
      <c r="N616">
        <f t="shared" si="56"/>
        <v>0</v>
      </c>
      <c r="O616">
        <f t="shared" si="57"/>
        <v>0</v>
      </c>
      <c r="P616">
        <f t="shared" si="58"/>
        <v>0</v>
      </c>
      <c r="Q616" t="e">
        <f>VLOOKUP(C616,Sheet2!A:AU,47,0)</f>
        <v>#N/A</v>
      </c>
      <c r="R616">
        <f t="shared" si="59"/>
        <v>0</v>
      </c>
    </row>
    <row r="617" spans="1:18" x14ac:dyDescent="0.3">
      <c r="A617" s="1">
        <v>615</v>
      </c>
      <c r="B617">
        <v>0</v>
      </c>
      <c r="C617" t="s">
        <v>674</v>
      </c>
      <c r="D617" t="s">
        <v>148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f t="shared" si="54"/>
        <v>0.4</v>
      </c>
      <c r="M617">
        <f t="shared" si="55"/>
        <v>0</v>
      </c>
      <c r="N617">
        <f t="shared" si="56"/>
        <v>0</v>
      </c>
      <c r="O617">
        <f t="shared" si="57"/>
        <v>0</v>
      </c>
      <c r="P617">
        <f t="shared" si="58"/>
        <v>0</v>
      </c>
      <c r="Q617" t="e">
        <f>VLOOKUP(C617,Sheet2!A:AU,47,0)</f>
        <v>#N/A</v>
      </c>
      <c r="R617">
        <f t="shared" si="59"/>
        <v>0</v>
      </c>
    </row>
    <row r="618" spans="1:18" x14ac:dyDescent="0.3">
      <c r="A618" s="1">
        <v>616</v>
      </c>
      <c r="B618">
        <v>0</v>
      </c>
      <c r="C618" t="s">
        <v>675</v>
      </c>
      <c r="D618" t="s">
        <v>148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f t="shared" si="54"/>
        <v>0.4</v>
      </c>
      <c r="M618">
        <f t="shared" si="55"/>
        <v>0</v>
      </c>
      <c r="N618">
        <f t="shared" si="56"/>
        <v>0</v>
      </c>
      <c r="O618">
        <f t="shared" si="57"/>
        <v>0</v>
      </c>
      <c r="P618">
        <f t="shared" si="58"/>
        <v>0</v>
      </c>
      <c r="Q618" t="e">
        <f>VLOOKUP(C618,Sheet2!A:AU,47,0)</f>
        <v>#N/A</v>
      </c>
      <c r="R618">
        <f t="shared" si="59"/>
        <v>0</v>
      </c>
    </row>
    <row r="619" spans="1:18" x14ac:dyDescent="0.3">
      <c r="A619" s="1">
        <v>617</v>
      </c>
      <c r="B619">
        <v>0</v>
      </c>
      <c r="C619" t="s">
        <v>676</v>
      </c>
      <c r="D619" t="s">
        <v>148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f t="shared" si="54"/>
        <v>0.4</v>
      </c>
      <c r="M619">
        <f t="shared" si="55"/>
        <v>0</v>
      </c>
      <c r="N619">
        <f t="shared" si="56"/>
        <v>0</v>
      </c>
      <c r="O619">
        <f t="shared" si="57"/>
        <v>0</v>
      </c>
      <c r="P619">
        <f t="shared" si="58"/>
        <v>0</v>
      </c>
      <c r="Q619" t="e">
        <f>VLOOKUP(C619,Sheet2!A:AU,47,0)</f>
        <v>#N/A</v>
      </c>
      <c r="R619">
        <f t="shared" si="59"/>
        <v>0</v>
      </c>
    </row>
    <row r="620" spans="1:18" x14ac:dyDescent="0.3">
      <c r="A620" s="1">
        <v>618</v>
      </c>
      <c r="B620">
        <v>0</v>
      </c>
      <c r="C620" t="s">
        <v>677</v>
      </c>
      <c r="D620" t="s">
        <v>132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f t="shared" si="54"/>
        <v>0.4</v>
      </c>
      <c r="M620">
        <f t="shared" si="55"/>
        <v>0</v>
      </c>
      <c r="N620">
        <f t="shared" si="56"/>
        <v>0</v>
      </c>
      <c r="O620">
        <f t="shared" si="57"/>
        <v>0</v>
      </c>
      <c r="P620">
        <f t="shared" si="58"/>
        <v>0</v>
      </c>
      <c r="Q620" t="e">
        <f>VLOOKUP(C620,Sheet2!A:AU,47,0)</f>
        <v>#N/A</v>
      </c>
      <c r="R620">
        <f t="shared" si="59"/>
        <v>0</v>
      </c>
    </row>
    <row r="621" spans="1:18" x14ac:dyDescent="0.3">
      <c r="A621" s="1">
        <v>619</v>
      </c>
      <c r="B621">
        <v>0</v>
      </c>
      <c r="C621" t="s">
        <v>678</v>
      </c>
      <c r="D621" t="s">
        <v>132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f t="shared" si="54"/>
        <v>0.4</v>
      </c>
      <c r="M621">
        <f t="shared" si="55"/>
        <v>0</v>
      </c>
      <c r="N621">
        <f t="shared" si="56"/>
        <v>0</v>
      </c>
      <c r="O621">
        <f t="shared" si="57"/>
        <v>0</v>
      </c>
      <c r="P621">
        <f t="shared" si="58"/>
        <v>0</v>
      </c>
      <c r="Q621" t="e">
        <f>VLOOKUP(C621,Sheet2!A:AU,47,0)</f>
        <v>#N/A</v>
      </c>
      <c r="R621">
        <f t="shared" si="59"/>
        <v>0</v>
      </c>
    </row>
    <row r="622" spans="1:18" x14ac:dyDescent="0.3">
      <c r="A622" s="1">
        <v>620</v>
      </c>
      <c r="B622">
        <v>0</v>
      </c>
      <c r="C622" t="s">
        <v>679</v>
      </c>
      <c r="D622" t="s">
        <v>132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f t="shared" si="54"/>
        <v>0.4</v>
      </c>
      <c r="M622">
        <f t="shared" si="55"/>
        <v>0</v>
      </c>
      <c r="N622">
        <f t="shared" si="56"/>
        <v>0</v>
      </c>
      <c r="O622">
        <f t="shared" si="57"/>
        <v>0</v>
      </c>
      <c r="P622">
        <f t="shared" si="58"/>
        <v>0</v>
      </c>
      <c r="Q622" t="e">
        <f>VLOOKUP(C622,Sheet2!A:AU,47,0)</f>
        <v>#N/A</v>
      </c>
      <c r="R622">
        <f t="shared" si="59"/>
        <v>0</v>
      </c>
    </row>
    <row r="623" spans="1:18" x14ac:dyDescent="0.3">
      <c r="A623" s="1">
        <v>621</v>
      </c>
      <c r="B623">
        <v>0</v>
      </c>
      <c r="C623" t="s">
        <v>680</v>
      </c>
      <c r="D623" t="s">
        <v>132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f t="shared" si="54"/>
        <v>0.4</v>
      </c>
      <c r="M623">
        <f t="shared" si="55"/>
        <v>0</v>
      </c>
      <c r="N623">
        <f t="shared" si="56"/>
        <v>0</v>
      </c>
      <c r="O623">
        <f t="shared" si="57"/>
        <v>0</v>
      </c>
      <c r="P623">
        <f t="shared" si="58"/>
        <v>0</v>
      </c>
      <c r="Q623" t="e">
        <f>VLOOKUP(C623,Sheet2!A:AU,47,0)</f>
        <v>#N/A</v>
      </c>
      <c r="R623">
        <f t="shared" si="59"/>
        <v>0</v>
      </c>
    </row>
    <row r="624" spans="1:18" x14ac:dyDescent="0.3">
      <c r="A624" s="1">
        <v>622</v>
      </c>
      <c r="B624">
        <v>0</v>
      </c>
      <c r="C624" t="s">
        <v>681</v>
      </c>
      <c r="D624" t="s">
        <v>124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f t="shared" si="54"/>
        <v>0.4</v>
      </c>
      <c r="M624">
        <f t="shared" si="55"/>
        <v>0</v>
      </c>
      <c r="N624">
        <f t="shared" si="56"/>
        <v>0</v>
      </c>
      <c r="O624">
        <f t="shared" si="57"/>
        <v>0</v>
      </c>
      <c r="P624">
        <f t="shared" si="58"/>
        <v>0</v>
      </c>
      <c r="Q624" t="e">
        <f>VLOOKUP(C624,Sheet2!A:AU,47,0)</f>
        <v>#N/A</v>
      </c>
      <c r="R624">
        <f t="shared" si="59"/>
        <v>0</v>
      </c>
    </row>
    <row r="625" spans="1:18" x14ac:dyDescent="0.3">
      <c r="A625" s="1">
        <v>623</v>
      </c>
      <c r="B625">
        <v>0</v>
      </c>
      <c r="C625" t="s">
        <v>682</v>
      </c>
      <c r="D625" t="s">
        <v>124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f t="shared" si="54"/>
        <v>0.4</v>
      </c>
      <c r="M625">
        <f t="shared" si="55"/>
        <v>0</v>
      </c>
      <c r="N625">
        <f t="shared" si="56"/>
        <v>0</v>
      </c>
      <c r="O625">
        <f t="shared" si="57"/>
        <v>0</v>
      </c>
      <c r="P625">
        <f t="shared" si="58"/>
        <v>0</v>
      </c>
      <c r="Q625" t="e">
        <f>VLOOKUP(C625,Sheet2!A:AU,47,0)</f>
        <v>#N/A</v>
      </c>
      <c r="R625">
        <f t="shared" si="59"/>
        <v>0</v>
      </c>
    </row>
    <row r="626" spans="1:18" x14ac:dyDescent="0.3">
      <c r="A626" s="1">
        <v>624</v>
      </c>
      <c r="B626">
        <v>0</v>
      </c>
      <c r="C626" t="s">
        <v>683</v>
      </c>
      <c r="D626" t="s">
        <v>124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f t="shared" si="54"/>
        <v>0.4</v>
      </c>
      <c r="M626">
        <f t="shared" si="55"/>
        <v>0</v>
      </c>
      <c r="N626">
        <f t="shared" si="56"/>
        <v>0</v>
      </c>
      <c r="O626">
        <f t="shared" si="57"/>
        <v>0</v>
      </c>
      <c r="P626">
        <f t="shared" si="58"/>
        <v>0</v>
      </c>
      <c r="Q626" t="e">
        <f>VLOOKUP(C626,Sheet2!A:AU,47,0)</f>
        <v>#N/A</v>
      </c>
      <c r="R626">
        <f t="shared" si="59"/>
        <v>0</v>
      </c>
    </row>
    <row r="627" spans="1:18" x14ac:dyDescent="0.3">
      <c r="A627" s="1">
        <v>625</v>
      </c>
      <c r="B627">
        <v>0</v>
      </c>
      <c r="C627" t="s">
        <v>684</v>
      </c>
      <c r="D627" t="s">
        <v>124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f t="shared" si="54"/>
        <v>0.4</v>
      </c>
      <c r="M627">
        <f t="shared" si="55"/>
        <v>0</v>
      </c>
      <c r="N627">
        <f t="shared" si="56"/>
        <v>0</v>
      </c>
      <c r="O627">
        <f t="shared" si="57"/>
        <v>0</v>
      </c>
      <c r="P627">
        <f t="shared" si="58"/>
        <v>0</v>
      </c>
      <c r="Q627" t="e">
        <f>VLOOKUP(C627,Sheet2!A:AU,47,0)</f>
        <v>#N/A</v>
      </c>
      <c r="R627">
        <f t="shared" si="59"/>
        <v>0</v>
      </c>
    </row>
    <row r="628" spans="1:18" x14ac:dyDescent="0.3">
      <c r="A628" s="1">
        <v>626</v>
      </c>
      <c r="B628">
        <v>0</v>
      </c>
      <c r="C628" t="s">
        <v>685</v>
      </c>
      <c r="D628" t="s">
        <v>124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f t="shared" si="54"/>
        <v>0.4</v>
      </c>
      <c r="M628">
        <f t="shared" si="55"/>
        <v>0</v>
      </c>
      <c r="N628">
        <f t="shared" si="56"/>
        <v>0</v>
      </c>
      <c r="O628">
        <f t="shared" si="57"/>
        <v>0</v>
      </c>
      <c r="P628">
        <f t="shared" si="58"/>
        <v>0</v>
      </c>
      <c r="Q628" t="e">
        <f>VLOOKUP(C628,Sheet2!A:AU,47,0)</f>
        <v>#N/A</v>
      </c>
      <c r="R628">
        <f t="shared" si="59"/>
        <v>0</v>
      </c>
    </row>
    <row r="629" spans="1:18" x14ac:dyDescent="0.3">
      <c r="A629" s="1">
        <v>627</v>
      </c>
      <c r="B629">
        <v>0</v>
      </c>
      <c r="C629" t="s">
        <v>686</v>
      </c>
      <c r="D629" t="s">
        <v>124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f t="shared" si="54"/>
        <v>0.4</v>
      </c>
      <c r="M629">
        <f t="shared" si="55"/>
        <v>0</v>
      </c>
      <c r="N629">
        <f t="shared" si="56"/>
        <v>0</v>
      </c>
      <c r="O629">
        <f t="shared" si="57"/>
        <v>0</v>
      </c>
      <c r="P629">
        <f t="shared" si="58"/>
        <v>0</v>
      </c>
      <c r="Q629" t="e">
        <f>VLOOKUP(C629,Sheet2!A:AU,47,0)</f>
        <v>#N/A</v>
      </c>
      <c r="R629">
        <f t="shared" si="59"/>
        <v>0</v>
      </c>
    </row>
    <row r="630" spans="1:18" x14ac:dyDescent="0.3">
      <c r="A630" s="1">
        <v>628</v>
      </c>
      <c r="B630">
        <v>0</v>
      </c>
      <c r="C630" t="s">
        <v>687</v>
      </c>
      <c r="D630" t="s">
        <v>225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f t="shared" si="54"/>
        <v>0.4</v>
      </c>
      <c r="M630">
        <f t="shared" si="55"/>
        <v>0</v>
      </c>
      <c r="N630">
        <f t="shared" si="56"/>
        <v>0</v>
      </c>
      <c r="O630">
        <f t="shared" si="57"/>
        <v>0</v>
      </c>
      <c r="P630">
        <f t="shared" si="58"/>
        <v>0</v>
      </c>
      <c r="Q630" t="e">
        <f>VLOOKUP(C630,Sheet2!A:AU,47,0)</f>
        <v>#N/A</v>
      </c>
      <c r="R630">
        <f t="shared" si="59"/>
        <v>0</v>
      </c>
    </row>
    <row r="631" spans="1:18" x14ac:dyDescent="0.3">
      <c r="A631" s="1">
        <v>629</v>
      </c>
      <c r="B631">
        <v>0</v>
      </c>
      <c r="C631" t="s">
        <v>688</v>
      </c>
      <c r="D631" t="s">
        <v>225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f t="shared" si="54"/>
        <v>0.4</v>
      </c>
      <c r="M631">
        <f t="shared" si="55"/>
        <v>0</v>
      </c>
      <c r="N631">
        <f t="shared" si="56"/>
        <v>0</v>
      </c>
      <c r="O631">
        <f t="shared" si="57"/>
        <v>0</v>
      </c>
      <c r="P631">
        <f t="shared" si="58"/>
        <v>0</v>
      </c>
      <c r="Q631" t="e">
        <f>VLOOKUP(C631,Sheet2!A:AU,47,0)</f>
        <v>#N/A</v>
      </c>
      <c r="R631">
        <f t="shared" si="59"/>
        <v>0</v>
      </c>
    </row>
    <row r="632" spans="1:18" x14ac:dyDescent="0.3">
      <c r="A632" s="1">
        <v>630</v>
      </c>
      <c r="B632">
        <v>0</v>
      </c>
      <c r="C632" t="s">
        <v>689</v>
      </c>
      <c r="D632" t="s">
        <v>225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f t="shared" si="54"/>
        <v>0.4</v>
      </c>
      <c r="M632">
        <f t="shared" si="55"/>
        <v>0</v>
      </c>
      <c r="N632">
        <f t="shared" si="56"/>
        <v>0</v>
      </c>
      <c r="O632">
        <f t="shared" si="57"/>
        <v>0</v>
      </c>
      <c r="P632">
        <f t="shared" si="58"/>
        <v>0</v>
      </c>
      <c r="Q632" t="e">
        <f>VLOOKUP(C632,Sheet2!A:AU,47,0)</f>
        <v>#N/A</v>
      </c>
      <c r="R632">
        <f t="shared" si="59"/>
        <v>0</v>
      </c>
    </row>
    <row r="633" spans="1:18" x14ac:dyDescent="0.3">
      <c r="A633" s="1">
        <v>631</v>
      </c>
      <c r="B633">
        <v>0</v>
      </c>
      <c r="C633" t="s">
        <v>690</v>
      </c>
      <c r="D633" t="s">
        <v>225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f t="shared" si="54"/>
        <v>0.4</v>
      </c>
      <c r="M633">
        <f t="shared" si="55"/>
        <v>0</v>
      </c>
      <c r="N633">
        <f t="shared" si="56"/>
        <v>0</v>
      </c>
      <c r="O633">
        <f t="shared" si="57"/>
        <v>0</v>
      </c>
      <c r="P633">
        <f t="shared" si="58"/>
        <v>0</v>
      </c>
      <c r="Q633" t="e">
        <f>VLOOKUP(C633,Sheet2!A:AU,47,0)</f>
        <v>#N/A</v>
      </c>
      <c r="R633">
        <f t="shared" si="59"/>
        <v>0</v>
      </c>
    </row>
    <row r="634" spans="1:18" x14ac:dyDescent="0.3">
      <c r="A634" s="1">
        <v>632</v>
      </c>
      <c r="B634">
        <v>0</v>
      </c>
      <c r="C634" t="s">
        <v>691</v>
      </c>
      <c r="D634" t="s">
        <v>225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f t="shared" si="54"/>
        <v>0.4</v>
      </c>
      <c r="M634">
        <f t="shared" si="55"/>
        <v>0</v>
      </c>
      <c r="N634">
        <f t="shared" si="56"/>
        <v>0</v>
      </c>
      <c r="O634">
        <f t="shared" si="57"/>
        <v>0</v>
      </c>
      <c r="P634">
        <f t="shared" si="58"/>
        <v>0</v>
      </c>
      <c r="Q634" t="e">
        <f>VLOOKUP(C634,Sheet2!A:AU,47,0)</f>
        <v>#N/A</v>
      </c>
      <c r="R634">
        <f t="shared" si="59"/>
        <v>0</v>
      </c>
    </row>
    <row r="635" spans="1:18" x14ac:dyDescent="0.3">
      <c r="A635" s="1">
        <v>633</v>
      </c>
      <c r="B635">
        <v>0</v>
      </c>
      <c r="C635" t="s">
        <v>692</v>
      </c>
      <c r="D635" t="s">
        <v>225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f t="shared" si="54"/>
        <v>0.4</v>
      </c>
      <c r="M635">
        <f t="shared" si="55"/>
        <v>0</v>
      </c>
      <c r="N635">
        <f t="shared" si="56"/>
        <v>0</v>
      </c>
      <c r="O635">
        <f t="shared" si="57"/>
        <v>0</v>
      </c>
      <c r="P635">
        <f t="shared" si="58"/>
        <v>0</v>
      </c>
      <c r="Q635" t="e">
        <f>VLOOKUP(C635,Sheet2!A:AU,47,0)</f>
        <v>#N/A</v>
      </c>
      <c r="R635">
        <f t="shared" si="59"/>
        <v>0</v>
      </c>
    </row>
    <row r="636" spans="1:18" x14ac:dyDescent="0.3">
      <c r="A636" s="1">
        <v>634</v>
      </c>
      <c r="B636">
        <v>0</v>
      </c>
      <c r="C636" t="s">
        <v>693</v>
      </c>
      <c r="D636" t="s">
        <v>225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f t="shared" si="54"/>
        <v>0.4</v>
      </c>
      <c r="M636">
        <f t="shared" si="55"/>
        <v>0</v>
      </c>
      <c r="N636">
        <f t="shared" si="56"/>
        <v>0</v>
      </c>
      <c r="O636">
        <f t="shared" si="57"/>
        <v>0</v>
      </c>
      <c r="P636">
        <f t="shared" si="58"/>
        <v>0</v>
      </c>
      <c r="Q636" t="e">
        <f>VLOOKUP(C636,Sheet2!A:AU,47,0)</f>
        <v>#N/A</v>
      </c>
      <c r="R636">
        <f t="shared" si="59"/>
        <v>0</v>
      </c>
    </row>
    <row r="637" spans="1:18" x14ac:dyDescent="0.3">
      <c r="A637" s="1">
        <v>635</v>
      </c>
      <c r="B637">
        <v>0</v>
      </c>
      <c r="C637" t="s">
        <v>694</v>
      </c>
      <c r="D637" t="s">
        <v>225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f t="shared" si="54"/>
        <v>0.4</v>
      </c>
      <c r="M637">
        <f t="shared" si="55"/>
        <v>0</v>
      </c>
      <c r="N637">
        <f t="shared" si="56"/>
        <v>0</v>
      </c>
      <c r="O637">
        <f t="shared" si="57"/>
        <v>0</v>
      </c>
      <c r="P637">
        <f t="shared" si="58"/>
        <v>0</v>
      </c>
      <c r="Q637" t="e">
        <f>VLOOKUP(C637,Sheet2!A:AU,47,0)</f>
        <v>#N/A</v>
      </c>
      <c r="R637">
        <f t="shared" si="59"/>
        <v>0</v>
      </c>
    </row>
    <row r="638" spans="1:18" x14ac:dyDescent="0.3">
      <c r="A638" s="1">
        <v>636</v>
      </c>
      <c r="B638">
        <v>0</v>
      </c>
      <c r="C638" t="s">
        <v>695</v>
      </c>
      <c r="D638" t="s">
        <v>225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f t="shared" si="54"/>
        <v>0.4</v>
      </c>
      <c r="M638">
        <f t="shared" si="55"/>
        <v>0</v>
      </c>
      <c r="N638">
        <f t="shared" si="56"/>
        <v>0</v>
      </c>
      <c r="O638">
        <f t="shared" si="57"/>
        <v>0</v>
      </c>
      <c r="P638">
        <f t="shared" si="58"/>
        <v>0</v>
      </c>
      <c r="Q638" t="e">
        <f>VLOOKUP(C638,Sheet2!A:AU,47,0)</f>
        <v>#N/A</v>
      </c>
      <c r="R638">
        <f t="shared" si="59"/>
        <v>0</v>
      </c>
    </row>
    <row r="639" spans="1:18" x14ac:dyDescent="0.3">
      <c r="A639" s="1">
        <v>637</v>
      </c>
      <c r="B639">
        <v>0</v>
      </c>
      <c r="C639" t="s">
        <v>696</v>
      </c>
      <c r="D639" t="s">
        <v>225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f t="shared" si="54"/>
        <v>0.4</v>
      </c>
      <c r="M639">
        <f t="shared" si="55"/>
        <v>0</v>
      </c>
      <c r="N639">
        <f t="shared" si="56"/>
        <v>0</v>
      </c>
      <c r="O639">
        <f t="shared" si="57"/>
        <v>0</v>
      </c>
      <c r="P639">
        <f t="shared" si="58"/>
        <v>0</v>
      </c>
      <c r="Q639" t="e">
        <f>VLOOKUP(C639,Sheet2!A:AU,47,0)</f>
        <v>#N/A</v>
      </c>
      <c r="R639">
        <f t="shared" si="59"/>
        <v>0</v>
      </c>
    </row>
    <row r="640" spans="1:18" x14ac:dyDescent="0.3">
      <c r="A640" s="1">
        <v>638</v>
      </c>
      <c r="B640">
        <v>0</v>
      </c>
      <c r="C640" t="s">
        <v>697</v>
      </c>
      <c r="D640" t="s">
        <v>225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f t="shared" si="54"/>
        <v>0.4</v>
      </c>
      <c r="M640">
        <f t="shared" si="55"/>
        <v>0</v>
      </c>
      <c r="N640">
        <f t="shared" si="56"/>
        <v>0</v>
      </c>
      <c r="O640">
        <f t="shared" si="57"/>
        <v>0</v>
      </c>
      <c r="P640">
        <f t="shared" si="58"/>
        <v>0</v>
      </c>
      <c r="Q640" t="e">
        <f>VLOOKUP(C640,Sheet2!A:AU,47,0)</f>
        <v>#N/A</v>
      </c>
      <c r="R640">
        <f t="shared" si="59"/>
        <v>0</v>
      </c>
    </row>
    <row r="641" spans="1:18" x14ac:dyDescent="0.3">
      <c r="A641" s="1">
        <v>639</v>
      </c>
      <c r="B641">
        <v>0</v>
      </c>
      <c r="C641" t="s">
        <v>698</v>
      </c>
      <c r="D641" t="s">
        <v>225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f t="shared" si="54"/>
        <v>0.4</v>
      </c>
      <c r="M641">
        <f t="shared" si="55"/>
        <v>0</v>
      </c>
      <c r="N641">
        <f t="shared" si="56"/>
        <v>0</v>
      </c>
      <c r="O641">
        <f t="shared" si="57"/>
        <v>0</v>
      </c>
      <c r="P641">
        <f t="shared" si="58"/>
        <v>0</v>
      </c>
      <c r="Q641" t="e">
        <f>VLOOKUP(C641,Sheet2!A:AU,47,0)</f>
        <v>#N/A</v>
      </c>
      <c r="R641">
        <f t="shared" si="59"/>
        <v>0</v>
      </c>
    </row>
    <row r="642" spans="1:18" x14ac:dyDescent="0.3">
      <c r="A642" s="1">
        <v>640</v>
      </c>
      <c r="B642">
        <v>0</v>
      </c>
      <c r="C642" t="s">
        <v>699</v>
      </c>
      <c r="D642" t="s">
        <v>225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f t="shared" si="54"/>
        <v>0.4</v>
      </c>
      <c r="M642">
        <f t="shared" si="55"/>
        <v>0</v>
      </c>
      <c r="N642">
        <f t="shared" si="56"/>
        <v>0</v>
      </c>
      <c r="O642">
        <f t="shared" si="57"/>
        <v>0</v>
      </c>
      <c r="P642">
        <f t="shared" si="58"/>
        <v>0</v>
      </c>
      <c r="Q642" t="e">
        <f>VLOOKUP(C642,Sheet2!A:AU,47,0)</f>
        <v>#N/A</v>
      </c>
      <c r="R642">
        <f t="shared" si="59"/>
        <v>0</v>
      </c>
    </row>
    <row r="643" spans="1:18" x14ac:dyDescent="0.3">
      <c r="A643" s="1">
        <v>641</v>
      </c>
      <c r="B643">
        <v>0</v>
      </c>
      <c r="C643" t="s">
        <v>344</v>
      </c>
      <c r="D643" t="s">
        <v>46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f t="shared" ref="L643:L706" si="60">MAX(H:H)</f>
        <v>0.4</v>
      </c>
      <c r="M643">
        <f t="shared" ref="M643:M706" si="61">MIN(H:H)</f>
        <v>0</v>
      </c>
      <c r="N643">
        <f t="shared" ref="N643:N706" si="62">(H643-M643)/(L643-M643)</f>
        <v>0</v>
      </c>
      <c r="O643">
        <f t="shared" ref="O643:O706" si="63">N643*0.0442</f>
        <v>0</v>
      </c>
      <c r="P643">
        <f t="shared" ref="P643:P706" si="64">O643*100</f>
        <v>0</v>
      </c>
      <c r="Q643">
        <f>VLOOKUP(C643,Sheet2!A:AU,47,0)</f>
        <v>4.7841186376506215</v>
      </c>
      <c r="R643">
        <f t="shared" ref="R643:R706" si="65">IFERROR((P643+Q643),0)</f>
        <v>4.7841186376506215</v>
      </c>
    </row>
    <row r="644" spans="1:18" x14ac:dyDescent="0.3">
      <c r="A644" s="1">
        <v>642</v>
      </c>
      <c r="B644">
        <v>0</v>
      </c>
      <c r="C644" t="s">
        <v>135</v>
      </c>
      <c r="D644" t="s">
        <v>46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f t="shared" si="60"/>
        <v>0.4</v>
      </c>
      <c r="M644">
        <f t="shared" si="61"/>
        <v>0</v>
      </c>
      <c r="N644">
        <f t="shared" si="62"/>
        <v>0</v>
      </c>
      <c r="O644">
        <f t="shared" si="63"/>
        <v>0</v>
      </c>
      <c r="P644">
        <f t="shared" si="64"/>
        <v>0</v>
      </c>
      <c r="Q644">
        <f>VLOOKUP(C644,Sheet2!A:AU,47,0)</f>
        <v>1.5675062654934901</v>
      </c>
      <c r="R644">
        <f t="shared" si="65"/>
        <v>1.5675062654934901</v>
      </c>
    </row>
    <row r="645" spans="1:18" x14ac:dyDescent="0.3">
      <c r="A645" s="1">
        <v>643</v>
      </c>
      <c r="B645">
        <v>0</v>
      </c>
      <c r="C645" t="s">
        <v>136</v>
      </c>
      <c r="D645" t="s">
        <v>46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f t="shared" si="60"/>
        <v>0.4</v>
      </c>
      <c r="M645">
        <f t="shared" si="61"/>
        <v>0</v>
      </c>
      <c r="N645">
        <f t="shared" si="62"/>
        <v>0</v>
      </c>
      <c r="O645">
        <f t="shared" si="63"/>
        <v>0</v>
      </c>
      <c r="P645">
        <f t="shared" si="64"/>
        <v>0</v>
      </c>
      <c r="Q645">
        <f>VLOOKUP(C645,Sheet2!A:AU,47,0)</f>
        <v>0.47732525979474993</v>
      </c>
      <c r="R645">
        <f t="shared" si="65"/>
        <v>0.47732525979474993</v>
      </c>
    </row>
    <row r="646" spans="1:18" x14ac:dyDescent="0.3">
      <c r="A646" s="1">
        <v>644</v>
      </c>
      <c r="B646">
        <v>0</v>
      </c>
      <c r="C646" t="s">
        <v>700</v>
      </c>
      <c r="D646" t="s">
        <v>46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f t="shared" si="60"/>
        <v>0.4</v>
      </c>
      <c r="M646">
        <f t="shared" si="61"/>
        <v>0</v>
      </c>
      <c r="N646">
        <f t="shared" si="62"/>
        <v>0</v>
      </c>
      <c r="O646">
        <f t="shared" si="63"/>
        <v>0</v>
      </c>
      <c r="P646">
        <f t="shared" si="64"/>
        <v>0</v>
      </c>
      <c r="Q646" t="e">
        <f>VLOOKUP(C646,Sheet2!A:AU,47,0)</f>
        <v>#N/A</v>
      </c>
      <c r="R646">
        <f t="shared" si="65"/>
        <v>0</v>
      </c>
    </row>
    <row r="647" spans="1:18" x14ac:dyDescent="0.3">
      <c r="A647" s="1">
        <v>645</v>
      </c>
      <c r="B647">
        <v>0</v>
      </c>
      <c r="C647" t="s">
        <v>701</v>
      </c>
      <c r="D647" t="s">
        <v>46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f t="shared" si="60"/>
        <v>0.4</v>
      </c>
      <c r="M647">
        <f t="shared" si="61"/>
        <v>0</v>
      </c>
      <c r="N647">
        <f t="shared" si="62"/>
        <v>0</v>
      </c>
      <c r="O647">
        <f t="shared" si="63"/>
        <v>0</v>
      </c>
      <c r="P647">
        <f t="shared" si="64"/>
        <v>0</v>
      </c>
      <c r="Q647" t="e">
        <f>VLOOKUP(C647,Sheet2!A:AU,47,0)</f>
        <v>#N/A</v>
      </c>
      <c r="R647">
        <f t="shared" si="65"/>
        <v>0</v>
      </c>
    </row>
    <row r="648" spans="1:18" x14ac:dyDescent="0.3">
      <c r="A648" s="1">
        <v>646</v>
      </c>
      <c r="B648">
        <v>0</v>
      </c>
      <c r="C648" t="s">
        <v>702</v>
      </c>
      <c r="D648" t="s">
        <v>46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f t="shared" si="60"/>
        <v>0.4</v>
      </c>
      <c r="M648">
        <f t="shared" si="61"/>
        <v>0</v>
      </c>
      <c r="N648">
        <f t="shared" si="62"/>
        <v>0</v>
      </c>
      <c r="O648">
        <f t="shared" si="63"/>
        <v>0</v>
      </c>
      <c r="P648">
        <f t="shared" si="64"/>
        <v>0</v>
      </c>
      <c r="Q648" t="e">
        <f>VLOOKUP(C648,Sheet2!A:AU,47,0)</f>
        <v>#N/A</v>
      </c>
      <c r="R648">
        <f t="shared" si="65"/>
        <v>0</v>
      </c>
    </row>
    <row r="649" spans="1:18" x14ac:dyDescent="0.3">
      <c r="A649" s="1">
        <v>647</v>
      </c>
      <c r="B649">
        <v>0</v>
      </c>
      <c r="C649" t="s">
        <v>703</v>
      </c>
      <c r="D649" t="s">
        <v>46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f t="shared" si="60"/>
        <v>0.4</v>
      </c>
      <c r="M649">
        <f t="shared" si="61"/>
        <v>0</v>
      </c>
      <c r="N649">
        <f t="shared" si="62"/>
        <v>0</v>
      </c>
      <c r="O649">
        <f t="shared" si="63"/>
        <v>0</v>
      </c>
      <c r="P649">
        <f t="shared" si="64"/>
        <v>0</v>
      </c>
      <c r="Q649" t="e">
        <f>VLOOKUP(C649,Sheet2!A:AU,47,0)</f>
        <v>#N/A</v>
      </c>
      <c r="R649">
        <f t="shared" si="65"/>
        <v>0</v>
      </c>
    </row>
    <row r="650" spans="1:18" x14ac:dyDescent="0.3">
      <c r="A650" s="1">
        <v>648</v>
      </c>
      <c r="B650">
        <v>0</v>
      </c>
      <c r="C650" t="s">
        <v>704</v>
      </c>
      <c r="D650" t="s">
        <v>46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f t="shared" si="60"/>
        <v>0.4</v>
      </c>
      <c r="M650">
        <f t="shared" si="61"/>
        <v>0</v>
      </c>
      <c r="N650">
        <f t="shared" si="62"/>
        <v>0</v>
      </c>
      <c r="O650">
        <f t="shared" si="63"/>
        <v>0</v>
      </c>
      <c r="P650">
        <f t="shared" si="64"/>
        <v>0</v>
      </c>
      <c r="Q650" t="e">
        <f>VLOOKUP(C650,Sheet2!A:AU,47,0)</f>
        <v>#N/A</v>
      </c>
      <c r="R650">
        <f t="shared" si="65"/>
        <v>0</v>
      </c>
    </row>
    <row r="651" spans="1:18" x14ac:dyDescent="0.3">
      <c r="A651" s="1">
        <v>649</v>
      </c>
      <c r="B651">
        <v>0</v>
      </c>
      <c r="C651" t="s">
        <v>705</v>
      </c>
      <c r="D651" t="s">
        <v>46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f t="shared" si="60"/>
        <v>0.4</v>
      </c>
      <c r="M651">
        <f t="shared" si="61"/>
        <v>0</v>
      </c>
      <c r="N651">
        <f t="shared" si="62"/>
        <v>0</v>
      </c>
      <c r="O651">
        <f t="shared" si="63"/>
        <v>0</v>
      </c>
      <c r="P651">
        <f t="shared" si="64"/>
        <v>0</v>
      </c>
      <c r="Q651" t="e">
        <f>VLOOKUP(C651,Sheet2!A:AU,47,0)</f>
        <v>#N/A</v>
      </c>
      <c r="R651">
        <f t="shared" si="65"/>
        <v>0</v>
      </c>
    </row>
    <row r="652" spans="1:18" x14ac:dyDescent="0.3">
      <c r="A652" s="1">
        <v>650</v>
      </c>
      <c r="B652">
        <v>0</v>
      </c>
      <c r="C652" t="s">
        <v>706</v>
      </c>
      <c r="D652" t="s">
        <v>46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f t="shared" si="60"/>
        <v>0.4</v>
      </c>
      <c r="M652">
        <f t="shared" si="61"/>
        <v>0</v>
      </c>
      <c r="N652">
        <f t="shared" si="62"/>
        <v>0</v>
      </c>
      <c r="O652">
        <f t="shared" si="63"/>
        <v>0</v>
      </c>
      <c r="P652">
        <f t="shared" si="64"/>
        <v>0</v>
      </c>
      <c r="Q652" t="e">
        <f>VLOOKUP(C652,Sheet2!A:AU,47,0)</f>
        <v>#N/A</v>
      </c>
      <c r="R652">
        <f t="shared" si="65"/>
        <v>0</v>
      </c>
    </row>
    <row r="653" spans="1:18" x14ac:dyDescent="0.3">
      <c r="A653" s="1">
        <v>651</v>
      </c>
      <c r="B653">
        <v>0</v>
      </c>
      <c r="C653" t="s">
        <v>707</v>
      </c>
      <c r="D653" t="s">
        <v>46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f t="shared" si="60"/>
        <v>0.4</v>
      </c>
      <c r="M653">
        <f t="shared" si="61"/>
        <v>0</v>
      </c>
      <c r="N653">
        <f t="shared" si="62"/>
        <v>0</v>
      </c>
      <c r="O653">
        <f t="shared" si="63"/>
        <v>0</v>
      </c>
      <c r="P653">
        <f t="shared" si="64"/>
        <v>0</v>
      </c>
      <c r="Q653" t="e">
        <f>VLOOKUP(C653,Sheet2!A:AU,47,0)</f>
        <v>#N/A</v>
      </c>
      <c r="R653">
        <f t="shared" si="65"/>
        <v>0</v>
      </c>
    </row>
    <row r="654" spans="1:18" x14ac:dyDescent="0.3">
      <c r="A654" s="1">
        <v>652</v>
      </c>
      <c r="B654">
        <v>0</v>
      </c>
      <c r="C654" t="s">
        <v>708</v>
      </c>
      <c r="D654" t="s">
        <v>46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f t="shared" si="60"/>
        <v>0.4</v>
      </c>
      <c r="M654">
        <f t="shared" si="61"/>
        <v>0</v>
      </c>
      <c r="N654">
        <f t="shared" si="62"/>
        <v>0</v>
      </c>
      <c r="O654">
        <f t="shared" si="63"/>
        <v>0</v>
      </c>
      <c r="P654">
        <f t="shared" si="64"/>
        <v>0</v>
      </c>
      <c r="Q654" t="e">
        <f>VLOOKUP(C654,Sheet2!A:AU,47,0)</f>
        <v>#N/A</v>
      </c>
      <c r="R654">
        <f t="shared" si="65"/>
        <v>0</v>
      </c>
    </row>
    <row r="655" spans="1:18" x14ac:dyDescent="0.3">
      <c r="A655" s="1">
        <v>653</v>
      </c>
      <c r="B655">
        <v>0</v>
      </c>
      <c r="C655" t="s">
        <v>709</v>
      </c>
      <c r="D655" t="s">
        <v>46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f t="shared" si="60"/>
        <v>0.4</v>
      </c>
      <c r="M655">
        <f t="shared" si="61"/>
        <v>0</v>
      </c>
      <c r="N655">
        <f t="shared" si="62"/>
        <v>0</v>
      </c>
      <c r="O655">
        <f t="shared" si="63"/>
        <v>0</v>
      </c>
      <c r="P655">
        <f t="shared" si="64"/>
        <v>0</v>
      </c>
      <c r="Q655" t="e">
        <f>VLOOKUP(C655,Sheet2!A:AU,47,0)</f>
        <v>#N/A</v>
      </c>
      <c r="R655">
        <f t="shared" si="65"/>
        <v>0</v>
      </c>
    </row>
    <row r="656" spans="1:18" x14ac:dyDescent="0.3">
      <c r="A656" s="1">
        <v>654</v>
      </c>
      <c r="B656">
        <v>0</v>
      </c>
      <c r="C656" t="s">
        <v>710</v>
      </c>
      <c r="D656" t="s">
        <v>46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f t="shared" si="60"/>
        <v>0.4</v>
      </c>
      <c r="M656">
        <f t="shared" si="61"/>
        <v>0</v>
      </c>
      <c r="N656">
        <f t="shared" si="62"/>
        <v>0</v>
      </c>
      <c r="O656">
        <f t="shared" si="63"/>
        <v>0</v>
      </c>
      <c r="P656">
        <f t="shared" si="64"/>
        <v>0</v>
      </c>
      <c r="Q656" t="e">
        <f>VLOOKUP(C656,Sheet2!A:AU,47,0)</f>
        <v>#N/A</v>
      </c>
      <c r="R656">
        <f t="shared" si="65"/>
        <v>0</v>
      </c>
    </row>
    <row r="657" spans="1:18" x14ac:dyDescent="0.3">
      <c r="A657" s="1">
        <v>655</v>
      </c>
      <c r="B657">
        <v>0</v>
      </c>
      <c r="C657" t="s">
        <v>711</v>
      </c>
      <c r="D657" t="s">
        <v>46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f t="shared" si="60"/>
        <v>0.4</v>
      </c>
      <c r="M657">
        <f t="shared" si="61"/>
        <v>0</v>
      </c>
      <c r="N657">
        <f t="shared" si="62"/>
        <v>0</v>
      </c>
      <c r="O657">
        <f t="shared" si="63"/>
        <v>0</v>
      </c>
      <c r="P657">
        <f t="shared" si="64"/>
        <v>0</v>
      </c>
      <c r="Q657" t="e">
        <f>VLOOKUP(C657,Sheet2!A:AU,47,0)</f>
        <v>#N/A</v>
      </c>
      <c r="R657">
        <f t="shared" si="65"/>
        <v>0</v>
      </c>
    </row>
    <row r="658" spans="1:18" x14ac:dyDescent="0.3">
      <c r="A658" s="1">
        <v>656</v>
      </c>
      <c r="B658">
        <v>0</v>
      </c>
      <c r="C658" t="s">
        <v>712</v>
      </c>
      <c r="D658" t="s">
        <v>46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f t="shared" si="60"/>
        <v>0.4</v>
      </c>
      <c r="M658">
        <f t="shared" si="61"/>
        <v>0</v>
      </c>
      <c r="N658">
        <f t="shared" si="62"/>
        <v>0</v>
      </c>
      <c r="O658">
        <f t="shared" si="63"/>
        <v>0</v>
      </c>
      <c r="P658">
        <f t="shared" si="64"/>
        <v>0</v>
      </c>
      <c r="Q658" t="e">
        <f>VLOOKUP(C658,Sheet2!A:AU,47,0)</f>
        <v>#N/A</v>
      </c>
      <c r="R658">
        <f t="shared" si="65"/>
        <v>0</v>
      </c>
    </row>
    <row r="659" spans="1:18" x14ac:dyDescent="0.3">
      <c r="A659" s="1">
        <v>657</v>
      </c>
      <c r="B659">
        <v>0</v>
      </c>
      <c r="C659" t="s">
        <v>713</v>
      </c>
      <c r="D659" t="s">
        <v>46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f t="shared" si="60"/>
        <v>0.4</v>
      </c>
      <c r="M659">
        <f t="shared" si="61"/>
        <v>0</v>
      </c>
      <c r="N659">
        <f t="shared" si="62"/>
        <v>0</v>
      </c>
      <c r="O659">
        <f t="shared" si="63"/>
        <v>0</v>
      </c>
      <c r="P659">
        <f t="shared" si="64"/>
        <v>0</v>
      </c>
      <c r="Q659" t="e">
        <f>VLOOKUP(C659,Sheet2!A:AU,47,0)</f>
        <v>#N/A</v>
      </c>
      <c r="R659">
        <f t="shared" si="65"/>
        <v>0</v>
      </c>
    </row>
    <row r="660" spans="1:18" x14ac:dyDescent="0.3">
      <c r="A660" s="1">
        <v>658</v>
      </c>
      <c r="B660">
        <v>0</v>
      </c>
      <c r="C660" t="s">
        <v>714</v>
      </c>
      <c r="D660" t="s">
        <v>46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f t="shared" si="60"/>
        <v>0.4</v>
      </c>
      <c r="M660">
        <f t="shared" si="61"/>
        <v>0</v>
      </c>
      <c r="N660">
        <f t="shared" si="62"/>
        <v>0</v>
      </c>
      <c r="O660">
        <f t="shared" si="63"/>
        <v>0</v>
      </c>
      <c r="P660">
        <f t="shared" si="64"/>
        <v>0</v>
      </c>
      <c r="Q660" t="e">
        <f>VLOOKUP(C660,Sheet2!A:AU,47,0)</f>
        <v>#N/A</v>
      </c>
      <c r="R660">
        <f t="shared" si="65"/>
        <v>0</v>
      </c>
    </row>
    <row r="661" spans="1:18" x14ac:dyDescent="0.3">
      <c r="A661" s="1">
        <v>659</v>
      </c>
      <c r="B661">
        <v>0</v>
      </c>
      <c r="C661" t="s">
        <v>715</v>
      </c>
      <c r="D661" t="s">
        <v>46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f t="shared" si="60"/>
        <v>0.4</v>
      </c>
      <c r="M661">
        <f t="shared" si="61"/>
        <v>0</v>
      </c>
      <c r="N661">
        <f t="shared" si="62"/>
        <v>0</v>
      </c>
      <c r="O661">
        <f t="shared" si="63"/>
        <v>0</v>
      </c>
      <c r="P661">
        <f t="shared" si="64"/>
        <v>0</v>
      </c>
      <c r="Q661" t="e">
        <f>VLOOKUP(C661,Sheet2!A:AU,47,0)</f>
        <v>#N/A</v>
      </c>
      <c r="R661">
        <f t="shared" si="65"/>
        <v>0</v>
      </c>
    </row>
    <row r="662" spans="1:18" x14ac:dyDescent="0.3">
      <c r="A662" s="1">
        <v>660</v>
      </c>
      <c r="B662">
        <v>0</v>
      </c>
      <c r="C662" t="s">
        <v>716</v>
      </c>
      <c r="D662" t="s">
        <v>50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f t="shared" si="60"/>
        <v>0.4</v>
      </c>
      <c r="M662">
        <f t="shared" si="61"/>
        <v>0</v>
      </c>
      <c r="N662">
        <f t="shared" si="62"/>
        <v>0</v>
      </c>
      <c r="O662">
        <f t="shared" si="63"/>
        <v>0</v>
      </c>
      <c r="P662">
        <f t="shared" si="64"/>
        <v>0</v>
      </c>
      <c r="Q662" t="e">
        <f>VLOOKUP(C662,Sheet2!A:AU,47,0)</f>
        <v>#N/A</v>
      </c>
      <c r="R662">
        <f t="shared" si="65"/>
        <v>0</v>
      </c>
    </row>
    <row r="663" spans="1:18" x14ac:dyDescent="0.3">
      <c r="A663" s="1">
        <v>661</v>
      </c>
      <c r="B663">
        <v>0</v>
      </c>
      <c r="C663" t="s">
        <v>717</v>
      </c>
      <c r="D663" t="s">
        <v>50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f t="shared" si="60"/>
        <v>0.4</v>
      </c>
      <c r="M663">
        <f t="shared" si="61"/>
        <v>0</v>
      </c>
      <c r="N663">
        <f t="shared" si="62"/>
        <v>0</v>
      </c>
      <c r="O663">
        <f t="shared" si="63"/>
        <v>0</v>
      </c>
      <c r="P663">
        <f t="shared" si="64"/>
        <v>0</v>
      </c>
      <c r="Q663" t="e">
        <f>VLOOKUP(C663,Sheet2!A:AU,47,0)</f>
        <v>#N/A</v>
      </c>
      <c r="R663">
        <f t="shared" si="65"/>
        <v>0</v>
      </c>
    </row>
    <row r="664" spans="1:18" x14ac:dyDescent="0.3">
      <c r="A664" s="1">
        <v>662</v>
      </c>
      <c r="B664">
        <v>0</v>
      </c>
      <c r="C664" t="s">
        <v>718</v>
      </c>
      <c r="D664" t="s">
        <v>50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f t="shared" si="60"/>
        <v>0.4</v>
      </c>
      <c r="M664">
        <f t="shared" si="61"/>
        <v>0</v>
      </c>
      <c r="N664">
        <f t="shared" si="62"/>
        <v>0</v>
      </c>
      <c r="O664">
        <f t="shared" si="63"/>
        <v>0</v>
      </c>
      <c r="P664">
        <f t="shared" si="64"/>
        <v>0</v>
      </c>
      <c r="Q664" t="e">
        <f>VLOOKUP(C664,Sheet2!A:AU,47,0)</f>
        <v>#N/A</v>
      </c>
      <c r="R664">
        <f t="shared" si="65"/>
        <v>0</v>
      </c>
    </row>
    <row r="665" spans="1:18" x14ac:dyDescent="0.3">
      <c r="A665" s="1">
        <v>663</v>
      </c>
      <c r="B665">
        <v>0</v>
      </c>
      <c r="C665" t="s">
        <v>719</v>
      </c>
      <c r="D665" t="s">
        <v>50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f t="shared" si="60"/>
        <v>0.4</v>
      </c>
      <c r="M665">
        <f t="shared" si="61"/>
        <v>0</v>
      </c>
      <c r="N665">
        <f t="shared" si="62"/>
        <v>0</v>
      </c>
      <c r="O665">
        <f t="shared" si="63"/>
        <v>0</v>
      </c>
      <c r="P665">
        <f t="shared" si="64"/>
        <v>0</v>
      </c>
      <c r="Q665" t="e">
        <f>VLOOKUP(C665,Sheet2!A:AU,47,0)</f>
        <v>#N/A</v>
      </c>
      <c r="R665">
        <f t="shared" si="65"/>
        <v>0</v>
      </c>
    </row>
    <row r="666" spans="1:18" x14ac:dyDescent="0.3">
      <c r="A666" s="1">
        <v>664</v>
      </c>
      <c r="B666">
        <v>0</v>
      </c>
      <c r="C666" t="s">
        <v>720</v>
      </c>
      <c r="D666" t="s">
        <v>50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f t="shared" si="60"/>
        <v>0.4</v>
      </c>
      <c r="M666">
        <f t="shared" si="61"/>
        <v>0</v>
      </c>
      <c r="N666">
        <f t="shared" si="62"/>
        <v>0</v>
      </c>
      <c r="O666">
        <f t="shared" si="63"/>
        <v>0</v>
      </c>
      <c r="P666">
        <f t="shared" si="64"/>
        <v>0</v>
      </c>
      <c r="Q666" t="e">
        <f>VLOOKUP(C666,Sheet2!A:AU,47,0)</f>
        <v>#N/A</v>
      </c>
      <c r="R666">
        <f t="shared" si="65"/>
        <v>0</v>
      </c>
    </row>
    <row r="667" spans="1:18" x14ac:dyDescent="0.3">
      <c r="A667" s="1">
        <v>665</v>
      </c>
      <c r="B667">
        <v>0</v>
      </c>
      <c r="C667" t="s">
        <v>721</v>
      </c>
      <c r="D667" t="s">
        <v>50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f t="shared" si="60"/>
        <v>0.4</v>
      </c>
      <c r="M667">
        <f t="shared" si="61"/>
        <v>0</v>
      </c>
      <c r="N667">
        <f t="shared" si="62"/>
        <v>0</v>
      </c>
      <c r="O667">
        <f t="shared" si="63"/>
        <v>0</v>
      </c>
      <c r="P667">
        <f t="shared" si="64"/>
        <v>0</v>
      </c>
      <c r="Q667" t="e">
        <f>VLOOKUP(C667,Sheet2!A:AU,47,0)</f>
        <v>#N/A</v>
      </c>
      <c r="R667">
        <f t="shared" si="65"/>
        <v>0</v>
      </c>
    </row>
    <row r="668" spans="1:18" x14ac:dyDescent="0.3">
      <c r="A668" s="1">
        <v>666</v>
      </c>
      <c r="B668">
        <v>0</v>
      </c>
      <c r="C668" t="s">
        <v>722</v>
      </c>
      <c r="D668" t="s">
        <v>50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f t="shared" si="60"/>
        <v>0.4</v>
      </c>
      <c r="M668">
        <f t="shared" si="61"/>
        <v>0</v>
      </c>
      <c r="N668">
        <f t="shared" si="62"/>
        <v>0</v>
      </c>
      <c r="O668">
        <f t="shared" si="63"/>
        <v>0</v>
      </c>
      <c r="P668">
        <f t="shared" si="64"/>
        <v>0</v>
      </c>
      <c r="Q668" t="e">
        <f>VLOOKUP(C668,Sheet2!A:AU,47,0)</f>
        <v>#N/A</v>
      </c>
      <c r="R668">
        <f t="shared" si="65"/>
        <v>0</v>
      </c>
    </row>
    <row r="669" spans="1:18" x14ac:dyDescent="0.3">
      <c r="A669" s="1">
        <v>667</v>
      </c>
      <c r="B669">
        <v>0</v>
      </c>
      <c r="C669" t="s">
        <v>723</v>
      </c>
      <c r="D669" t="s">
        <v>50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f t="shared" si="60"/>
        <v>0.4</v>
      </c>
      <c r="M669">
        <f t="shared" si="61"/>
        <v>0</v>
      </c>
      <c r="N669">
        <f t="shared" si="62"/>
        <v>0</v>
      </c>
      <c r="O669">
        <f t="shared" si="63"/>
        <v>0</v>
      </c>
      <c r="P669">
        <f t="shared" si="64"/>
        <v>0</v>
      </c>
      <c r="Q669" t="e">
        <f>VLOOKUP(C669,Sheet2!A:AU,47,0)</f>
        <v>#N/A</v>
      </c>
      <c r="R669">
        <f t="shared" si="65"/>
        <v>0</v>
      </c>
    </row>
    <row r="670" spans="1:18" x14ac:dyDescent="0.3">
      <c r="A670" s="1">
        <v>668</v>
      </c>
      <c r="B670">
        <v>0</v>
      </c>
      <c r="C670" t="s">
        <v>724</v>
      </c>
      <c r="D670" t="s">
        <v>50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f t="shared" si="60"/>
        <v>0.4</v>
      </c>
      <c r="M670">
        <f t="shared" si="61"/>
        <v>0</v>
      </c>
      <c r="N670">
        <f t="shared" si="62"/>
        <v>0</v>
      </c>
      <c r="O670">
        <f t="shared" si="63"/>
        <v>0</v>
      </c>
      <c r="P670">
        <f t="shared" si="64"/>
        <v>0</v>
      </c>
      <c r="Q670" t="e">
        <f>VLOOKUP(C670,Sheet2!A:AU,47,0)</f>
        <v>#N/A</v>
      </c>
      <c r="R670">
        <f t="shared" si="65"/>
        <v>0</v>
      </c>
    </row>
    <row r="671" spans="1:18" x14ac:dyDescent="0.3">
      <c r="A671" s="1">
        <v>669</v>
      </c>
      <c r="B671">
        <v>0</v>
      </c>
      <c r="C671" t="s">
        <v>725</v>
      </c>
      <c r="D671" t="s">
        <v>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f t="shared" si="60"/>
        <v>0.4</v>
      </c>
      <c r="M671">
        <f t="shared" si="61"/>
        <v>0</v>
      </c>
      <c r="N671">
        <f t="shared" si="62"/>
        <v>0</v>
      </c>
      <c r="O671">
        <f t="shared" si="63"/>
        <v>0</v>
      </c>
      <c r="P671">
        <f t="shared" si="64"/>
        <v>0</v>
      </c>
      <c r="Q671" t="e">
        <f>VLOOKUP(C671,Sheet2!A:AU,47,0)</f>
        <v>#N/A</v>
      </c>
      <c r="R671">
        <f t="shared" si="65"/>
        <v>0</v>
      </c>
    </row>
    <row r="672" spans="1:18" x14ac:dyDescent="0.3">
      <c r="A672" s="1">
        <v>670</v>
      </c>
      <c r="B672">
        <v>0</v>
      </c>
      <c r="C672" t="s">
        <v>726</v>
      </c>
      <c r="D672" t="s">
        <v>50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f t="shared" si="60"/>
        <v>0.4</v>
      </c>
      <c r="M672">
        <f t="shared" si="61"/>
        <v>0</v>
      </c>
      <c r="N672">
        <f t="shared" si="62"/>
        <v>0</v>
      </c>
      <c r="O672">
        <f t="shared" si="63"/>
        <v>0</v>
      </c>
      <c r="P672">
        <f t="shared" si="64"/>
        <v>0</v>
      </c>
      <c r="Q672" t="e">
        <f>VLOOKUP(C672,Sheet2!A:AU,47,0)</f>
        <v>#N/A</v>
      </c>
      <c r="R672">
        <f t="shared" si="65"/>
        <v>0</v>
      </c>
    </row>
    <row r="673" spans="1:18" x14ac:dyDescent="0.3">
      <c r="A673" s="1">
        <v>671</v>
      </c>
      <c r="B673">
        <v>0</v>
      </c>
      <c r="C673" t="s">
        <v>727</v>
      </c>
      <c r="D673" t="s">
        <v>50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f t="shared" si="60"/>
        <v>0.4</v>
      </c>
      <c r="M673">
        <f t="shared" si="61"/>
        <v>0</v>
      </c>
      <c r="N673">
        <f t="shared" si="62"/>
        <v>0</v>
      </c>
      <c r="O673">
        <f t="shared" si="63"/>
        <v>0</v>
      </c>
      <c r="P673">
        <f t="shared" si="64"/>
        <v>0</v>
      </c>
      <c r="Q673" t="e">
        <f>VLOOKUP(C673,Sheet2!A:AU,47,0)</f>
        <v>#N/A</v>
      </c>
      <c r="R673">
        <f t="shared" si="65"/>
        <v>0</v>
      </c>
    </row>
    <row r="674" spans="1:18" x14ac:dyDescent="0.3">
      <c r="A674" s="1">
        <v>672</v>
      </c>
      <c r="B674">
        <v>0</v>
      </c>
      <c r="C674" t="s">
        <v>728</v>
      </c>
      <c r="D674" t="s">
        <v>50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f t="shared" si="60"/>
        <v>0.4</v>
      </c>
      <c r="M674">
        <f t="shared" si="61"/>
        <v>0</v>
      </c>
      <c r="N674">
        <f t="shared" si="62"/>
        <v>0</v>
      </c>
      <c r="O674">
        <f t="shared" si="63"/>
        <v>0</v>
      </c>
      <c r="P674">
        <f t="shared" si="64"/>
        <v>0</v>
      </c>
      <c r="Q674" t="e">
        <f>VLOOKUP(C674,Sheet2!A:AU,47,0)</f>
        <v>#N/A</v>
      </c>
      <c r="R674">
        <f t="shared" si="65"/>
        <v>0</v>
      </c>
    </row>
    <row r="675" spans="1:18" x14ac:dyDescent="0.3">
      <c r="A675" s="1">
        <v>673</v>
      </c>
      <c r="B675">
        <v>0</v>
      </c>
      <c r="C675" t="s">
        <v>729</v>
      </c>
      <c r="D675" t="s">
        <v>50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f t="shared" si="60"/>
        <v>0.4</v>
      </c>
      <c r="M675">
        <f t="shared" si="61"/>
        <v>0</v>
      </c>
      <c r="N675">
        <f t="shared" si="62"/>
        <v>0</v>
      </c>
      <c r="O675">
        <f t="shared" si="63"/>
        <v>0</v>
      </c>
      <c r="P675">
        <f t="shared" si="64"/>
        <v>0</v>
      </c>
      <c r="Q675" t="e">
        <f>VLOOKUP(C675,Sheet2!A:AU,47,0)</f>
        <v>#N/A</v>
      </c>
      <c r="R675">
        <f t="shared" si="65"/>
        <v>0</v>
      </c>
    </row>
    <row r="676" spans="1:18" x14ac:dyDescent="0.3">
      <c r="A676" s="1">
        <v>674</v>
      </c>
      <c r="B676">
        <v>0</v>
      </c>
      <c r="C676" t="s">
        <v>730</v>
      </c>
      <c r="D676" t="s">
        <v>50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f t="shared" si="60"/>
        <v>0.4</v>
      </c>
      <c r="M676">
        <f t="shared" si="61"/>
        <v>0</v>
      </c>
      <c r="N676">
        <f t="shared" si="62"/>
        <v>0</v>
      </c>
      <c r="O676">
        <f t="shared" si="63"/>
        <v>0</v>
      </c>
      <c r="P676">
        <f t="shared" si="64"/>
        <v>0</v>
      </c>
      <c r="Q676" t="e">
        <f>VLOOKUP(C676,Sheet2!A:AU,47,0)</f>
        <v>#N/A</v>
      </c>
      <c r="R676">
        <f t="shared" si="65"/>
        <v>0</v>
      </c>
    </row>
    <row r="677" spans="1:18" x14ac:dyDescent="0.3">
      <c r="A677" s="1">
        <v>675</v>
      </c>
      <c r="B677">
        <v>0</v>
      </c>
      <c r="C677" t="s">
        <v>731</v>
      </c>
      <c r="D677" t="s">
        <v>50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f t="shared" si="60"/>
        <v>0.4</v>
      </c>
      <c r="M677">
        <f t="shared" si="61"/>
        <v>0</v>
      </c>
      <c r="N677">
        <f t="shared" si="62"/>
        <v>0</v>
      </c>
      <c r="O677">
        <f t="shared" si="63"/>
        <v>0</v>
      </c>
      <c r="P677">
        <f t="shared" si="64"/>
        <v>0</v>
      </c>
      <c r="Q677" t="e">
        <f>VLOOKUP(C677,Sheet2!A:AU,47,0)</f>
        <v>#N/A</v>
      </c>
      <c r="R677">
        <f t="shared" si="65"/>
        <v>0</v>
      </c>
    </row>
    <row r="678" spans="1:18" x14ac:dyDescent="0.3">
      <c r="A678" s="1">
        <v>676</v>
      </c>
      <c r="B678">
        <v>0</v>
      </c>
      <c r="C678" t="s">
        <v>732</v>
      </c>
      <c r="D678" t="s">
        <v>39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f t="shared" si="60"/>
        <v>0.4</v>
      </c>
      <c r="M678">
        <f t="shared" si="61"/>
        <v>0</v>
      </c>
      <c r="N678">
        <f t="shared" si="62"/>
        <v>0</v>
      </c>
      <c r="O678">
        <f t="shared" si="63"/>
        <v>0</v>
      </c>
      <c r="P678">
        <f t="shared" si="64"/>
        <v>0</v>
      </c>
      <c r="Q678" t="e">
        <f>VLOOKUP(C678,Sheet2!A:AU,47,0)</f>
        <v>#N/A</v>
      </c>
      <c r="R678">
        <f t="shared" si="65"/>
        <v>0</v>
      </c>
    </row>
    <row r="679" spans="1:18" x14ac:dyDescent="0.3">
      <c r="A679" s="1">
        <v>677</v>
      </c>
      <c r="B679">
        <v>0</v>
      </c>
      <c r="C679" t="s">
        <v>733</v>
      </c>
      <c r="D679" t="s">
        <v>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f t="shared" si="60"/>
        <v>0.4</v>
      </c>
      <c r="M679">
        <f t="shared" si="61"/>
        <v>0</v>
      </c>
      <c r="N679">
        <f t="shared" si="62"/>
        <v>0</v>
      </c>
      <c r="O679">
        <f t="shared" si="63"/>
        <v>0</v>
      </c>
      <c r="P679">
        <f t="shared" si="64"/>
        <v>0</v>
      </c>
      <c r="Q679" t="e">
        <f>VLOOKUP(C679,Sheet2!A:AU,47,0)</f>
        <v>#N/A</v>
      </c>
      <c r="R679">
        <f t="shared" si="65"/>
        <v>0</v>
      </c>
    </row>
    <row r="680" spans="1:18" x14ac:dyDescent="0.3">
      <c r="A680" s="1">
        <v>678</v>
      </c>
      <c r="B680">
        <v>0</v>
      </c>
      <c r="C680" t="s">
        <v>734</v>
      </c>
      <c r="D680" t="s">
        <v>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f t="shared" si="60"/>
        <v>0.4</v>
      </c>
      <c r="M680">
        <f t="shared" si="61"/>
        <v>0</v>
      </c>
      <c r="N680">
        <f t="shared" si="62"/>
        <v>0</v>
      </c>
      <c r="O680">
        <f t="shared" si="63"/>
        <v>0</v>
      </c>
      <c r="P680">
        <f t="shared" si="64"/>
        <v>0</v>
      </c>
      <c r="Q680" t="e">
        <f>VLOOKUP(C680,Sheet2!A:AU,47,0)</f>
        <v>#N/A</v>
      </c>
      <c r="R680">
        <f t="shared" si="65"/>
        <v>0</v>
      </c>
    </row>
    <row r="681" spans="1:18" x14ac:dyDescent="0.3">
      <c r="A681" s="1">
        <v>679</v>
      </c>
      <c r="B681">
        <v>0</v>
      </c>
      <c r="C681" t="s">
        <v>735</v>
      </c>
      <c r="D681" t="s">
        <v>39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f t="shared" si="60"/>
        <v>0.4</v>
      </c>
      <c r="M681">
        <f t="shared" si="61"/>
        <v>0</v>
      </c>
      <c r="N681">
        <f t="shared" si="62"/>
        <v>0</v>
      </c>
      <c r="O681">
        <f t="shared" si="63"/>
        <v>0</v>
      </c>
      <c r="P681">
        <f t="shared" si="64"/>
        <v>0</v>
      </c>
      <c r="Q681" t="e">
        <f>VLOOKUP(C681,Sheet2!A:AU,47,0)</f>
        <v>#N/A</v>
      </c>
      <c r="R681">
        <f t="shared" si="65"/>
        <v>0</v>
      </c>
    </row>
    <row r="682" spans="1:18" x14ac:dyDescent="0.3">
      <c r="A682" s="1">
        <v>680</v>
      </c>
      <c r="B682">
        <v>0</v>
      </c>
      <c r="C682" t="s">
        <v>736</v>
      </c>
      <c r="D682" t="s">
        <v>39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f t="shared" si="60"/>
        <v>0.4</v>
      </c>
      <c r="M682">
        <f t="shared" si="61"/>
        <v>0</v>
      </c>
      <c r="N682">
        <f t="shared" si="62"/>
        <v>0</v>
      </c>
      <c r="O682">
        <f t="shared" si="63"/>
        <v>0</v>
      </c>
      <c r="P682">
        <f t="shared" si="64"/>
        <v>0</v>
      </c>
      <c r="Q682" t="e">
        <f>VLOOKUP(C682,Sheet2!A:AU,47,0)</f>
        <v>#N/A</v>
      </c>
      <c r="R682">
        <f t="shared" si="65"/>
        <v>0</v>
      </c>
    </row>
    <row r="683" spans="1:18" x14ac:dyDescent="0.3">
      <c r="A683" s="1">
        <v>681</v>
      </c>
      <c r="B683">
        <v>0</v>
      </c>
      <c r="C683" t="s">
        <v>737</v>
      </c>
      <c r="D683" t="s">
        <v>143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f t="shared" si="60"/>
        <v>0.4</v>
      </c>
      <c r="M683">
        <f t="shared" si="61"/>
        <v>0</v>
      </c>
      <c r="N683">
        <f t="shared" si="62"/>
        <v>0</v>
      </c>
      <c r="O683">
        <f t="shared" si="63"/>
        <v>0</v>
      </c>
      <c r="P683">
        <f t="shared" si="64"/>
        <v>0</v>
      </c>
      <c r="Q683" t="e">
        <f>VLOOKUP(C683,Sheet2!A:AU,47,0)</f>
        <v>#N/A</v>
      </c>
      <c r="R683">
        <f t="shared" si="65"/>
        <v>0</v>
      </c>
    </row>
    <row r="684" spans="1:18" x14ac:dyDescent="0.3">
      <c r="A684" s="1">
        <v>682</v>
      </c>
      <c r="B684">
        <v>0</v>
      </c>
      <c r="C684" t="s">
        <v>738</v>
      </c>
      <c r="D684" t="s">
        <v>143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f t="shared" si="60"/>
        <v>0.4</v>
      </c>
      <c r="M684">
        <f t="shared" si="61"/>
        <v>0</v>
      </c>
      <c r="N684">
        <f t="shared" si="62"/>
        <v>0</v>
      </c>
      <c r="O684">
        <f t="shared" si="63"/>
        <v>0</v>
      </c>
      <c r="P684">
        <f t="shared" si="64"/>
        <v>0</v>
      </c>
      <c r="Q684" t="e">
        <f>VLOOKUP(C684,Sheet2!A:AU,47,0)</f>
        <v>#N/A</v>
      </c>
      <c r="R684">
        <f t="shared" si="65"/>
        <v>0</v>
      </c>
    </row>
    <row r="685" spans="1:18" x14ac:dyDescent="0.3">
      <c r="A685" s="1">
        <v>683</v>
      </c>
      <c r="B685">
        <v>0</v>
      </c>
      <c r="C685" t="s">
        <v>739</v>
      </c>
      <c r="D685" t="s">
        <v>143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f t="shared" si="60"/>
        <v>0.4</v>
      </c>
      <c r="M685">
        <f t="shared" si="61"/>
        <v>0</v>
      </c>
      <c r="N685">
        <f t="shared" si="62"/>
        <v>0</v>
      </c>
      <c r="O685">
        <f t="shared" si="63"/>
        <v>0</v>
      </c>
      <c r="P685">
        <f t="shared" si="64"/>
        <v>0</v>
      </c>
      <c r="Q685" t="e">
        <f>VLOOKUP(C685,Sheet2!A:AU,47,0)</f>
        <v>#N/A</v>
      </c>
      <c r="R685">
        <f t="shared" si="65"/>
        <v>0</v>
      </c>
    </row>
    <row r="686" spans="1:18" x14ac:dyDescent="0.3">
      <c r="A686" s="1">
        <v>684</v>
      </c>
      <c r="B686">
        <v>0</v>
      </c>
      <c r="C686" t="s">
        <v>725</v>
      </c>
      <c r="D686" t="s">
        <v>143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f t="shared" si="60"/>
        <v>0.4</v>
      </c>
      <c r="M686">
        <f t="shared" si="61"/>
        <v>0</v>
      </c>
      <c r="N686">
        <f t="shared" si="62"/>
        <v>0</v>
      </c>
      <c r="O686">
        <f t="shared" si="63"/>
        <v>0</v>
      </c>
      <c r="P686">
        <f t="shared" si="64"/>
        <v>0</v>
      </c>
      <c r="Q686" t="e">
        <f>VLOOKUP(C686,Sheet2!A:AU,47,0)</f>
        <v>#N/A</v>
      </c>
      <c r="R686">
        <f t="shared" si="65"/>
        <v>0</v>
      </c>
    </row>
    <row r="687" spans="1:18" x14ac:dyDescent="0.3">
      <c r="A687" s="1">
        <v>685</v>
      </c>
      <c r="B687">
        <v>0</v>
      </c>
      <c r="C687" t="s">
        <v>355</v>
      </c>
      <c r="D687" t="s">
        <v>143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f t="shared" si="60"/>
        <v>0.4</v>
      </c>
      <c r="M687">
        <f t="shared" si="61"/>
        <v>0</v>
      </c>
      <c r="N687">
        <f t="shared" si="62"/>
        <v>0</v>
      </c>
      <c r="O687">
        <f t="shared" si="63"/>
        <v>0</v>
      </c>
      <c r="P687">
        <f t="shared" si="64"/>
        <v>0</v>
      </c>
      <c r="Q687">
        <f>VLOOKUP(C687,Sheet2!A:AU,47,0)</f>
        <v>1.0040229087178389</v>
      </c>
      <c r="R687">
        <f t="shared" si="65"/>
        <v>1.0040229087178389</v>
      </c>
    </row>
    <row r="688" spans="1:18" x14ac:dyDescent="0.3">
      <c r="A688" s="1">
        <v>686</v>
      </c>
      <c r="B688">
        <v>0</v>
      </c>
      <c r="C688" t="s">
        <v>740</v>
      </c>
      <c r="D688" t="s">
        <v>143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f t="shared" si="60"/>
        <v>0.4</v>
      </c>
      <c r="M688">
        <f t="shared" si="61"/>
        <v>0</v>
      </c>
      <c r="N688">
        <f t="shared" si="62"/>
        <v>0</v>
      </c>
      <c r="O688">
        <f t="shared" si="63"/>
        <v>0</v>
      </c>
      <c r="P688">
        <f t="shared" si="64"/>
        <v>0</v>
      </c>
      <c r="Q688" t="e">
        <f>VLOOKUP(C688,Sheet2!A:AU,47,0)</f>
        <v>#N/A</v>
      </c>
      <c r="R688">
        <f t="shared" si="65"/>
        <v>0</v>
      </c>
    </row>
    <row r="689" spans="1:18" x14ac:dyDescent="0.3">
      <c r="A689" s="1">
        <v>687</v>
      </c>
      <c r="B689">
        <v>0</v>
      </c>
      <c r="C689" t="s">
        <v>741</v>
      </c>
      <c r="D689" t="s">
        <v>143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f t="shared" si="60"/>
        <v>0.4</v>
      </c>
      <c r="M689">
        <f t="shared" si="61"/>
        <v>0</v>
      </c>
      <c r="N689">
        <f t="shared" si="62"/>
        <v>0</v>
      </c>
      <c r="O689">
        <f t="shared" si="63"/>
        <v>0</v>
      </c>
      <c r="P689">
        <f t="shared" si="64"/>
        <v>0</v>
      </c>
      <c r="Q689" t="e">
        <f>VLOOKUP(C689,Sheet2!A:AU,47,0)</f>
        <v>#N/A</v>
      </c>
      <c r="R689">
        <f t="shared" si="65"/>
        <v>0</v>
      </c>
    </row>
    <row r="690" spans="1:18" x14ac:dyDescent="0.3">
      <c r="A690" s="1">
        <v>688</v>
      </c>
      <c r="B690">
        <v>0</v>
      </c>
      <c r="C690" t="s">
        <v>485</v>
      </c>
      <c r="D690" t="s">
        <v>111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f t="shared" si="60"/>
        <v>0.4</v>
      </c>
      <c r="M690">
        <f t="shared" si="61"/>
        <v>0</v>
      </c>
      <c r="N690">
        <f t="shared" si="62"/>
        <v>0</v>
      </c>
      <c r="O690">
        <f t="shared" si="63"/>
        <v>0</v>
      </c>
      <c r="P690">
        <f t="shared" si="64"/>
        <v>0</v>
      </c>
      <c r="Q690">
        <f>VLOOKUP(C690,Sheet2!A:AU,47,0)</f>
        <v>4.0294784597542357</v>
      </c>
      <c r="R690">
        <f t="shared" si="65"/>
        <v>4.0294784597542357</v>
      </c>
    </row>
    <row r="691" spans="1:18" x14ac:dyDescent="0.3">
      <c r="A691" s="1">
        <v>689</v>
      </c>
      <c r="B691">
        <v>0</v>
      </c>
      <c r="C691" t="s">
        <v>742</v>
      </c>
      <c r="D691" t="s">
        <v>111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f t="shared" si="60"/>
        <v>0.4</v>
      </c>
      <c r="M691">
        <f t="shared" si="61"/>
        <v>0</v>
      </c>
      <c r="N691">
        <f t="shared" si="62"/>
        <v>0</v>
      </c>
      <c r="O691">
        <f t="shared" si="63"/>
        <v>0</v>
      </c>
      <c r="P691">
        <f t="shared" si="64"/>
        <v>0</v>
      </c>
      <c r="Q691" t="e">
        <f>VLOOKUP(C691,Sheet2!A:AU,47,0)</f>
        <v>#N/A</v>
      </c>
      <c r="R691">
        <f t="shared" si="65"/>
        <v>0</v>
      </c>
    </row>
    <row r="692" spans="1:18" x14ac:dyDescent="0.3">
      <c r="A692" s="1">
        <v>690</v>
      </c>
      <c r="B692">
        <v>0</v>
      </c>
      <c r="C692" t="s">
        <v>743</v>
      </c>
      <c r="D692" t="s">
        <v>111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f t="shared" si="60"/>
        <v>0.4</v>
      </c>
      <c r="M692">
        <f t="shared" si="61"/>
        <v>0</v>
      </c>
      <c r="N692">
        <f t="shared" si="62"/>
        <v>0</v>
      </c>
      <c r="O692">
        <f t="shared" si="63"/>
        <v>0</v>
      </c>
      <c r="P692">
        <f t="shared" si="64"/>
        <v>0</v>
      </c>
      <c r="Q692" t="e">
        <f>VLOOKUP(C692,Sheet2!A:AU,47,0)</f>
        <v>#N/A</v>
      </c>
      <c r="R692">
        <f t="shared" si="65"/>
        <v>0</v>
      </c>
    </row>
    <row r="693" spans="1:18" x14ac:dyDescent="0.3">
      <c r="A693" s="1">
        <v>691</v>
      </c>
      <c r="B693">
        <v>0</v>
      </c>
      <c r="C693" t="s">
        <v>744</v>
      </c>
      <c r="D693" t="s">
        <v>97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f t="shared" si="60"/>
        <v>0.4</v>
      </c>
      <c r="M693">
        <f t="shared" si="61"/>
        <v>0</v>
      </c>
      <c r="N693">
        <f t="shared" si="62"/>
        <v>0</v>
      </c>
      <c r="O693">
        <f t="shared" si="63"/>
        <v>0</v>
      </c>
      <c r="P693">
        <f t="shared" si="64"/>
        <v>0</v>
      </c>
      <c r="Q693" t="e">
        <f>VLOOKUP(C693,Sheet2!A:AU,47,0)</f>
        <v>#N/A</v>
      </c>
      <c r="R693">
        <f t="shared" si="65"/>
        <v>0</v>
      </c>
    </row>
    <row r="694" spans="1:18" x14ac:dyDescent="0.3">
      <c r="A694" s="1">
        <v>692</v>
      </c>
      <c r="B694">
        <v>0</v>
      </c>
      <c r="C694" t="s">
        <v>745</v>
      </c>
      <c r="D694" t="s">
        <v>97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f t="shared" si="60"/>
        <v>0.4</v>
      </c>
      <c r="M694">
        <f t="shared" si="61"/>
        <v>0</v>
      </c>
      <c r="N694">
        <f t="shared" si="62"/>
        <v>0</v>
      </c>
      <c r="O694">
        <f t="shared" si="63"/>
        <v>0</v>
      </c>
      <c r="P694">
        <f t="shared" si="64"/>
        <v>0</v>
      </c>
      <c r="Q694" t="e">
        <f>VLOOKUP(C694,Sheet2!A:AU,47,0)</f>
        <v>#N/A</v>
      </c>
      <c r="R694">
        <f t="shared" si="65"/>
        <v>0</v>
      </c>
    </row>
    <row r="695" spans="1:18" x14ac:dyDescent="0.3">
      <c r="A695" s="1">
        <v>693</v>
      </c>
      <c r="B695">
        <v>0</v>
      </c>
      <c r="C695" t="s">
        <v>746</v>
      </c>
      <c r="D695" t="s">
        <v>97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f t="shared" si="60"/>
        <v>0.4</v>
      </c>
      <c r="M695">
        <f t="shared" si="61"/>
        <v>0</v>
      </c>
      <c r="N695">
        <f t="shared" si="62"/>
        <v>0</v>
      </c>
      <c r="O695">
        <f t="shared" si="63"/>
        <v>0</v>
      </c>
      <c r="P695">
        <f t="shared" si="64"/>
        <v>0</v>
      </c>
      <c r="Q695" t="e">
        <f>VLOOKUP(C695,Sheet2!A:AU,47,0)</f>
        <v>#N/A</v>
      </c>
      <c r="R695">
        <f t="shared" si="65"/>
        <v>0</v>
      </c>
    </row>
    <row r="696" spans="1:18" x14ac:dyDescent="0.3">
      <c r="A696" s="1">
        <v>694</v>
      </c>
      <c r="B696">
        <v>0</v>
      </c>
      <c r="C696" t="s">
        <v>747</v>
      </c>
      <c r="D696" t="s">
        <v>97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f t="shared" si="60"/>
        <v>0.4</v>
      </c>
      <c r="M696">
        <f t="shared" si="61"/>
        <v>0</v>
      </c>
      <c r="N696">
        <f t="shared" si="62"/>
        <v>0</v>
      </c>
      <c r="O696">
        <f t="shared" si="63"/>
        <v>0</v>
      </c>
      <c r="P696">
        <f t="shared" si="64"/>
        <v>0</v>
      </c>
      <c r="Q696" t="e">
        <f>VLOOKUP(C696,Sheet2!A:AU,47,0)</f>
        <v>#N/A</v>
      </c>
      <c r="R696">
        <f t="shared" si="65"/>
        <v>0</v>
      </c>
    </row>
    <row r="697" spans="1:18" x14ac:dyDescent="0.3">
      <c r="A697" s="1">
        <v>695</v>
      </c>
      <c r="B697">
        <v>0</v>
      </c>
      <c r="C697" t="s">
        <v>748</v>
      </c>
      <c r="D697" t="s">
        <v>97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f t="shared" si="60"/>
        <v>0.4</v>
      </c>
      <c r="M697">
        <f t="shared" si="61"/>
        <v>0</v>
      </c>
      <c r="N697">
        <f t="shared" si="62"/>
        <v>0</v>
      </c>
      <c r="O697">
        <f t="shared" si="63"/>
        <v>0</v>
      </c>
      <c r="P697">
        <f t="shared" si="64"/>
        <v>0</v>
      </c>
      <c r="Q697" t="e">
        <f>VLOOKUP(C697,Sheet2!A:AU,47,0)</f>
        <v>#N/A</v>
      </c>
      <c r="R697">
        <f t="shared" si="65"/>
        <v>0</v>
      </c>
    </row>
    <row r="698" spans="1:18" x14ac:dyDescent="0.3">
      <c r="A698" s="1">
        <v>696</v>
      </c>
      <c r="B698">
        <v>0</v>
      </c>
      <c r="C698" t="s">
        <v>749</v>
      </c>
      <c r="D698" t="s">
        <v>97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f t="shared" si="60"/>
        <v>0.4</v>
      </c>
      <c r="M698">
        <f t="shared" si="61"/>
        <v>0</v>
      </c>
      <c r="N698">
        <f t="shared" si="62"/>
        <v>0</v>
      </c>
      <c r="O698">
        <f t="shared" si="63"/>
        <v>0</v>
      </c>
      <c r="P698">
        <f t="shared" si="64"/>
        <v>0</v>
      </c>
      <c r="Q698" t="e">
        <f>VLOOKUP(C698,Sheet2!A:AU,47,0)</f>
        <v>#N/A</v>
      </c>
      <c r="R698">
        <f t="shared" si="65"/>
        <v>0</v>
      </c>
    </row>
    <row r="699" spans="1:18" x14ac:dyDescent="0.3">
      <c r="A699" s="1">
        <v>697</v>
      </c>
      <c r="B699">
        <v>0</v>
      </c>
      <c r="C699" t="s">
        <v>750</v>
      </c>
      <c r="D699" t="s">
        <v>97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f t="shared" si="60"/>
        <v>0.4</v>
      </c>
      <c r="M699">
        <f t="shared" si="61"/>
        <v>0</v>
      </c>
      <c r="N699">
        <f t="shared" si="62"/>
        <v>0</v>
      </c>
      <c r="O699">
        <f t="shared" si="63"/>
        <v>0</v>
      </c>
      <c r="P699">
        <f t="shared" si="64"/>
        <v>0</v>
      </c>
      <c r="Q699" t="e">
        <f>VLOOKUP(C699,Sheet2!A:AU,47,0)</f>
        <v>#N/A</v>
      </c>
      <c r="R699">
        <f t="shared" si="65"/>
        <v>0</v>
      </c>
    </row>
    <row r="700" spans="1:18" x14ac:dyDescent="0.3">
      <c r="A700" s="1">
        <v>698</v>
      </c>
      <c r="B700">
        <v>0</v>
      </c>
      <c r="C700" t="s">
        <v>751</v>
      </c>
      <c r="D700" t="s">
        <v>97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f t="shared" si="60"/>
        <v>0.4</v>
      </c>
      <c r="M700">
        <f t="shared" si="61"/>
        <v>0</v>
      </c>
      <c r="N700">
        <f t="shared" si="62"/>
        <v>0</v>
      </c>
      <c r="O700">
        <f t="shared" si="63"/>
        <v>0</v>
      </c>
      <c r="P700">
        <f t="shared" si="64"/>
        <v>0</v>
      </c>
      <c r="Q700" t="e">
        <f>VLOOKUP(C700,Sheet2!A:AU,47,0)</f>
        <v>#N/A</v>
      </c>
      <c r="R700">
        <f t="shared" si="65"/>
        <v>0</v>
      </c>
    </row>
    <row r="701" spans="1:18" x14ac:dyDescent="0.3">
      <c r="A701" s="1">
        <v>699</v>
      </c>
      <c r="B701">
        <v>0</v>
      </c>
      <c r="C701" t="s">
        <v>752</v>
      </c>
      <c r="D701" t="s">
        <v>97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f t="shared" si="60"/>
        <v>0.4</v>
      </c>
      <c r="M701">
        <f t="shared" si="61"/>
        <v>0</v>
      </c>
      <c r="N701">
        <f t="shared" si="62"/>
        <v>0</v>
      </c>
      <c r="O701">
        <f t="shared" si="63"/>
        <v>0</v>
      </c>
      <c r="P701">
        <f t="shared" si="64"/>
        <v>0</v>
      </c>
      <c r="Q701" t="e">
        <f>VLOOKUP(C701,Sheet2!A:AU,47,0)</f>
        <v>#N/A</v>
      </c>
      <c r="R701">
        <f t="shared" si="65"/>
        <v>0</v>
      </c>
    </row>
    <row r="702" spans="1:18" x14ac:dyDescent="0.3">
      <c r="A702" s="1">
        <v>700</v>
      </c>
      <c r="B702">
        <v>0</v>
      </c>
      <c r="C702" t="s">
        <v>753</v>
      </c>
      <c r="D702" t="s">
        <v>97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f t="shared" si="60"/>
        <v>0.4</v>
      </c>
      <c r="M702">
        <f t="shared" si="61"/>
        <v>0</v>
      </c>
      <c r="N702">
        <f t="shared" si="62"/>
        <v>0</v>
      </c>
      <c r="O702">
        <f t="shared" si="63"/>
        <v>0</v>
      </c>
      <c r="P702">
        <f t="shared" si="64"/>
        <v>0</v>
      </c>
      <c r="Q702" t="e">
        <f>VLOOKUP(C702,Sheet2!A:AU,47,0)</f>
        <v>#N/A</v>
      </c>
      <c r="R702">
        <f t="shared" si="65"/>
        <v>0</v>
      </c>
    </row>
    <row r="703" spans="1:18" x14ac:dyDescent="0.3">
      <c r="A703" s="1">
        <v>701</v>
      </c>
      <c r="B703">
        <v>0</v>
      </c>
      <c r="C703" t="s">
        <v>754</v>
      </c>
      <c r="D703" t="s">
        <v>97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f t="shared" si="60"/>
        <v>0.4</v>
      </c>
      <c r="M703">
        <f t="shared" si="61"/>
        <v>0</v>
      </c>
      <c r="N703">
        <f t="shared" si="62"/>
        <v>0</v>
      </c>
      <c r="O703">
        <f t="shared" si="63"/>
        <v>0</v>
      </c>
      <c r="P703">
        <f t="shared" si="64"/>
        <v>0</v>
      </c>
      <c r="Q703" t="e">
        <f>VLOOKUP(C703,Sheet2!A:AU,47,0)</f>
        <v>#N/A</v>
      </c>
      <c r="R703">
        <f t="shared" si="65"/>
        <v>0</v>
      </c>
    </row>
    <row r="704" spans="1:18" x14ac:dyDescent="0.3">
      <c r="A704" s="1">
        <v>702</v>
      </c>
      <c r="B704">
        <v>0</v>
      </c>
      <c r="C704" t="s">
        <v>755</v>
      </c>
      <c r="D704" t="s">
        <v>97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f t="shared" si="60"/>
        <v>0.4</v>
      </c>
      <c r="M704">
        <f t="shared" si="61"/>
        <v>0</v>
      </c>
      <c r="N704">
        <f t="shared" si="62"/>
        <v>0</v>
      </c>
      <c r="O704">
        <f t="shared" si="63"/>
        <v>0</v>
      </c>
      <c r="P704">
        <f t="shared" si="64"/>
        <v>0</v>
      </c>
      <c r="Q704" t="e">
        <f>VLOOKUP(C704,Sheet2!A:AU,47,0)</f>
        <v>#N/A</v>
      </c>
      <c r="R704">
        <f t="shared" si="65"/>
        <v>0</v>
      </c>
    </row>
    <row r="705" spans="1:18" x14ac:dyDescent="0.3">
      <c r="A705" s="1">
        <v>703</v>
      </c>
      <c r="B705">
        <v>0</v>
      </c>
      <c r="C705" t="s">
        <v>756</v>
      </c>
      <c r="D705" t="s">
        <v>97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f t="shared" si="60"/>
        <v>0.4</v>
      </c>
      <c r="M705">
        <f t="shared" si="61"/>
        <v>0</v>
      </c>
      <c r="N705">
        <f t="shared" si="62"/>
        <v>0</v>
      </c>
      <c r="O705">
        <f t="shared" si="63"/>
        <v>0</v>
      </c>
      <c r="P705">
        <f t="shared" si="64"/>
        <v>0</v>
      </c>
      <c r="Q705" t="e">
        <f>VLOOKUP(C705,Sheet2!A:AU,47,0)</f>
        <v>#N/A</v>
      </c>
      <c r="R705">
        <f t="shared" si="65"/>
        <v>0</v>
      </c>
    </row>
    <row r="706" spans="1:18" x14ac:dyDescent="0.3">
      <c r="A706" s="1">
        <v>704</v>
      </c>
      <c r="B706">
        <v>0</v>
      </c>
      <c r="C706" t="s">
        <v>757</v>
      </c>
      <c r="D706" t="s">
        <v>222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f t="shared" si="60"/>
        <v>0.4</v>
      </c>
      <c r="M706">
        <f t="shared" si="61"/>
        <v>0</v>
      </c>
      <c r="N706">
        <f t="shared" si="62"/>
        <v>0</v>
      </c>
      <c r="O706">
        <f t="shared" si="63"/>
        <v>0</v>
      </c>
      <c r="P706">
        <f t="shared" si="64"/>
        <v>0</v>
      </c>
      <c r="Q706" t="e">
        <f>VLOOKUP(C706,Sheet2!A:AU,47,0)</f>
        <v>#N/A</v>
      </c>
      <c r="R706">
        <f t="shared" si="65"/>
        <v>0</v>
      </c>
    </row>
    <row r="707" spans="1:18" x14ac:dyDescent="0.3">
      <c r="A707" s="1">
        <v>705</v>
      </c>
      <c r="B707">
        <v>0</v>
      </c>
      <c r="C707" t="s">
        <v>758</v>
      </c>
      <c r="D707" t="s">
        <v>222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f t="shared" ref="L707:L770" si="66">MAX(H:H)</f>
        <v>0.4</v>
      </c>
      <c r="M707">
        <f t="shared" ref="M707:M770" si="67">MIN(H:H)</f>
        <v>0</v>
      </c>
      <c r="N707">
        <f t="shared" ref="N707:N770" si="68">(H707-M707)/(L707-M707)</f>
        <v>0</v>
      </c>
      <c r="O707">
        <f t="shared" ref="O707:O770" si="69">N707*0.0442</f>
        <v>0</v>
      </c>
      <c r="P707">
        <f t="shared" ref="P707:P770" si="70">O707*100</f>
        <v>0</v>
      </c>
      <c r="Q707" t="e">
        <f>VLOOKUP(C707,Sheet2!A:AU,47,0)</f>
        <v>#N/A</v>
      </c>
      <c r="R707">
        <f t="shared" ref="R707:R770" si="71">IFERROR((P707+Q707),0)</f>
        <v>0</v>
      </c>
    </row>
    <row r="708" spans="1:18" x14ac:dyDescent="0.3">
      <c r="A708" s="1">
        <v>706</v>
      </c>
      <c r="B708">
        <v>0</v>
      </c>
      <c r="C708" t="s">
        <v>759</v>
      </c>
      <c r="D708" t="s">
        <v>222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f t="shared" si="66"/>
        <v>0.4</v>
      </c>
      <c r="M708">
        <f t="shared" si="67"/>
        <v>0</v>
      </c>
      <c r="N708">
        <f t="shared" si="68"/>
        <v>0</v>
      </c>
      <c r="O708">
        <f t="shared" si="69"/>
        <v>0</v>
      </c>
      <c r="P708">
        <f t="shared" si="70"/>
        <v>0</v>
      </c>
      <c r="Q708" t="e">
        <f>VLOOKUP(C708,Sheet2!A:AU,47,0)</f>
        <v>#N/A</v>
      </c>
      <c r="R708">
        <f t="shared" si="71"/>
        <v>0</v>
      </c>
    </row>
    <row r="709" spans="1:18" x14ac:dyDescent="0.3">
      <c r="A709" s="1">
        <v>707</v>
      </c>
      <c r="B709">
        <v>0</v>
      </c>
      <c r="C709" t="s">
        <v>760</v>
      </c>
      <c r="D709" t="s">
        <v>222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f t="shared" si="66"/>
        <v>0.4</v>
      </c>
      <c r="M709">
        <f t="shared" si="67"/>
        <v>0</v>
      </c>
      <c r="N709">
        <f t="shared" si="68"/>
        <v>0</v>
      </c>
      <c r="O709">
        <f t="shared" si="69"/>
        <v>0</v>
      </c>
      <c r="P709">
        <f t="shared" si="70"/>
        <v>0</v>
      </c>
      <c r="Q709" t="e">
        <f>VLOOKUP(C709,Sheet2!A:AU,47,0)</f>
        <v>#N/A</v>
      </c>
      <c r="R709">
        <f t="shared" si="71"/>
        <v>0</v>
      </c>
    </row>
    <row r="710" spans="1:18" x14ac:dyDescent="0.3">
      <c r="A710" s="1">
        <v>708</v>
      </c>
      <c r="B710">
        <v>0</v>
      </c>
      <c r="C710" t="s">
        <v>761</v>
      </c>
      <c r="D710" t="s">
        <v>222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f t="shared" si="66"/>
        <v>0.4</v>
      </c>
      <c r="M710">
        <f t="shared" si="67"/>
        <v>0</v>
      </c>
      <c r="N710">
        <f t="shared" si="68"/>
        <v>0</v>
      </c>
      <c r="O710">
        <f t="shared" si="69"/>
        <v>0</v>
      </c>
      <c r="P710">
        <f t="shared" si="70"/>
        <v>0</v>
      </c>
      <c r="Q710" t="e">
        <f>VLOOKUP(C710,Sheet2!A:AU,47,0)</f>
        <v>#N/A</v>
      </c>
      <c r="R710">
        <f t="shared" si="71"/>
        <v>0</v>
      </c>
    </row>
    <row r="711" spans="1:18" x14ac:dyDescent="0.3">
      <c r="A711" s="1">
        <v>709</v>
      </c>
      <c r="B711">
        <v>0</v>
      </c>
      <c r="C711" t="s">
        <v>762</v>
      </c>
      <c r="D711" t="s">
        <v>77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f t="shared" si="66"/>
        <v>0.4</v>
      </c>
      <c r="M711">
        <f t="shared" si="67"/>
        <v>0</v>
      </c>
      <c r="N711">
        <f t="shared" si="68"/>
        <v>0</v>
      </c>
      <c r="O711">
        <f t="shared" si="69"/>
        <v>0</v>
      </c>
      <c r="P711">
        <f t="shared" si="70"/>
        <v>0</v>
      </c>
      <c r="Q711" t="e">
        <f>VLOOKUP(C711,Sheet2!A:AU,47,0)</f>
        <v>#N/A</v>
      </c>
      <c r="R711">
        <f t="shared" si="71"/>
        <v>0</v>
      </c>
    </row>
    <row r="712" spans="1:18" x14ac:dyDescent="0.3">
      <c r="A712" s="1">
        <v>710</v>
      </c>
      <c r="B712">
        <v>0</v>
      </c>
      <c r="C712" t="s">
        <v>763</v>
      </c>
      <c r="D712" t="s">
        <v>77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f t="shared" si="66"/>
        <v>0.4</v>
      </c>
      <c r="M712">
        <f t="shared" si="67"/>
        <v>0</v>
      </c>
      <c r="N712">
        <f t="shared" si="68"/>
        <v>0</v>
      </c>
      <c r="O712">
        <f t="shared" si="69"/>
        <v>0</v>
      </c>
      <c r="P712">
        <f t="shared" si="70"/>
        <v>0</v>
      </c>
      <c r="Q712" t="e">
        <f>VLOOKUP(C712,Sheet2!A:AU,47,0)</f>
        <v>#N/A</v>
      </c>
      <c r="R712">
        <f t="shared" si="71"/>
        <v>0</v>
      </c>
    </row>
    <row r="713" spans="1:18" x14ac:dyDescent="0.3">
      <c r="A713" s="1">
        <v>711</v>
      </c>
      <c r="B713">
        <v>0</v>
      </c>
      <c r="C713" t="s">
        <v>764</v>
      </c>
      <c r="D713" t="s">
        <v>77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f t="shared" si="66"/>
        <v>0.4</v>
      </c>
      <c r="M713">
        <f t="shared" si="67"/>
        <v>0</v>
      </c>
      <c r="N713">
        <f t="shared" si="68"/>
        <v>0</v>
      </c>
      <c r="O713">
        <f t="shared" si="69"/>
        <v>0</v>
      </c>
      <c r="P713">
        <f t="shared" si="70"/>
        <v>0</v>
      </c>
      <c r="Q713" t="e">
        <f>VLOOKUP(C713,Sheet2!A:AU,47,0)</f>
        <v>#N/A</v>
      </c>
      <c r="R713">
        <f t="shared" si="71"/>
        <v>0</v>
      </c>
    </row>
    <row r="714" spans="1:18" x14ac:dyDescent="0.3">
      <c r="A714" s="1">
        <v>712</v>
      </c>
      <c r="B714">
        <v>0</v>
      </c>
      <c r="C714" t="s">
        <v>765</v>
      </c>
      <c r="D714" t="s">
        <v>77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f t="shared" si="66"/>
        <v>0.4</v>
      </c>
      <c r="M714">
        <f t="shared" si="67"/>
        <v>0</v>
      </c>
      <c r="N714">
        <f t="shared" si="68"/>
        <v>0</v>
      </c>
      <c r="O714">
        <f t="shared" si="69"/>
        <v>0</v>
      </c>
      <c r="P714">
        <f t="shared" si="70"/>
        <v>0</v>
      </c>
      <c r="Q714" t="e">
        <f>VLOOKUP(C714,Sheet2!A:AU,47,0)</f>
        <v>#N/A</v>
      </c>
      <c r="R714">
        <f t="shared" si="71"/>
        <v>0</v>
      </c>
    </row>
    <row r="715" spans="1:18" x14ac:dyDescent="0.3">
      <c r="A715" s="1">
        <v>713</v>
      </c>
      <c r="B715">
        <v>0</v>
      </c>
      <c r="C715" t="s">
        <v>766</v>
      </c>
      <c r="D715" t="s">
        <v>77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f t="shared" si="66"/>
        <v>0.4</v>
      </c>
      <c r="M715">
        <f t="shared" si="67"/>
        <v>0</v>
      </c>
      <c r="N715">
        <f t="shared" si="68"/>
        <v>0</v>
      </c>
      <c r="O715">
        <f t="shared" si="69"/>
        <v>0</v>
      </c>
      <c r="P715">
        <f t="shared" si="70"/>
        <v>0</v>
      </c>
      <c r="Q715" t="e">
        <f>VLOOKUP(C715,Sheet2!A:AU,47,0)</f>
        <v>#N/A</v>
      </c>
      <c r="R715">
        <f t="shared" si="71"/>
        <v>0</v>
      </c>
    </row>
    <row r="716" spans="1:18" x14ac:dyDescent="0.3">
      <c r="A716" s="1">
        <v>714</v>
      </c>
      <c r="B716">
        <v>0</v>
      </c>
      <c r="C716" t="s">
        <v>767</v>
      </c>
      <c r="D716" t="s">
        <v>77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f t="shared" si="66"/>
        <v>0.4</v>
      </c>
      <c r="M716">
        <f t="shared" si="67"/>
        <v>0</v>
      </c>
      <c r="N716">
        <f t="shared" si="68"/>
        <v>0</v>
      </c>
      <c r="O716">
        <f t="shared" si="69"/>
        <v>0</v>
      </c>
      <c r="P716">
        <f t="shared" si="70"/>
        <v>0</v>
      </c>
      <c r="Q716" t="e">
        <f>VLOOKUP(C716,Sheet2!A:AU,47,0)</f>
        <v>#N/A</v>
      </c>
      <c r="R716">
        <f t="shared" si="71"/>
        <v>0</v>
      </c>
    </row>
    <row r="717" spans="1:18" x14ac:dyDescent="0.3">
      <c r="A717" s="1">
        <v>715</v>
      </c>
      <c r="B717">
        <v>0</v>
      </c>
      <c r="C717" t="s">
        <v>768</v>
      </c>
      <c r="D717" t="s">
        <v>77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f t="shared" si="66"/>
        <v>0.4</v>
      </c>
      <c r="M717">
        <f t="shared" si="67"/>
        <v>0</v>
      </c>
      <c r="N717">
        <f t="shared" si="68"/>
        <v>0</v>
      </c>
      <c r="O717">
        <f t="shared" si="69"/>
        <v>0</v>
      </c>
      <c r="P717">
        <f t="shared" si="70"/>
        <v>0</v>
      </c>
      <c r="Q717" t="e">
        <f>VLOOKUP(C717,Sheet2!A:AU,47,0)</f>
        <v>#N/A</v>
      </c>
      <c r="R717">
        <f t="shared" si="71"/>
        <v>0</v>
      </c>
    </row>
    <row r="718" spans="1:18" x14ac:dyDescent="0.3">
      <c r="A718" s="1">
        <v>716</v>
      </c>
      <c r="B718">
        <v>0</v>
      </c>
      <c r="C718" t="s">
        <v>769</v>
      </c>
      <c r="D718" t="s">
        <v>77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 t="shared" si="66"/>
        <v>0.4</v>
      </c>
      <c r="M718">
        <f t="shared" si="67"/>
        <v>0</v>
      </c>
      <c r="N718">
        <f t="shared" si="68"/>
        <v>0</v>
      </c>
      <c r="O718">
        <f t="shared" si="69"/>
        <v>0</v>
      </c>
      <c r="P718">
        <f t="shared" si="70"/>
        <v>0</v>
      </c>
      <c r="Q718" t="e">
        <f>VLOOKUP(C718,Sheet2!A:AU,47,0)</f>
        <v>#N/A</v>
      </c>
      <c r="R718">
        <f t="shared" si="71"/>
        <v>0</v>
      </c>
    </row>
    <row r="719" spans="1:18" x14ac:dyDescent="0.3">
      <c r="A719" s="1">
        <v>717</v>
      </c>
      <c r="B719">
        <v>0</v>
      </c>
      <c r="C719" t="s">
        <v>770</v>
      </c>
      <c r="D719" t="s">
        <v>77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f t="shared" si="66"/>
        <v>0.4</v>
      </c>
      <c r="M719">
        <f t="shared" si="67"/>
        <v>0</v>
      </c>
      <c r="N719">
        <f t="shared" si="68"/>
        <v>0</v>
      </c>
      <c r="O719">
        <f t="shared" si="69"/>
        <v>0</v>
      </c>
      <c r="P719">
        <f t="shared" si="70"/>
        <v>0</v>
      </c>
      <c r="Q719" t="e">
        <f>VLOOKUP(C719,Sheet2!A:AU,47,0)</f>
        <v>#N/A</v>
      </c>
      <c r="R719">
        <f t="shared" si="71"/>
        <v>0</v>
      </c>
    </row>
    <row r="720" spans="1:18" x14ac:dyDescent="0.3">
      <c r="A720" s="1">
        <v>718</v>
      </c>
      <c r="B720">
        <v>0</v>
      </c>
      <c r="C720" t="s">
        <v>771</v>
      </c>
      <c r="D720" t="s">
        <v>77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f t="shared" si="66"/>
        <v>0.4</v>
      </c>
      <c r="M720">
        <f t="shared" si="67"/>
        <v>0</v>
      </c>
      <c r="N720">
        <f t="shared" si="68"/>
        <v>0</v>
      </c>
      <c r="O720">
        <f t="shared" si="69"/>
        <v>0</v>
      </c>
      <c r="P720">
        <f t="shared" si="70"/>
        <v>0</v>
      </c>
      <c r="Q720" t="e">
        <f>VLOOKUP(C720,Sheet2!A:AU,47,0)</f>
        <v>#N/A</v>
      </c>
      <c r="R720">
        <f t="shared" si="71"/>
        <v>0</v>
      </c>
    </row>
    <row r="721" spans="1:18" x14ac:dyDescent="0.3">
      <c r="A721" s="1">
        <v>719</v>
      </c>
      <c r="B721">
        <v>0</v>
      </c>
      <c r="C721" t="s">
        <v>772</v>
      </c>
      <c r="D721" t="s">
        <v>164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f t="shared" si="66"/>
        <v>0.4</v>
      </c>
      <c r="M721">
        <f t="shared" si="67"/>
        <v>0</v>
      </c>
      <c r="N721">
        <f t="shared" si="68"/>
        <v>0</v>
      </c>
      <c r="O721">
        <f t="shared" si="69"/>
        <v>0</v>
      </c>
      <c r="P721">
        <f t="shared" si="70"/>
        <v>0</v>
      </c>
      <c r="Q721" t="e">
        <f>VLOOKUP(C721,Sheet2!A:AU,47,0)</f>
        <v>#N/A</v>
      </c>
      <c r="R721">
        <f t="shared" si="71"/>
        <v>0</v>
      </c>
    </row>
    <row r="722" spans="1:18" x14ac:dyDescent="0.3">
      <c r="A722" s="1">
        <v>720</v>
      </c>
      <c r="B722">
        <v>0</v>
      </c>
      <c r="C722" t="s">
        <v>773</v>
      </c>
      <c r="D722" t="s">
        <v>164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f t="shared" si="66"/>
        <v>0.4</v>
      </c>
      <c r="M722">
        <f t="shared" si="67"/>
        <v>0</v>
      </c>
      <c r="N722">
        <f t="shared" si="68"/>
        <v>0</v>
      </c>
      <c r="O722">
        <f t="shared" si="69"/>
        <v>0</v>
      </c>
      <c r="P722">
        <f t="shared" si="70"/>
        <v>0</v>
      </c>
      <c r="Q722" t="e">
        <f>VLOOKUP(C722,Sheet2!A:AU,47,0)</f>
        <v>#N/A</v>
      </c>
      <c r="R722">
        <f t="shared" si="71"/>
        <v>0</v>
      </c>
    </row>
    <row r="723" spans="1:18" x14ac:dyDescent="0.3">
      <c r="A723" s="1">
        <v>721</v>
      </c>
      <c r="B723">
        <v>0</v>
      </c>
      <c r="C723" t="s">
        <v>774</v>
      </c>
      <c r="D723" t="s">
        <v>164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f t="shared" si="66"/>
        <v>0.4</v>
      </c>
      <c r="M723">
        <f t="shared" si="67"/>
        <v>0</v>
      </c>
      <c r="N723">
        <f t="shared" si="68"/>
        <v>0</v>
      </c>
      <c r="O723">
        <f t="shared" si="69"/>
        <v>0</v>
      </c>
      <c r="P723">
        <f t="shared" si="70"/>
        <v>0</v>
      </c>
      <c r="Q723" t="e">
        <f>VLOOKUP(C723,Sheet2!A:AU,47,0)</f>
        <v>#N/A</v>
      </c>
      <c r="R723">
        <f t="shared" si="71"/>
        <v>0</v>
      </c>
    </row>
    <row r="724" spans="1:18" x14ac:dyDescent="0.3">
      <c r="A724" s="1">
        <v>722</v>
      </c>
      <c r="B724">
        <v>0</v>
      </c>
      <c r="C724" t="s">
        <v>775</v>
      </c>
      <c r="D724" t="s">
        <v>164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f t="shared" si="66"/>
        <v>0.4</v>
      </c>
      <c r="M724">
        <f t="shared" si="67"/>
        <v>0</v>
      </c>
      <c r="N724">
        <f t="shared" si="68"/>
        <v>0</v>
      </c>
      <c r="O724">
        <f t="shared" si="69"/>
        <v>0</v>
      </c>
      <c r="P724">
        <f t="shared" si="70"/>
        <v>0</v>
      </c>
      <c r="Q724" t="e">
        <f>VLOOKUP(C724,Sheet2!A:AU,47,0)</f>
        <v>#N/A</v>
      </c>
      <c r="R724">
        <f t="shared" si="71"/>
        <v>0</v>
      </c>
    </row>
    <row r="725" spans="1:18" x14ac:dyDescent="0.3">
      <c r="A725" s="1">
        <v>723</v>
      </c>
      <c r="B725">
        <v>0</v>
      </c>
      <c r="C725" t="s">
        <v>776</v>
      </c>
      <c r="D725" t="s">
        <v>164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f t="shared" si="66"/>
        <v>0.4</v>
      </c>
      <c r="M725">
        <f t="shared" si="67"/>
        <v>0</v>
      </c>
      <c r="N725">
        <f t="shared" si="68"/>
        <v>0</v>
      </c>
      <c r="O725">
        <f t="shared" si="69"/>
        <v>0</v>
      </c>
      <c r="P725">
        <f t="shared" si="70"/>
        <v>0</v>
      </c>
      <c r="Q725" t="e">
        <f>VLOOKUP(C725,Sheet2!A:AU,47,0)</f>
        <v>#N/A</v>
      </c>
      <c r="R725">
        <f t="shared" si="71"/>
        <v>0</v>
      </c>
    </row>
    <row r="726" spans="1:18" x14ac:dyDescent="0.3">
      <c r="A726" s="1">
        <v>724</v>
      </c>
      <c r="B726">
        <v>0</v>
      </c>
      <c r="C726" t="s">
        <v>777</v>
      </c>
      <c r="D726" t="s">
        <v>164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f t="shared" si="66"/>
        <v>0.4</v>
      </c>
      <c r="M726">
        <f t="shared" si="67"/>
        <v>0</v>
      </c>
      <c r="N726">
        <f t="shared" si="68"/>
        <v>0</v>
      </c>
      <c r="O726">
        <f t="shared" si="69"/>
        <v>0</v>
      </c>
      <c r="P726">
        <f t="shared" si="70"/>
        <v>0</v>
      </c>
      <c r="Q726" t="e">
        <f>VLOOKUP(C726,Sheet2!A:AU,47,0)</f>
        <v>#N/A</v>
      </c>
      <c r="R726">
        <f t="shared" si="71"/>
        <v>0</v>
      </c>
    </row>
    <row r="727" spans="1:18" x14ac:dyDescent="0.3">
      <c r="A727" s="1">
        <v>725</v>
      </c>
      <c r="B727">
        <v>0</v>
      </c>
      <c r="C727" t="s">
        <v>778</v>
      </c>
      <c r="D727" t="s">
        <v>164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f t="shared" si="66"/>
        <v>0.4</v>
      </c>
      <c r="M727">
        <f t="shared" si="67"/>
        <v>0</v>
      </c>
      <c r="N727">
        <f t="shared" si="68"/>
        <v>0</v>
      </c>
      <c r="O727">
        <f t="shared" si="69"/>
        <v>0</v>
      </c>
      <c r="P727">
        <f t="shared" si="70"/>
        <v>0</v>
      </c>
      <c r="Q727" t="e">
        <f>VLOOKUP(C727,Sheet2!A:AU,47,0)</f>
        <v>#N/A</v>
      </c>
      <c r="R727">
        <f t="shared" si="71"/>
        <v>0</v>
      </c>
    </row>
    <row r="728" spans="1:18" x14ac:dyDescent="0.3">
      <c r="A728" s="1">
        <v>726</v>
      </c>
      <c r="B728">
        <v>0</v>
      </c>
      <c r="C728" t="s">
        <v>779</v>
      </c>
      <c r="D728" t="s">
        <v>164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f t="shared" si="66"/>
        <v>0.4</v>
      </c>
      <c r="M728">
        <f t="shared" si="67"/>
        <v>0</v>
      </c>
      <c r="N728">
        <f t="shared" si="68"/>
        <v>0</v>
      </c>
      <c r="O728">
        <f t="shared" si="69"/>
        <v>0</v>
      </c>
      <c r="P728">
        <f t="shared" si="70"/>
        <v>0</v>
      </c>
      <c r="Q728" t="e">
        <f>VLOOKUP(C728,Sheet2!A:AU,47,0)</f>
        <v>#N/A</v>
      </c>
      <c r="R728">
        <f t="shared" si="71"/>
        <v>0</v>
      </c>
    </row>
    <row r="729" spans="1:18" x14ac:dyDescent="0.3">
      <c r="A729" s="1">
        <v>727</v>
      </c>
      <c r="B729">
        <v>0</v>
      </c>
      <c r="C729" t="s">
        <v>780</v>
      </c>
      <c r="D729" t="s">
        <v>164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f t="shared" si="66"/>
        <v>0.4</v>
      </c>
      <c r="M729">
        <f t="shared" si="67"/>
        <v>0</v>
      </c>
      <c r="N729">
        <f t="shared" si="68"/>
        <v>0</v>
      </c>
      <c r="O729">
        <f t="shared" si="69"/>
        <v>0</v>
      </c>
      <c r="P729">
        <f t="shared" si="70"/>
        <v>0</v>
      </c>
      <c r="Q729" t="e">
        <f>VLOOKUP(C729,Sheet2!A:AU,47,0)</f>
        <v>#N/A</v>
      </c>
      <c r="R729">
        <f t="shared" si="71"/>
        <v>0</v>
      </c>
    </row>
    <row r="730" spans="1:18" x14ac:dyDescent="0.3">
      <c r="A730" s="1">
        <v>728</v>
      </c>
      <c r="B730">
        <v>0</v>
      </c>
      <c r="C730" t="s">
        <v>781</v>
      </c>
      <c r="D730" t="s">
        <v>85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f t="shared" si="66"/>
        <v>0.4</v>
      </c>
      <c r="M730">
        <f t="shared" si="67"/>
        <v>0</v>
      </c>
      <c r="N730">
        <f t="shared" si="68"/>
        <v>0</v>
      </c>
      <c r="O730">
        <f t="shared" si="69"/>
        <v>0</v>
      </c>
      <c r="P730">
        <f t="shared" si="70"/>
        <v>0</v>
      </c>
      <c r="Q730" t="e">
        <f>VLOOKUP(C730,Sheet2!A:AU,47,0)</f>
        <v>#N/A</v>
      </c>
      <c r="R730">
        <f t="shared" si="71"/>
        <v>0</v>
      </c>
    </row>
    <row r="731" spans="1:18" x14ac:dyDescent="0.3">
      <c r="A731" s="1">
        <v>729</v>
      </c>
      <c r="B731">
        <v>0</v>
      </c>
      <c r="C731" t="s">
        <v>782</v>
      </c>
      <c r="D731" t="s">
        <v>85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f t="shared" si="66"/>
        <v>0.4</v>
      </c>
      <c r="M731">
        <f t="shared" si="67"/>
        <v>0</v>
      </c>
      <c r="N731">
        <f t="shared" si="68"/>
        <v>0</v>
      </c>
      <c r="O731">
        <f t="shared" si="69"/>
        <v>0</v>
      </c>
      <c r="P731">
        <f t="shared" si="70"/>
        <v>0</v>
      </c>
      <c r="Q731" t="e">
        <f>VLOOKUP(C731,Sheet2!A:AU,47,0)</f>
        <v>#N/A</v>
      </c>
      <c r="R731">
        <f t="shared" si="71"/>
        <v>0</v>
      </c>
    </row>
    <row r="732" spans="1:18" x14ac:dyDescent="0.3">
      <c r="A732" s="1">
        <v>730</v>
      </c>
      <c r="B732">
        <v>0</v>
      </c>
      <c r="C732" t="s">
        <v>783</v>
      </c>
      <c r="D732" t="s">
        <v>79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f t="shared" si="66"/>
        <v>0.4</v>
      </c>
      <c r="M732">
        <f t="shared" si="67"/>
        <v>0</v>
      </c>
      <c r="N732">
        <f t="shared" si="68"/>
        <v>0</v>
      </c>
      <c r="O732">
        <f t="shared" si="69"/>
        <v>0</v>
      </c>
      <c r="P732">
        <f t="shared" si="70"/>
        <v>0</v>
      </c>
      <c r="Q732" t="e">
        <f>VLOOKUP(C732,Sheet2!A:AU,47,0)</f>
        <v>#N/A</v>
      </c>
      <c r="R732">
        <f t="shared" si="71"/>
        <v>0</v>
      </c>
    </row>
    <row r="733" spans="1:18" x14ac:dyDescent="0.3">
      <c r="A733" s="1">
        <v>731</v>
      </c>
      <c r="B733">
        <v>0</v>
      </c>
      <c r="C733" t="s">
        <v>784</v>
      </c>
      <c r="D733" t="s">
        <v>79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f t="shared" si="66"/>
        <v>0.4</v>
      </c>
      <c r="M733">
        <f t="shared" si="67"/>
        <v>0</v>
      </c>
      <c r="N733">
        <f t="shared" si="68"/>
        <v>0</v>
      </c>
      <c r="O733">
        <f t="shared" si="69"/>
        <v>0</v>
      </c>
      <c r="P733">
        <f t="shared" si="70"/>
        <v>0</v>
      </c>
      <c r="Q733" t="e">
        <f>VLOOKUP(C733,Sheet2!A:AU,47,0)</f>
        <v>#N/A</v>
      </c>
      <c r="R733">
        <f t="shared" si="71"/>
        <v>0</v>
      </c>
    </row>
    <row r="734" spans="1:18" x14ac:dyDescent="0.3">
      <c r="A734" s="1">
        <v>732</v>
      </c>
      <c r="B734">
        <v>0</v>
      </c>
      <c r="C734" t="s">
        <v>785</v>
      </c>
      <c r="D734" t="s">
        <v>79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f t="shared" si="66"/>
        <v>0.4</v>
      </c>
      <c r="M734">
        <f t="shared" si="67"/>
        <v>0</v>
      </c>
      <c r="N734">
        <f t="shared" si="68"/>
        <v>0</v>
      </c>
      <c r="O734">
        <f t="shared" si="69"/>
        <v>0</v>
      </c>
      <c r="P734">
        <f t="shared" si="70"/>
        <v>0</v>
      </c>
      <c r="Q734" t="e">
        <f>VLOOKUP(C734,Sheet2!A:AU,47,0)</f>
        <v>#N/A</v>
      </c>
      <c r="R734">
        <f t="shared" si="71"/>
        <v>0</v>
      </c>
    </row>
    <row r="735" spans="1:18" x14ac:dyDescent="0.3">
      <c r="A735" s="1">
        <v>733</v>
      </c>
      <c r="B735">
        <v>0</v>
      </c>
      <c r="C735" t="s">
        <v>786</v>
      </c>
      <c r="D735" t="s">
        <v>79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f t="shared" si="66"/>
        <v>0.4</v>
      </c>
      <c r="M735">
        <f t="shared" si="67"/>
        <v>0</v>
      </c>
      <c r="N735">
        <f t="shared" si="68"/>
        <v>0</v>
      </c>
      <c r="O735">
        <f t="shared" si="69"/>
        <v>0</v>
      </c>
      <c r="P735">
        <f t="shared" si="70"/>
        <v>0</v>
      </c>
      <c r="Q735" t="e">
        <f>VLOOKUP(C735,Sheet2!A:AU,47,0)</f>
        <v>#N/A</v>
      </c>
      <c r="R735">
        <f t="shared" si="71"/>
        <v>0</v>
      </c>
    </row>
    <row r="736" spans="1:18" x14ac:dyDescent="0.3">
      <c r="A736" s="1">
        <v>734</v>
      </c>
      <c r="B736">
        <v>0</v>
      </c>
      <c r="C736" t="s">
        <v>787</v>
      </c>
      <c r="D736" t="s">
        <v>79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f t="shared" si="66"/>
        <v>0.4</v>
      </c>
      <c r="M736">
        <f t="shared" si="67"/>
        <v>0</v>
      </c>
      <c r="N736">
        <f t="shared" si="68"/>
        <v>0</v>
      </c>
      <c r="O736">
        <f t="shared" si="69"/>
        <v>0</v>
      </c>
      <c r="P736">
        <f t="shared" si="70"/>
        <v>0</v>
      </c>
      <c r="Q736" t="e">
        <f>VLOOKUP(C736,Sheet2!A:AU,47,0)</f>
        <v>#N/A</v>
      </c>
      <c r="R736">
        <f t="shared" si="71"/>
        <v>0</v>
      </c>
    </row>
    <row r="737" spans="1:18" x14ac:dyDescent="0.3">
      <c r="A737" s="1">
        <v>735</v>
      </c>
      <c r="B737">
        <v>0</v>
      </c>
      <c r="C737" t="s">
        <v>788</v>
      </c>
      <c r="D737" t="s">
        <v>79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f t="shared" si="66"/>
        <v>0.4</v>
      </c>
      <c r="M737">
        <f t="shared" si="67"/>
        <v>0</v>
      </c>
      <c r="N737">
        <f t="shared" si="68"/>
        <v>0</v>
      </c>
      <c r="O737">
        <f t="shared" si="69"/>
        <v>0</v>
      </c>
      <c r="P737">
        <f t="shared" si="70"/>
        <v>0</v>
      </c>
      <c r="Q737" t="e">
        <f>VLOOKUP(C737,Sheet2!A:AU,47,0)</f>
        <v>#N/A</v>
      </c>
      <c r="R737">
        <f t="shared" si="71"/>
        <v>0</v>
      </c>
    </row>
    <row r="738" spans="1:18" x14ac:dyDescent="0.3">
      <c r="A738" s="1">
        <v>736</v>
      </c>
      <c r="B738">
        <v>0</v>
      </c>
      <c r="C738" t="s">
        <v>789</v>
      </c>
      <c r="D738" t="s">
        <v>79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f t="shared" si="66"/>
        <v>0.4</v>
      </c>
      <c r="M738">
        <f t="shared" si="67"/>
        <v>0</v>
      </c>
      <c r="N738">
        <f t="shared" si="68"/>
        <v>0</v>
      </c>
      <c r="O738">
        <f t="shared" si="69"/>
        <v>0</v>
      </c>
      <c r="P738">
        <f t="shared" si="70"/>
        <v>0</v>
      </c>
      <c r="Q738" t="e">
        <f>VLOOKUP(C738,Sheet2!A:AU,47,0)</f>
        <v>#N/A</v>
      </c>
      <c r="R738">
        <f t="shared" si="71"/>
        <v>0</v>
      </c>
    </row>
    <row r="739" spans="1:18" x14ac:dyDescent="0.3">
      <c r="A739" s="1">
        <v>737</v>
      </c>
      <c r="B739">
        <v>0</v>
      </c>
      <c r="C739" t="s">
        <v>790</v>
      </c>
      <c r="D739" t="s">
        <v>66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f t="shared" si="66"/>
        <v>0.4</v>
      </c>
      <c r="M739">
        <f t="shared" si="67"/>
        <v>0</v>
      </c>
      <c r="N739">
        <f t="shared" si="68"/>
        <v>0</v>
      </c>
      <c r="O739">
        <f t="shared" si="69"/>
        <v>0</v>
      </c>
      <c r="P739">
        <f t="shared" si="70"/>
        <v>0</v>
      </c>
      <c r="Q739" t="e">
        <f>VLOOKUP(C739,Sheet2!A:AU,47,0)</f>
        <v>#N/A</v>
      </c>
      <c r="R739">
        <f t="shared" si="71"/>
        <v>0</v>
      </c>
    </row>
    <row r="740" spans="1:18" x14ac:dyDescent="0.3">
      <c r="A740" s="1">
        <v>738</v>
      </c>
      <c r="B740">
        <v>0</v>
      </c>
      <c r="C740" t="s">
        <v>791</v>
      </c>
      <c r="D740" t="s">
        <v>66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f t="shared" si="66"/>
        <v>0.4</v>
      </c>
      <c r="M740">
        <f t="shared" si="67"/>
        <v>0</v>
      </c>
      <c r="N740">
        <f t="shared" si="68"/>
        <v>0</v>
      </c>
      <c r="O740">
        <f t="shared" si="69"/>
        <v>0</v>
      </c>
      <c r="P740">
        <f t="shared" si="70"/>
        <v>0</v>
      </c>
      <c r="Q740" t="e">
        <f>VLOOKUP(C740,Sheet2!A:AU,47,0)</f>
        <v>#N/A</v>
      </c>
      <c r="R740">
        <f t="shared" si="71"/>
        <v>0</v>
      </c>
    </row>
    <row r="741" spans="1:18" x14ac:dyDescent="0.3">
      <c r="A741" s="1">
        <v>739</v>
      </c>
      <c r="B741">
        <v>0</v>
      </c>
      <c r="C741" t="s">
        <v>792</v>
      </c>
      <c r="D741" t="s">
        <v>66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f t="shared" si="66"/>
        <v>0.4</v>
      </c>
      <c r="M741">
        <f t="shared" si="67"/>
        <v>0</v>
      </c>
      <c r="N741">
        <f t="shared" si="68"/>
        <v>0</v>
      </c>
      <c r="O741">
        <f t="shared" si="69"/>
        <v>0</v>
      </c>
      <c r="P741">
        <f t="shared" si="70"/>
        <v>0</v>
      </c>
      <c r="Q741" t="e">
        <f>VLOOKUP(C741,Sheet2!A:AU,47,0)</f>
        <v>#N/A</v>
      </c>
      <c r="R741">
        <f t="shared" si="71"/>
        <v>0</v>
      </c>
    </row>
    <row r="742" spans="1:18" x14ac:dyDescent="0.3">
      <c r="A742" s="1">
        <v>740</v>
      </c>
      <c r="B742">
        <v>0</v>
      </c>
      <c r="C742" t="s">
        <v>793</v>
      </c>
      <c r="D742" t="s">
        <v>66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f t="shared" si="66"/>
        <v>0.4</v>
      </c>
      <c r="M742">
        <f t="shared" si="67"/>
        <v>0</v>
      </c>
      <c r="N742">
        <f t="shared" si="68"/>
        <v>0</v>
      </c>
      <c r="O742">
        <f t="shared" si="69"/>
        <v>0</v>
      </c>
      <c r="P742">
        <f t="shared" si="70"/>
        <v>0</v>
      </c>
      <c r="Q742" t="e">
        <f>VLOOKUP(C742,Sheet2!A:AU,47,0)</f>
        <v>#N/A</v>
      </c>
      <c r="R742">
        <f t="shared" si="71"/>
        <v>0</v>
      </c>
    </row>
    <row r="743" spans="1:18" x14ac:dyDescent="0.3">
      <c r="A743" s="1">
        <v>741</v>
      </c>
      <c r="B743">
        <v>0</v>
      </c>
      <c r="C743" t="s">
        <v>794</v>
      </c>
      <c r="D743" t="s">
        <v>66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f t="shared" si="66"/>
        <v>0.4</v>
      </c>
      <c r="M743">
        <f t="shared" si="67"/>
        <v>0</v>
      </c>
      <c r="N743">
        <f t="shared" si="68"/>
        <v>0</v>
      </c>
      <c r="O743">
        <f t="shared" si="69"/>
        <v>0</v>
      </c>
      <c r="P743">
        <f t="shared" si="70"/>
        <v>0</v>
      </c>
      <c r="Q743" t="e">
        <f>VLOOKUP(C743,Sheet2!A:AU,47,0)</f>
        <v>#N/A</v>
      </c>
      <c r="R743">
        <f t="shared" si="71"/>
        <v>0</v>
      </c>
    </row>
    <row r="744" spans="1:18" x14ac:dyDescent="0.3">
      <c r="A744" s="1">
        <v>742</v>
      </c>
      <c r="B744">
        <v>0</v>
      </c>
      <c r="C744" t="s">
        <v>795</v>
      </c>
      <c r="D744" t="s">
        <v>66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f t="shared" si="66"/>
        <v>0.4</v>
      </c>
      <c r="M744">
        <f t="shared" si="67"/>
        <v>0</v>
      </c>
      <c r="N744">
        <f t="shared" si="68"/>
        <v>0</v>
      </c>
      <c r="O744">
        <f t="shared" si="69"/>
        <v>0</v>
      </c>
      <c r="P744">
        <f t="shared" si="70"/>
        <v>0</v>
      </c>
      <c r="Q744" t="e">
        <f>VLOOKUP(C744,Sheet2!A:AU,47,0)</f>
        <v>#N/A</v>
      </c>
      <c r="R744">
        <f t="shared" si="71"/>
        <v>0</v>
      </c>
    </row>
    <row r="745" spans="1:18" x14ac:dyDescent="0.3">
      <c r="A745" s="1">
        <v>743</v>
      </c>
      <c r="B745">
        <v>0</v>
      </c>
      <c r="C745" t="s">
        <v>796</v>
      </c>
      <c r="D745" t="s">
        <v>66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f t="shared" si="66"/>
        <v>0.4</v>
      </c>
      <c r="M745">
        <f t="shared" si="67"/>
        <v>0</v>
      </c>
      <c r="N745">
        <f t="shared" si="68"/>
        <v>0</v>
      </c>
      <c r="O745">
        <f t="shared" si="69"/>
        <v>0</v>
      </c>
      <c r="P745">
        <f t="shared" si="70"/>
        <v>0</v>
      </c>
      <c r="Q745" t="e">
        <f>VLOOKUP(C745,Sheet2!A:AU,47,0)</f>
        <v>#N/A</v>
      </c>
      <c r="R745">
        <f t="shared" si="71"/>
        <v>0</v>
      </c>
    </row>
    <row r="746" spans="1:18" x14ac:dyDescent="0.3">
      <c r="A746" s="1">
        <v>744</v>
      </c>
      <c r="B746">
        <v>0</v>
      </c>
      <c r="C746" t="s">
        <v>797</v>
      </c>
      <c r="D746" t="s">
        <v>66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f t="shared" si="66"/>
        <v>0.4</v>
      </c>
      <c r="M746">
        <f t="shared" si="67"/>
        <v>0</v>
      </c>
      <c r="N746">
        <f t="shared" si="68"/>
        <v>0</v>
      </c>
      <c r="O746">
        <f t="shared" si="69"/>
        <v>0</v>
      </c>
      <c r="P746">
        <f t="shared" si="70"/>
        <v>0</v>
      </c>
      <c r="Q746" t="e">
        <f>VLOOKUP(C746,Sheet2!A:AU,47,0)</f>
        <v>#N/A</v>
      </c>
      <c r="R746">
        <f t="shared" si="71"/>
        <v>0</v>
      </c>
    </row>
    <row r="747" spans="1:18" x14ac:dyDescent="0.3">
      <c r="A747" s="1">
        <v>745</v>
      </c>
      <c r="B747">
        <v>0</v>
      </c>
      <c r="C747" t="s">
        <v>798</v>
      </c>
      <c r="D747" t="s">
        <v>66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f t="shared" si="66"/>
        <v>0.4</v>
      </c>
      <c r="M747">
        <f t="shared" si="67"/>
        <v>0</v>
      </c>
      <c r="N747">
        <f t="shared" si="68"/>
        <v>0</v>
      </c>
      <c r="O747">
        <f t="shared" si="69"/>
        <v>0</v>
      </c>
      <c r="P747">
        <f t="shared" si="70"/>
        <v>0</v>
      </c>
      <c r="Q747" t="e">
        <f>VLOOKUP(C747,Sheet2!A:AU,47,0)</f>
        <v>#N/A</v>
      </c>
      <c r="R747">
        <f t="shared" si="71"/>
        <v>0</v>
      </c>
    </row>
    <row r="748" spans="1:18" x14ac:dyDescent="0.3">
      <c r="A748" s="1">
        <v>746</v>
      </c>
      <c r="B748">
        <v>0</v>
      </c>
      <c r="C748" t="s">
        <v>799</v>
      </c>
      <c r="D748" t="s">
        <v>66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f t="shared" si="66"/>
        <v>0.4</v>
      </c>
      <c r="M748">
        <f t="shared" si="67"/>
        <v>0</v>
      </c>
      <c r="N748">
        <f t="shared" si="68"/>
        <v>0</v>
      </c>
      <c r="O748">
        <f t="shared" si="69"/>
        <v>0</v>
      </c>
      <c r="P748">
        <f t="shared" si="70"/>
        <v>0</v>
      </c>
      <c r="Q748" t="e">
        <f>VLOOKUP(C748,Sheet2!A:AU,47,0)</f>
        <v>#N/A</v>
      </c>
      <c r="R748">
        <f t="shared" si="71"/>
        <v>0</v>
      </c>
    </row>
    <row r="749" spans="1:18" x14ac:dyDescent="0.3">
      <c r="A749" s="1">
        <v>747</v>
      </c>
      <c r="B749">
        <v>0</v>
      </c>
      <c r="C749" t="s">
        <v>800</v>
      </c>
      <c r="D749" t="s">
        <v>66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f t="shared" si="66"/>
        <v>0.4</v>
      </c>
      <c r="M749">
        <f t="shared" si="67"/>
        <v>0</v>
      </c>
      <c r="N749">
        <f t="shared" si="68"/>
        <v>0</v>
      </c>
      <c r="O749">
        <f t="shared" si="69"/>
        <v>0</v>
      </c>
      <c r="P749">
        <f t="shared" si="70"/>
        <v>0</v>
      </c>
      <c r="Q749" t="e">
        <f>VLOOKUP(C749,Sheet2!A:AU,47,0)</f>
        <v>#N/A</v>
      </c>
      <c r="R749">
        <f t="shared" si="71"/>
        <v>0</v>
      </c>
    </row>
    <row r="750" spans="1:18" x14ac:dyDescent="0.3">
      <c r="A750" s="1">
        <v>748</v>
      </c>
      <c r="B750">
        <v>0</v>
      </c>
      <c r="C750" t="s">
        <v>801</v>
      </c>
      <c r="D750" t="s">
        <v>64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f t="shared" si="66"/>
        <v>0.4</v>
      </c>
      <c r="M750">
        <f t="shared" si="67"/>
        <v>0</v>
      </c>
      <c r="N750">
        <f t="shared" si="68"/>
        <v>0</v>
      </c>
      <c r="O750">
        <f t="shared" si="69"/>
        <v>0</v>
      </c>
      <c r="P750">
        <f t="shared" si="70"/>
        <v>0</v>
      </c>
      <c r="Q750" t="e">
        <f>VLOOKUP(C750,Sheet2!A:AU,47,0)</f>
        <v>#N/A</v>
      </c>
      <c r="R750">
        <f t="shared" si="71"/>
        <v>0</v>
      </c>
    </row>
    <row r="751" spans="1:18" x14ac:dyDescent="0.3">
      <c r="A751" s="1">
        <v>749</v>
      </c>
      <c r="B751">
        <v>0</v>
      </c>
      <c r="C751" t="s">
        <v>802</v>
      </c>
      <c r="D751" t="s">
        <v>64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f t="shared" si="66"/>
        <v>0.4</v>
      </c>
      <c r="M751">
        <f t="shared" si="67"/>
        <v>0</v>
      </c>
      <c r="N751">
        <f t="shared" si="68"/>
        <v>0</v>
      </c>
      <c r="O751">
        <f t="shared" si="69"/>
        <v>0</v>
      </c>
      <c r="P751">
        <f t="shared" si="70"/>
        <v>0</v>
      </c>
      <c r="Q751" t="e">
        <f>VLOOKUP(C751,Sheet2!A:AU,47,0)</f>
        <v>#N/A</v>
      </c>
      <c r="R751">
        <f t="shared" si="71"/>
        <v>0</v>
      </c>
    </row>
    <row r="752" spans="1:18" x14ac:dyDescent="0.3">
      <c r="A752" s="1">
        <v>750</v>
      </c>
      <c r="B752">
        <v>0</v>
      </c>
      <c r="C752" t="s">
        <v>803</v>
      </c>
      <c r="D752" t="s">
        <v>64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f t="shared" si="66"/>
        <v>0.4</v>
      </c>
      <c r="M752">
        <f t="shared" si="67"/>
        <v>0</v>
      </c>
      <c r="N752">
        <f t="shared" si="68"/>
        <v>0</v>
      </c>
      <c r="O752">
        <f t="shared" si="69"/>
        <v>0</v>
      </c>
      <c r="P752">
        <f t="shared" si="70"/>
        <v>0</v>
      </c>
      <c r="Q752" t="e">
        <f>VLOOKUP(C752,Sheet2!A:AU,47,0)</f>
        <v>#N/A</v>
      </c>
      <c r="R752">
        <f t="shared" si="71"/>
        <v>0</v>
      </c>
    </row>
    <row r="753" spans="1:18" x14ac:dyDescent="0.3">
      <c r="A753" s="1">
        <v>751</v>
      </c>
      <c r="B753">
        <v>0</v>
      </c>
      <c r="C753" t="s">
        <v>804</v>
      </c>
      <c r="D753" t="s">
        <v>64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f t="shared" si="66"/>
        <v>0.4</v>
      </c>
      <c r="M753">
        <f t="shared" si="67"/>
        <v>0</v>
      </c>
      <c r="N753">
        <f t="shared" si="68"/>
        <v>0</v>
      </c>
      <c r="O753">
        <f t="shared" si="69"/>
        <v>0</v>
      </c>
      <c r="P753">
        <f t="shared" si="70"/>
        <v>0</v>
      </c>
      <c r="Q753" t="e">
        <f>VLOOKUP(C753,Sheet2!A:AU,47,0)</f>
        <v>#N/A</v>
      </c>
      <c r="R753">
        <f t="shared" si="71"/>
        <v>0</v>
      </c>
    </row>
    <row r="754" spans="1:18" x14ac:dyDescent="0.3">
      <c r="A754" s="1">
        <v>752</v>
      </c>
      <c r="B754">
        <v>0</v>
      </c>
      <c r="C754" t="s">
        <v>805</v>
      </c>
      <c r="D754" t="s">
        <v>64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f t="shared" si="66"/>
        <v>0.4</v>
      </c>
      <c r="M754">
        <f t="shared" si="67"/>
        <v>0</v>
      </c>
      <c r="N754">
        <f t="shared" si="68"/>
        <v>0</v>
      </c>
      <c r="O754">
        <f t="shared" si="69"/>
        <v>0</v>
      </c>
      <c r="P754">
        <f t="shared" si="70"/>
        <v>0</v>
      </c>
      <c r="Q754" t="e">
        <f>VLOOKUP(C754,Sheet2!A:AU,47,0)</f>
        <v>#N/A</v>
      </c>
      <c r="R754">
        <f t="shared" si="71"/>
        <v>0</v>
      </c>
    </row>
    <row r="755" spans="1:18" x14ac:dyDescent="0.3">
      <c r="A755" s="1">
        <v>753</v>
      </c>
      <c r="B755">
        <v>0</v>
      </c>
      <c r="C755" t="s">
        <v>806</v>
      </c>
      <c r="D755" t="s">
        <v>64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f t="shared" si="66"/>
        <v>0.4</v>
      </c>
      <c r="M755">
        <f t="shared" si="67"/>
        <v>0</v>
      </c>
      <c r="N755">
        <f t="shared" si="68"/>
        <v>0</v>
      </c>
      <c r="O755">
        <f t="shared" si="69"/>
        <v>0</v>
      </c>
      <c r="P755">
        <f t="shared" si="70"/>
        <v>0</v>
      </c>
      <c r="Q755" t="e">
        <f>VLOOKUP(C755,Sheet2!A:AU,47,0)</f>
        <v>#N/A</v>
      </c>
      <c r="R755">
        <f t="shared" si="71"/>
        <v>0</v>
      </c>
    </row>
    <row r="756" spans="1:18" x14ac:dyDescent="0.3">
      <c r="A756" s="1">
        <v>754</v>
      </c>
      <c r="B756">
        <v>0</v>
      </c>
      <c r="C756" t="s">
        <v>807</v>
      </c>
      <c r="D756" t="s">
        <v>64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f t="shared" si="66"/>
        <v>0.4</v>
      </c>
      <c r="M756">
        <f t="shared" si="67"/>
        <v>0</v>
      </c>
      <c r="N756">
        <f t="shared" si="68"/>
        <v>0</v>
      </c>
      <c r="O756">
        <f t="shared" si="69"/>
        <v>0</v>
      </c>
      <c r="P756">
        <f t="shared" si="70"/>
        <v>0</v>
      </c>
      <c r="Q756" t="e">
        <f>VLOOKUP(C756,Sheet2!A:AU,47,0)</f>
        <v>#N/A</v>
      </c>
      <c r="R756">
        <f t="shared" si="71"/>
        <v>0</v>
      </c>
    </row>
    <row r="757" spans="1:18" x14ac:dyDescent="0.3">
      <c r="A757" s="1">
        <v>755</v>
      </c>
      <c r="B757">
        <v>0</v>
      </c>
      <c r="C757" t="s">
        <v>808</v>
      </c>
      <c r="D757" t="s">
        <v>23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f t="shared" si="66"/>
        <v>0.4</v>
      </c>
      <c r="M757">
        <f t="shared" si="67"/>
        <v>0</v>
      </c>
      <c r="N757">
        <f t="shared" si="68"/>
        <v>0</v>
      </c>
      <c r="O757">
        <f t="shared" si="69"/>
        <v>0</v>
      </c>
      <c r="P757">
        <f t="shared" si="70"/>
        <v>0</v>
      </c>
      <c r="Q757" t="e">
        <f>VLOOKUP(C757,Sheet2!A:AU,47,0)</f>
        <v>#N/A</v>
      </c>
      <c r="R757">
        <f t="shared" si="71"/>
        <v>0</v>
      </c>
    </row>
    <row r="758" spans="1:18" x14ac:dyDescent="0.3">
      <c r="A758" s="1">
        <v>756</v>
      </c>
      <c r="B758">
        <v>0</v>
      </c>
      <c r="C758" t="s">
        <v>809</v>
      </c>
      <c r="D758" t="s">
        <v>23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f t="shared" si="66"/>
        <v>0.4</v>
      </c>
      <c r="M758">
        <f t="shared" si="67"/>
        <v>0</v>
      </c>
      <c r="N758">
        <f t="shared" si="68"/>
        <v>0</v>
      </c>
      <c r="O758">
        <f t="shared" si="69"/>
        <v>0</v>
      </c>
      <c r="P758">
        <f t="shared" si="70"/>
        <v>0</v>
      </c>
      <c r="Q758" t="e">
        <f>VLOOKUP(C758,Sheet2!A:AU,47,0)</f>
        <v>#N/A</v>
      </c>
      <c r="R758">
        <f t="shared" si="71"/>
        <v>0</v>
      </c>
    </row>
    <row r="759" spans="1:18" x14ac:dyDescent="0.3">
      <c r="A759" s="1">
        <v>757</v>
      </c>
      <c r="B759">
        <v>0</v>
      </c>
      <c r="C759" t="s">
        <v>810</v>
      </c>
      <c r="D759" t="s">
        <v>23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f t="shared" si="66"/>
        <v>0.4</v>
      </c>
      <c r="M759">
        <f t="shared" si="67"/>
        <v>0</v>
      </c>
      <c r="N759">
        <f t="shared" si="68"/>
        <v>0</v>
      </c>
      <c r="O759">
        <f t="shared" si="69"/>
        <v>0</v>
      </c>
      <c r="P759">
        <f t="shared" si="70"/>
        <v>0</v>
      </c>
      <c r="Q759" t="e">
        <f>VLOOKUP(C759,Sheet2!A:AU,47,0)</f>
        <v>#N/A</v>
      </c>
      <c r="R759">
        <f t="shared" si="71"/>
        <v>0</v>
      </c>
    </row>
    <row r="760" spans="1:18" x14ac:dyDescent="0.3">
      <c r="A760" s="1">
        <v>758</v>
      </c>
      <c r="B760">
        <v>0</v>
      </c>
      <c r="C760" t="s">
        <v>811</v>
      </c>
      <c r="D760" t="s">
        <v>23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f t="shared" si="66"/>
        <v>0.4</v>
      </c>
      <c r="M760">
        <f t="shared" si="67"/>
        <v>0</v>
      </c>
      <c r="N760">
        <f t="shared" si="68"/>
        <v>0</v>
      </c>
      <c r="O760">
        <f t="shared" si="69"/>
        <v>0</v>
      </c>
      <c r="P760">
        <f t="shared" si="70"/>
        <v>0</v>
      </c>
      <c r="Q760" t="e">
        <f>VLOOKUP(C760,Sheet2!A:AU,47,0)</f>
        <v>#N/A</v>
      </c>
      <c r="R760">
        <f t="shared" si="71"/>
        <v>0</v>
      </c>
    </row>
    <row r="761" spans="1:18" x14ac:dyDescent="0.3">
      <c r="A761" s="1">
        <v>759</v>
      </c>
      <c r="B761">
        <v>0</v>
      </c>
      <c r="C761" t="s">
        <v>812</v>
      </c>
      <c r="D761" t="s">
        <v>23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f t="shared" si="66"/>
        <v>0.4</v>
      </c>
      <c r="M761">
        <f t="shared" si="67"/>
        <v>0</v>
      </c>
      <c r="N761">
        <f t="shared" si="68"/>
        <v>0</v>
      </c>
      <c r="O761">
        <f t="shared" si="69"/>
        <v>0</v>
      </c>
      <c r="P761">
        <f t="shared" si="70"/>
        <v>0</v>
      </c>
      <c r="Q761" t="e">
        <f>VLOOKUP(C761,Sheet2!A:AU,47,0)</f>
        <v>#N/A</v>
      </c>
      <c r="R761">
        <f t="shared" si="71"/>
        <v>0</v>
      </c>
    </row>
    <row r="762" spans="1:18" x14ac:dyDescent="0.3">
      <c r="A762" s="1">
        <v>760</v>
      </c>
      <c r="B762">
        <v>0</v>
      </c>
      <c r="C762" t="s">
        <v>813</v>
      </c>
      <c r="D762" t="s">
        <v>109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f t="shared" si="66"/>
        <v>0.4</v>
      </c>
      <c r="M762">
        <f t="shared" si="67"/>
        <v>0</v>
      </c>
      <c r="N762">
        <f t="shared" si="68"/>
        <v>0</v>
      </c>
      <c r="O762">
        <f t="shared" si="69"/>
        <v>0</v>
      </c>
      <c r="P762">
        <f t="shared" si="70"/>
        <v>0</v>
      </c>
      <c r="Q762" t="e">
        <f>VLOOKUP(C762,Sheet2!A:AU,47,0)</f>
        <v>#N/A</v>
      </c>
      <c r="R762">
        <f t="shared" si="71"/>
        <v>0</v>
      </c>
    </row>
    <row r="763" spans="1:18" x14ac:dyDescent="0.3">
      <c r="A763" s="1">
        <v>761</v>
      </c>
      <c r="B763">
        <v>0</v>
      </c>
      <c r="C763" t="s">
        <v>814</v>
      </c>
      <c r="D763" t="s">
        <v>109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f t="shared" si="66"/>
        <v>0.4</v>
      </c>
      <c r="M763">
        <f t="shared" si="67"/>
        <v>0</v>
      </c>
      <c r="N763">
        <f t="shared" si="68"/>
        <v>0</v>
      </c>
      <c r="O763">
        <f t="shared" si="69"/>
        <v>0</v>
      </c>
      <c r="P763">
        <f t="shared" si="70"/>
        <v>0</v>
      </c>
      <c r="Q763" t="e">
        <f>VLOOKUP(C763,Sheet2!A:AU,47,0)</f>
        <v>#N/A</v>
      </c>
      <c r="R763">
        <f t="shared" si="71"/>
        <v>0</v>
      </c>
    </row>
    <row r="764" spans="1:18" x14ac:dyDescent="0.3">
      <c r="A764" s="1">
        <v>762</v>
      </c>
      <c r="B764">
        <v>0</v>
      </c>
      <c r="C764" t="s">
        <v>815</v>
      </c>
      <c r="D764" t="s">
        <v>109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f t="shared" si="66"/>
        <v>0.4</v>
      </c>
      <c r="M764">
        <f t="shared" si="67"/>
        <v>0</v>
      </c>
      <c r="N764">
        <f t="shared" si="68"/>
        <v>0</v>
      </c>
      <c r="O764">
        <f t="shared" si="69"/>
        <v>0</v>
      </c>
      <c r="P764">
        <f t="shared" si="70"/>
        <v>0</v>
      </c>
      <c r="Q764" t="e">
        <f>VLOOKUP(C764,Sheet2!A:AU,47,0)</f>
        <v>#N/A</v>
      </c>
      <c r="R764">
        <f t="shared" si="71"/>
        <v>0</v>
      </c>
    </row>
    <row r="765" spans="1:18" x14ac:dyDescent="0.3">
      <c r="A765" s="1">
        <v>763</v>
      </c>
      <c r="B765">
        <v>0</v>
      </c>
      <c r="C765" t="s">
        <v>816</v>
      </c>
      <c r="D765" t="s">
        <v>109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f t="shared" si="66"/>
        <v>0.4</v>
      </c>
      <c r="M765">
        <f t="shared" si="67"/>
        <v>0</v>
      </c>
      <c r="N765">
        <f t="shared" si="68"/>
        <v>0</v>
      </c>
      <c r="O765">
        <f t="shared" si="69"/>
        <v>0</v>
      </c>
      <c r="P765">
        <f t="shared" si="70"/>
        <v>0</v>
      </c>
      <c r="Q765" t="e">
        <f>VLOOKUP(C765,Sheet2!A:AU,47,0)</f>
        <v>#N/A</v>
      </c>
      <c r="R765">
        <f t="shared" si="71"/>
        <v>0</v>
      </c>
    </row>
    <row r="766" spans="1:18" x14ac:dyDescent="0.3">
      <c r="A766" s="1">
        <v>764</v>
      </c>
      <c r="B766">
        <v>0</v>
      </c>
      <c r="C766" t="s">
        <v>817</v>
      </c>
      <c r="D766" t="s">
        <v>160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f t="shared" si="66"/>
        <v>0.4</v>
      </c>
      <c r="M766">
        <f t="shared" si="67"/>
        <v>0</v>
      </c>
      <c r="N766">
        <f t="shared" si="68"/>
        <v>0</v>
      </c>
      <c r="O766">
        <f t="shared" si="69"/>
        <v>0</v>
      </c>
      <c r="P766">
        <f t="shared" si="70"/>
        <v>0</v>
      </c>
      <c r="Q766" t="e">
        <f>VLOOKUP(C766,Sheet2!A:AU,47,0)</f>
        <v>#N/A</v>
      </c>
      <c r="R766">
        <f t="shared" si="71"/>
        <v>0</v>
      </c>
    </row>
    <row r="767" spans="1:18" x14ac:dyDescent="0.3">
      <c r="A767" s="1">
        <v>765</v>
      </c>
      <c r="B767">
        <v>0</v>
      </c>
      <c r="C767" t="s">
        <v>818</v>
      </c>
      <c r="D767" t="s">
        <v>160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f t="shared" si="66"/>
        <v>0.4</v>
      </c>
      <c r="M767">
        <f t="shared" si="67"/>
        <v>0</v>
      </c>
      <c r="N767">
        <f t="shared" si="68"/>
        <v>0</v>
      </c>
      <c r="O767">
        <f t="shared" si="69"/>
        <v>0</v>
      </c>
      <c r="P767">
        <f t="shared" si="70"/>
        <v>0</v>
      </c>
      <c r="Q767" t="e">
        <f>VLOOKUP(C767,Sheet2!A:AU,47,0)</f>
        <v>#N/A</v>
      </c>
      <c r="R767">
        <f t="shared" si="71"/>
        <v>0</v>
      </c>
    </row>
    <row r="768" spans="1:18" x14ac:dyDescent="0.3">
      <c r="A768" s="1">
        <v>766</v>
      </c>
      <c r="B768">
        <v>0</v>
      </c>
      <c r="C768" t="s">
        <v>819</v>
      </c>
      <c r="D768" t="s">
        <v>160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f t="shared" si="66"/>
        <v>0.4</v>
      </c>
      <c r="M768">
        <f t="shared" si="67"/>
        <v>0</v>
      </c>
      <c r="N768">
        <f t="shared" si="68"/>
        <v>0</v>
      </c>
      <c r="O768">
        <f t="shared" si="69"/>
        <v>0</v>
      </c>
      <c r="P768">
        <f t="shared" si="70"/>
        <v>0</v>
      </c>
      <c r="Q768" t="e">
        <f>VLOOKUP(C768,Sheet2!A:AU,47,0)</f>
        <v>#N/A</v>
      </c>
      <c r="R768">
        <f t="shared" si="71"/>
        <v>0</v>
      </c>
    </row>
    <row r="769" spans="1:18" x14ac:dyDescent="0.3">
      <c r="A769" s="1">
        <v>767</v>
      </c>
      <c r="B769">
        <v>0</v>
      </c>
      <c r="C769" t="s">
        <v>820</v>
      </c>
      <c r="D769" t="s">
        <v>160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f t="shared" si="66"/>
        <v>0.4</v>
      </c>
      <c r="M769">
        <f t="shared" si="67"/>
        <v>0</v>
      </c>
      <c r="N769">
        <f t="shared" si="68"/>
        <v>0</v>
      </c>
      <c r="O769">
        <f t="shared" si="69"/>
        <v>0</v>
      </c>
      <c r="P769">
        <f t="shared" si="70"/>
        <v>0</v>
      </c>
      <c r="Q769" t="e">
        <f>VLOOKUP(C769,Sheet2!A:AU,47,0)</f>
        <v>#N/A</v>
      </c>
      <c r="R769">
        <f t="shared" si="71"/>
        <v>0</v>
      </c>
    </row>
    <row r="770" spans="1:18" x14ac:dyDescent="0.3">
      <c r="A770" s="1">
        <v>768</v>
      </c>
      <c r="B770">
        <v>0</v>
      </c>
      <c r="C770" t="s">
        <v>725</v>
      </c>
      <c r="D770" t="s">
        <v>160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f t="shared" si="66"/>
        <v>0.4</v>
      </c>
      <c r="M770">
        <f t="shared" si="67"/>
        <v>0</v>
      </c>
      <c r="N770">
        <f t="shared" si="68"/>
        <v>0</v>
      </c>
      <c r="O770">
        <f t="shared" si="69"/>
        <v>0</v>
      </c>
      <c r="P770">
        <f t="shared" si="70"/>
        <v>0</v>
      </c>
      <c r="Q770" t="e">
        <f>VLOOKUP(C770,Sheet2!A:AU,47,0)</f>
        <v>#N/A</v>
      </c>
      <c r="R770">
        <f t="shared" si="71"/>
        <v>0</v>
      </c>
    </row>
    <row r="771" spans="1:18" x14ac:dyDescent="0.3">
      <c r="A771" s="1">
        <v>769</v>
      </c>
      <c r="B771">
        <v>0</v>
      </c>
      <c r="C771" t="s">
        <v>821</v>
      </c>
      <c r="D771" t="s">
        <v>160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f t="shared" ref="L771:L834" si="72">MAX(H:H)</f>
        <v>0.4</v>
      </c>
      <c r="M771">
        <f t="shared" ref="M771:M834" si="73">MIN(H:H)</f>
        <v>0</v>
      </c>
      <c r="N771">
        <f t="shared" ref="N771:N834" si="74">(H771-M771)/(L771-M771)</f>
        <v>0</v>
      </c>
      <c r="O771">
        <f t="shared" ref="O771:O834" si="75">N771*0.0442</f>
        <v>0</v>
      </c>
      <c r="P771">
        <f t="shared" ref="P771:P834" si="76">O771*100</f>
        <v>0</v>
      </c>
      <c r="Q771" t="e">
        <f>VLOOKUP(C771,Sheet2!A:AU,47,0)</f>
        <v>#N/A</v>
      </c>
      <c r="R771">
        <f t="shared" ref="R771:R834" si="77">IFERROR((P771+Q771),0)</f>
        <v>0</v>
      </c>
    </row>
    <row r="772" spans="1:18" x14ac:dyDescent="0.3">
      <c r="A772" s="1">
        <v>770</v>
      </c>
      <c r="B772">
        <v>0</v>
      </c>
      <c r="C772" t="s">
        <v>822</v>
      </c>
      <c r="D772" t="s">
        <v>160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f t="shared" si="72"/>
        <v>0.4</v>
      </c>
      <c r="M772">
        <f t="shared" si="73"/>
        <v>0</v>
      </c>
      <c r="N772">
        <f t="shared" si="74"/>
        <v>0</v>
      </c>
      <c r="O772">
        <f t="shared" si="75"/>
        <v>0</v>
      </c>
      <c r="P772">
        <f t="shared" si="76"/>
        <v>0</v>
      </c>
      <c r="Q772" t="e">
        <f>VLOOKUP(C772,Sheet2!A:AU,47,0)</f>
        <v>#N/A</v>
      </c>
      <c r="R772">
        <f t="shared" si="77"/>
        <v>0</v>
      </c>
    </row>
    <row r="773" spans="1:18" x14ac:dyDescent="0.3">
      <c r="A773" s="1">
        <v>771</v>
      </c>
      <c r="B773">
        <v>0</v>
      </c>
      <c r="C773" t="s">
        <v>823</v>
      </c>
      <c r="D773" t="s">
        <v>160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f t="shared" si="72"/>
        <v>0.4</v>
      </c>
      <c r="M773">
        <f t="shared" si="73"/>
        <v>0</v>
      </c>
      <c r="N773">
        <f t="shared" si="74"/>
        <v>0</v>
      </c>
      <c r="O773">
        <f t="shared" si="75"/>
        <v>0</v>
      </c>
      <c r="P773">
        <f t="shared" si="76"/>
        <v>0</v>
      </c>
      <c r="Q773" t="e">
        <f>VLOOKUP(C773,Sheet2!A:AU,47,0)</f>
        <v>#N/A</v>
      </c>
      <c r="R773">
        <f t="shared" si="77"/>
        <v>0</v>
      </c>
    </row>
    <row r="774" spans="1:18" x14ac:dyDescent="0.3">
      <c r="A774" s="1">
        <v>772</v>
      </c>
      <c r="B774">
        <v>0</v>
      </c>
      <c r="C774" t="s">
        <v>824</v>
      </c>
      <c r="D774" t="s">
        <v>182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f t="shared" si="72"/>
        <v>0.4</v>
      </c>
      <c r="M774">
        <f t="shared" si="73"/>
        <v>0</v>
      </c>
      <c r="N774">
        <f t="shared" si="74"/>
        <v>0</v>
      </c>
      <c r="O774">
        <f t="shared" si="75"/>
        <v>0</v>
      </c>
      <c r="P774">
        <f t="shared" si="76"/>
        <v>0</v>
      </c>
      <c r="Q774" t="e">
        <f>VLOOKUP(C774,Sheet2!A:AU,47,0)</f>
        <v>#N/A</v>
      </c>
      <c r="R774">
        <f t="shared" si="77"/>
        <v>0</v>
      </c>
    </row>
    <row r="775" spans="1:18" x14ac:dyDescent="0.3">
      <c r="A775" s="1">
        <v>773</v>
      </c>
      <c r="B775">
        <v>0</v>
      </c>
      <c r="C775" t="s">
        <v>825</v>
      </c>
      <c r="D775" t="s">
        <v>182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f t="shared" si="72"/>
        <v>0.4</v>
      </c>
      <c r="M775">
        <f t="shared" si="73"/>
        <v>0</v>
      </c>
      <c r="N775">
        <f t="shared" si="74"/>
        <v>0</v>
      </c>
      <c r="O775">
        <f t="shared" si="75"/>
        <v>0</v>
      </c>
      <c r="P775">
        <f t="shared" si="76"/>
        <v>0</v>
      </c>
      <c r="Q775" t="e">
        <f>VLOOKUP(C775,Sheet2!A:AU,47,0)</f>
        <v>#N/A</v>
      </c>
      <c r="R775">
        <f t="shared" si="77"/>
        <v>0</v>
      </c>
    </row>
    <row r="776" spans="1:18" x14ac:dyDescent="0.3">
      <c r="A776" s="1">
        <v>774</v>
      </c>
      <c r="B776">
        <v>0</v>
      </c>
      <c r="C776" t="s">
        <v>826</v>
      </c>
      <c r="D776" t="s">
        <v>182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f t="shared" si="72"/>
        <v>0.4</v>
      </c>
      <c r="M776">
        <f t="shared" si="73"/>
        <v>0</v>
      </c>
      <c r="N776">
        <f t="shared" si="74"/>
        <v>0</v>
      </c>
      <c r="O776">
        <f t="shared" si="75"/>
        <v>0</v>
      </c>
      <c r="P776">
        <f t="shared" si="76"/>
        <v>0</v>
      </c>
      <c r="Q776" t="e">
        <f>VLOOKUP(C776,Sheet2!A:AU,47,0)</f>
        <v>#N/A</v>
      </c>
      <c r="R776">
        <f t="shared" si="77"/>
        <v>0</v>
      </c>
    </row>
    <row r="777" spans="1:18" x14ac:dyDescent="0.3">
      <c r="A777" s="1">
        <v>775</v>
      </c>
      <c r="B777">
        <v>0</v>
      </c>
      <c r="C777" t="s">
        <v>827</v>
      </c>
      <c r="D777" t="s">
        <v>182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f t="shared" si="72"/>
        <v>0.4</v>
      </c>
      <c r="M777">
        <f t="shared" si="73"/>
        <v>0</v>
      </c>
      <c r="N777">
        <f t="shared" si="74"/>
        <v>0</v>
      </c>
      <c r="O777">
        <f t="shared" si="75"/>
        <v>0</v>
      </c>
      <c r="P777">
        <f t="shared" si="76"/>
        <v>0</v>
      </c>
      <c r="Q777" t="e">
        <f>VLOOKUP(C777,Sheet2!A:AU,47,0)</f>
        <v>#N/A</v>
      </c>
      <c r="R777">
        <f t="shared" si="77"/>
        <v>0</v>
      </c>
    </row>
    <row r="778" spans="1:18" x14ac:dyDescent="0.3">
      <c r="A778" s="1">
        <v>776</v>
      </c>
      <c r="B778">
        <v>0</v>
      </c>
      <c r="C778" t="s">
        <v>828</v>
      </c>
      <c r="D778" t="s">
        <v>89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f t="shared" si="72"/>
        <v>0.4</v>
      </c>
      <c r="M778">
        <f t="shared" si="73"/>
        <v>0</v>
      </c>
      <c r="N778">
        <f t="shared" si="74"/>
        <v>0</v>
      </c>
      <c r="O778">
        <f t="shared" si="75"/>
        <v>0</v>
      </c>
      <c r="P778">
        <f t="shared" si="76"/>
        <v>0</v>
      </c>
      <c r="Q778" t="e">
        <f>VLOOKUP(C778,Sheet2!A:AU,47,0)</f>
        <v>#N/A</v>
      </c>
      <c r="R778">
        <f t="shared" si="77"/>
        <v>0</v>
      </c>
    </row>
    <row r="779" spans="1:18" x14ac:dyDescent="0.3">
      <c r="A779" s="1">
        <v>777</v>
      </c>
      <c r="B779">
        <v>0</v>
      </c>
      <c r="C779" t="s">
        <v>829</v>
      </c>
      <c r="D779" t="s">
        <v>89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f t="shared" si="72"/>
        <v>0.4</v>
      </c>
      <c r="M779">
        <f t="shared" si="73"/>
        <v>0</v>
      </c>
      <c r="N779">
        <f t="shared" si="74"/>
        <v>0</v>
      </c>
      <c r="O779">
        <f t="shared" si="75"/>
        <v>0</v>
      </c>
      <c r="P779">
        <f t="shared" si="76"/>
        <v>0</v>
      </c>
      <c r="Q779" t="e">
        <f>VLOOKUP(C779,Sheet2!A:AU,47,0)</f>
        <v>#N/A</v>
      </c>
      <c r="R779">
        <f t="shared" si="77"/>
        <v>0</v>
      </c>
    </row>
    <row r="780" spans="1:18" x14ac:dyDescent="0.3">
      <c r="A780" s="1">
        <v>778</v>
      </c>
      <c r="B780">
        <v>0</v>
      </c>
      <c r="C780" t="s">
        <v>830</v>
      </c>
      <c r="D780" t="s">
        <v>89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f t="shared" si="72"/>
        <v>0.4</v>
      </c>
      <c r="M780">
        <f t="shared" si="73"/>
        <v>0</v>
      </c>
      <c r="N780">
        <f t="shared" si="74"/>
        <v>0</v>
      </c>
      <c r="O780">
        <f t="shared" si="75"/>
        <v>0</v>
      </c>
      <c r="P780">
        <f t="shared" si="76"/>
        <v>0</v>
      </c>
      <c r="Q780" t="e">
        <f>VLOOKUP(C780,Sheet2!A:AU,47,0)</f>
        <v>#N/A</v>
      </c>
      <c r="R780">
        <f t="shared" si="77"/>
        <v>0</v>
      </c>
    </row>
    <row r="781" spans="1:18" x14ac:dyDescent="0.3">
      <c r="A781" s="1">
        <v>779</v>
      </c>
      <c r="B781">
        <v>0</v>
      </c>
      <c r="C781" t="s">
        <v>831</v>
      </c>
      <c r="D781" t="s">
        <v>89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f t="shared" si="72"/>
        <v>0.4</v>
      </c>
      <c r="M781">
        <f t="shared" si="73"/>
        <v>0</v>
      </c>
      <c r="N781">
        <f t="shared" si="74"/>
        <v>0</v>
      </c>
      <c r="O781">
        <f t="shared" si="75"/>
        <v>0</v>
      </c>
      <c r="P781">
        <f t="shared" si="76"/>
        <v>0</v>
      </c>
      <c r="Q781" t="e">
        <f>VLOOKUP(C781,Sheet2!A:AU,47,0)</f>
        <v>#N/A</v>
      </c>
      <c r="R781">
        <f t="shared" si="77"/>
        <v>0</v>
      </c>
    </row>
    <row r="782" spans="1:18" x14ac:dyDescent="0.3">
      <c r="A782" s="1">
        <v>780</v>
      </c>
      <c r="B782">
        <v>0</v>
      </c>
      <c r="C782" t="s">
        <v>832</v>
      </c>
      <c r="D782" t="s">
        <v>89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f t="shared" si="72"/>
        <v>0.4</v>
      </c>
      <c r="M782">
        <f t="shared" si="73"/>
        <v>0</v>
      </c>
      <c r="N782">
        <f t="shared" si="74"/>
        <v>0</v>
      </c>
      <c r="O782">
        <f t="shared" si="75"/>
        <v>0</v>
      </c>
      <c r="P782">
        <f t="shared" si="76"/>
        <v>0</v>
      </c>
      <c r="Q782" t="e">
        <f>VLOOKUP(C782,Sheet2!A:AU,47,0)</f>
        <v>#N/A</v>
      </c>
      <c r="R782">
        <f t="shared" si="77"/>
        <v>0</v>
      </c>
    </row>
    <row r="783" spans="1:18" x14ac:dyDescent="0.3">
      <c r="A783" s="1">
        <v>781</v>
      </c>
      <c r="B783">
        <v>0</v>
      </c>
      <c r="C783" t="s">
        <v>833</v>
      </c>
      <c r="D783" t="s">
        <v>286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f t="shared" si="72"/>
        <v>0.4</v>
      </c>
      <c r="M783">
        <f t="shared" si="73"/>
        <v>0</v>
      </c>
      <c r="N783">
        <f t="shared" si="74"/>
        <v>0</v>
      </c>
      <c r="O783">
        <f t="shared" si="75"/>
        <v>0</v>
      </c>
      <c r="P783">
        <f t="shared" si="76"/>
        <v>0</v>
      </c>
      <c r="Q783" t="e">
        <f>VLOOKUP(C783,Sheet2!A:AU,47,0)</f>
        <v>#N/A</v>
      </c>
      <c r="R783">
        <f t="shared" si="77"/>
        <v>0</v>
      </c>
    </row>
    <row r="784" spans="1:18" x14ac:dyDescent="0.3">
      <c r="A784" s="1">
        <v>782</v>
      </c>
      <c r="B784">
        <v>0</v>
      </c>
      <c r="C784" t="s">
        <v>834</v>
      </c>
      <c r="D784" t="s">
        <v>286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f t="shared" si="72"/>
        <v>0.4</v>
      </c>
      <c r="M784">
        <f t="shared" si="73"/>
        <v>0</v>
      </c>
      <c r="N784">
        <f t="shared" si="74"/>
        <v>0</v>
      </c>
      <c r="O784">
        <f t="shared" si="75"/>
        <v>0</v>
      </c>
      <c r="P784">
        <f t="shared" si="76"/>
        <v>0</v>
      </c>
      <c r="Q784" t="e">
        <f>VLOOKUP(C784,Sheet2!A:AU,47,0)</f>
        <v>#N/A</v>
      </c>
      <c r="R784">
        <f t="shared" si="77"/>
        <v>0</v>
      </c>
    </row>
    <row r="785" spans="1:18" x14ac:dyDescent="0.3">
      <c r="A785" s="1">
        <v>783</v>
      </c>
      <c r="B785">
        <v>0</v>
      </c>
      <c r="C785" t="s">
        <v>835</v>
      </c>
      <c r="D785" t="s">
        <v>286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f t="shared" si="72"/>
        <v>0.4</v>
      </c>
      <c r="M785">
        <f t="shared" si="73"/>
        <v>0</v>
      </c>
      <c r="N785">
        <f t="shared" si="74"/>
        <v>0</v>
      </c>
      <c r="O785">
        <f t="shared" si="75"/>
        <v>0</v>
      </c>
      <c r="P785">
        <f t="shared" si="76"/>
        <v>0</v>
      </c>
      <c r="Q785" t="e">
        <f>VLOOKUP(C785,Sheet2!A:AU,47,0)</f>
        <v>#N/A</v>
      </c>
      <c r="R785">
        <f t="shared" si="77"/>
        <v>0</v>
      </c>
    </row>
    <row r="786" spans="1:18" x14ac:dyDescent="0.3">
      <c r="A786" s="1">
        <v>784</v>
      </c>
      <c r="B786">
        <v>0</v>
      </c>
      <c r="C786" t="s">
        <v>836</v>
      </c>
      <c r="D786" t="s">
        <v>286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f t="shared" si="72"/>
        <v>0.4</v>
      </c>
      <c r="M786">
        <f t="shared" si="73"/>
        <v>0</v>
      </c>
      <c r="N786">
        <f t="shared" si="74"/>
        <v>0</v>
      </c>
      <c r="O786">
        <f t="shared" si="75"/>
        <v>0</v>
      </c>
      <c r="P786">
        <f t="shared" si="76"/>
        <v>0</v>
      </c>
      <c r="Q786" t="e">
        <f>VLOOKUP(C786,Sheet2!A:AU,47,0)</f>
        <v>#N/A</v>
      </c>
      <c r="R786">
        <f t="shared" si="77"/>
        <v>0</v>
      </c>
    </row>
    <row r="787" spans="1:18" x14ac:dyDescent="0.3">
      <c r="A787" s="1">
        <v>785</v>
      </c>
      <c r="B787">
        <v>0</v>
      </c>
      <c r="C787" t="s">
        <v>837</v>
      </c>
      <c r="D787" t="s">
        <v>286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f t="shared" si="72"/>
        <v>0.4</v>
      </c>
      <c r="M787">
        <f t="shared" si="73"/>
        <v>0</v>
      </c>
      <c r="N787">
        <f t="shared" si="74"/>
        <v>0</v>
      </c>
      <c r="O787">
        <f t="shared" si="75"/>
        <v>0</v>
      </c>
      <c r="P787">
        <f t="shared" si="76"/>
        <v>0</v>
      </c>
      <c r="Q787" t="e">
        <f>VLOOKUP(C787,Sheet2!A:AU,47,0)</f>
        <v>#N/A</v>
      </c>
      <c r="R787">
        <f t="shared" si="77"/>
        <v>0</v>
      </c>
    </row>
    <row r="788" spans="1:18" x14ac:dyDescent="0.3">
      <c r="A788" s="1">
        <v>786</v>
      </c>
      <c r="B788">
        <v>0</v>
      </c>
      <c r="C788" t="s">
        <v>838</v>
      </c>
      <c r="D788" t="s">
        <v>286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f t="shared" si="72"/>
        <v>0.4</v>
      </c>
      <c r="M788">
        <f t="shared" si="73"/>
        <v>0</v>
      </c>
      <c r="N788">
        <f t="shared" si="74"/>
        <v>0</v>
      </c>
      <c r="O788">
        <f t="shared" si="75"/>
        <v>0</v>
      </c>
      <c r="P788">
        <f t="shared" si="76"/>
        <v>0</v>
      </c>
      <c r="Q788" t="e">
        <f>VLOOKUP(C788,Sheet2!A:AU,47,0)</f>
        <v>#N/A</v>
      </c>
      <c r="R788">
        <f t="shared" si="77"/>
        <v>0</v>
      </c>
    </row>
    <row r="789" spans="1:18" x14ac:dyDescent="0.3">
      <c r="A789" s="1">
        <v>787</v>
      </c>
      <c r="B789">
        <v>0</v>
      </c>
      <c r="C789" t="s">
        <v>839</v>
      </c>
      <c r="D789" t="s">
        <v>286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f t="shared" si="72"/>
        <v>0.4</v>
      </c>
      <c r="M789">
        <f t="shared" si="73"/>
        <v>0</v>
      </c>
      <c r="N789">
        <f t="shared" si="74"/>
        <v>0</v>
      </c>
      <c r="O789">
        <f t="shared" si="75"/>
        <v>0</v>
      </c>
      <c r="P789">
        <f t="shared" si="76"/>
        <v>0</v>
      </c>
      <c r="Q789" t="e">
        <f>VLOOKUP(C789,Sheet2!A:AU,47,0)</f>
        <v>#N/A</v>
      </c>
      <c r="R789">
        <f t="shared" si="77"/>
        <v>0</v>
      </c>
    </row>
    <row r="790" spans="1:18" x14ac:dyDescent="0.3">
      <c r="A790" s="1">
        <v>788</v>
      </c>
      <c r="B790">
        <v>0</v>
      </c>
      <c r="C790" t="s">
        <v>840</v>
      </c>
      <c r="D790" t="s">
        <v>91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f t="shared" si="72"/>
        <v>0.4</v>
      </c>
      <c r="M790">
        <f t="shared" si="73"/>
        <v>0</v>
      </c>
      <c r="N790">
        <f t="shared" si="74"/>
        <v>0</v>
      </c>
      <c r="O790">
        <f t="shared" si="75"/>
        <v>0</v>
      </c>
      <c r="P790">
        <f t="shared" si="76"/>
        <v>0</v>
      </c>
      <c r="Q790" t="e">
        <f>VLOOKUP(C790,Sheet2!A:AU,47,0)</f>
        <v>#N/A</v>
      </c>
      <c r="R790">
        <f t="shared" si="77"/>
        <v>0</v>
      </c>
    </row>
    <row r="791" spans="1:18" x14ac:dyDescent="0.3">
      <c r="A791" s="1">
        <v>789</v>
      </c>
      <c r="B791">
        <v>0</v>
      </c>
      <c r="C791" t="s">
        <v>841</v>
      </c>
      <c r="D791" t="s">
        <v>91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f t="shared" si="72"/>
        <v>0.4</v>
      </c>
      <c r="M791">
        <f t="shared" si="73"/>
        <v>0</v>
      </c>
      <c r="N791">
        <f t="shared" si="74"/>
        <v>0</v>
      </c>
      <c r="O791">
        <f t="shared" si="75"/>
        <v>0</v>
      </c>
      <c r="P791">
        <f t="shared" si="76"/>
        <v>0</v>
      </c>
      <c r="Q791" t="e">
        <f>VLOOKUP(C791,Sheet2!A:AU,47,0)</f>
        <v>#N/A</v>
      </c>
      <c r="R791">
        <f t="shared" si="77"/>
        <v>0</v>
      </c>
    </row>
    <row r="792" spans="1:18" x14ac:dyDescent="0.3">
      <c r="A792" s="1">
        <v>790</v>
      </c>
      <c r="B792">
        <v>0</v>
      </c>
      <c r="C792" t="s">
        <v>842</v>
      </c>
      <c r="D792" t="s">
        <v>91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f t="shared" si="72"/>
        <v>0.4</v>
      </c>
      <c r="M792">
        <f t="shared" si="73"/>
        <v>0</v>
      </c>
      <c r="N792">
        <f t="shared" si="74"/>
        <v>0</v>
      </c>
      <c r="O792">
        <f t="shared" si="75"/>
        <v>0</v>
      </c>
      <c r="P792">
        <f t="shared" si="76"/>
        <v>0</v>
      </c>
      <c r="Q792" t="e">
        <f>VLOOKUP(C792,Sheet2!A:AU,47,0)</f>
        <v>#N/A</v>
      </c>
      <c r="R792">
        <f t="shared" si="77"/>
        <v>0</v>
      </c>
    </row>
    <row r="793" spans="1:18" x14ac:dyDescent="0.3">
      <c r="A793" s="1">
        <v>791</v>
      </c>
      <c r="B793">
        <v>0</v>
      </c>
      <c r="C793" t="s">
        <v>843</v>
      </c>
      <c r="D793" t="s">
        <v>91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f t="shared" si="72"/>
        <v>0.4</v>
      </c>
      <c r="M793">
        <f t="shared" si="73"/>
        <v>0</v>
      </c>
      <c r="N793">
        <f t="shared" si="74"/>
        <v>0</v>
      </c>
      <c r="O793">
        <f t="shared" si="75"/>
        <v>0</v>
      </c>
      <c r="P793">
        <f t="shared" si="76"/>
        <v>0</v>
      </c>
      <c r="Q793" t="e">
        <f>VLOOKUP(C793,Sheet2!A:AU,47,0)</f>
        <v>#N/A</v>
      </c>
      <c r="R793">
        <f t="shared" si="77"/>
        <v>0</v>
      </c>
    </row>
    <row r="794" spans="1:18" x14ac:dyDescent="0.3">
      <c r="A794" s="1">
        <v>792</v>
      </c>
      <c r="B794">
        <v>0</v>
      </c>
      <c r="C794" t="s">
        <v>844</v>
      </c>
      <c r="D794" t="s">
        <v>48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f t="shared" si="72"/>
        <v>0.4</v>
      </c>
      <c r="M794">
        <f t="shared" si="73"/>
        <v>0</v>
      </c>
      <c r="N794">
        <f t="shared" si="74"/>
        <v>0</v>
      </c>
      <c r="O794">
        <f t="shared" si="75"/>
        <v>0</v>
      </c>
      <c r="P794">
        <f t="shared" si="76"/>
        <v>0</v>
      </c>
      <c r="Q794" t="e">
        <f>VLOOKUP(C794,Sheet2!A:AU,47,0)</f>
        <v>#N/A</v>
      </c>
      <c r="R794">
        <f t="shared" si="77"/>
        <v>0</v>
      </c>
    </row>
    <row r="795" spans="1:18" x14ac:dyDescent="0.3">
      <c r="A795" s="1">
        <v>793</v>
      </c>
      <c r="B795">
        <v>0</v>
      </c>
      <c r="C795" t="s">
        <v>359</v>
      </c>
      <c r="D795" t="s">
        <v>48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f t="shared" si="72"/>
        <v>0.4</v>
      </c>
      <c r="M795">
        <f t="shared" si="73"/>
        <v>0</v>
      </c>
      <c r="N795">
        <f t="shared" si="74"/>
        <v>0</v>
      </c>
      <c r="O795">
        <f t="shared" si="75"/>
        <v>0</v>
      </c>
      <c r="P795">
        <f t="shared" si="76"/>
        <v>0</v>
      </c>
      <c r="Q795">
        <f>VLOOKUP(C795,Sheet2!A:AU,47,0)</f>
        <v>4.7400598807758074</v>
      </c>
      <c r="R795">
        <f t="shared" si="77"/>
        <v>4.7400598807758074</v>
      </c>
    </row>
    <row r="796" spans="1:18" x14ac:dyDescent="0.3">
      <c r="A796" s="1">
        <v>794</v>
      </c>
      <c r="B796">
        <v>0</v>
      </c>
      <c r="C796" t="s">
        <v>845</v>
      </c>
      <c r="D796" t="s">
        <v>48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f t="shared" si="72"/>
        <v>0.4</v>
      </c>
      <c r="M796">
        <f t="shared" si="73"/>
        <v>0</v>
      </c>
      <c r="N796">
        <f t="shared" si="74"/>
        <v>0</v>
      </c>
      <c r="O796">
        <f t="shared" si="75"/>
        <v>0</v>
      </c>
      <c r="P796">
        <f t="shared" si="76"/>
        <v>0</v>
      </c>
      <c r="Q796" t="e">
        <f>VLOOKUP(C796,Sheet2!A:AU,47,0)</f>
        <v>#N/A</v>
      </c>
      <c r="R796">
        <f t="shared" si="77"/>
        <v>0</v>
      </c>
    </row>
    <row r="797" spans="1:18" x14ac:dyDescent="0.3">
      <c r="A797" s="1">
        <v>795</v>
      </c>
      <c r="B797">
        <v>0</v>
      </c>
      <c r="C797" t="s">
        <v>846</v>
      </c>
      <c r="D797" t="s">
        <v>48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f t="shared" si="72"/>
        <v>0.4</v>
      </c>
      <c r="M797">
        <f t="shared" si="73"/>
        <v>0</v>
      </c>
      <c r="N797">
        <f t="shared" si="74"/>
        <v>0</v>
      </c>
      <c r="O797">
        <f t="shared" si="75"/>
        <v>0</v>
      </c>
      <c r="P797">
        <f t="shared" si="76"/>
        <v>0</v>
      </c>
      <c r="Q797" t="e">
        <f>VLOOKUP(C797,Sheet2!A:AU,47,0)</f>
        <v>#N/A</v>
      </c>
      <c r="R797">
        <f t="shared" si="77"/>
        <v>0</v>
      </c>
    </row>
    <row r="798" spans="1:18" x14ac:dyDescent="0.3">
      <c r="A798" s="1">
        <v>796</v>
      </c>
      <c r="B798">
        <v>0</v>
      </c>
      <c r="C798" t="s">
        <v>847</v>
      </c>
      <c r="D798" t="s">
        <v>48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f t="shared" si="72"/>
        <v>0.4</v>
      </c>
      <c r="M798">
        <f t="shared" si="73"/>
        <v>0</v>
      </c>
      <c r="N798">
        <f t="shared" si="74"/>
        <v>0</v>
      </c>
      <c r="O798">
        <f t="shared" si="75"/>
        <v>0</v>
      </c>
      <c r="P798">
        <f t="shared" si="76"/>
        <v>0</v>
      </c>
      <c r="Q798" t="e">
        <f>VLOOKUP(C798,Sheet2!A:AU,47,0)</f>
        <v>#N/A</v>
      </c>
      <c r="R798">
        <f t="shared" si="77"/>
        <v>0</v>
      </c>
    </row>
    <row r="799" spans="1:18" x14ac:dyDescent="0.3">
      <c r="A799" s="1">
        <v>797</v>
      </c>
      <c r="B799">
        <v>0</v>
      </c>
      <c r="C799" t="s">
        <v>848</v>
      </c>
      <c r="D799" t="s">
        <v>48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f t="shared" si="72"/>
        <v>0.4</v>
      </c>
      <c r="M799">
        <f t="shared" si="73"/>
        <v>0</v>
      </c>
      <c r="N799">
        <f t="shared" si="74"/>
        <v>0</v>
      </c>
      <c r="O799">
        <f t="shared" si="75"/>
        <v>0</v>
      </c>
      <c r="P799">
        <f t="shared" si="76"/>
        <v>0</v>
      </c>
      <c r="Q799" t="e">
        <f>VLOOKUP(C799,Sheet2!A:AU,47,0)</f>
        <v>#N/A</v>
      </c>
      <c r="R799">
        <f t="shared" si="77"/>
        <v>0</v>
      </c>
    </row>
    <row r="800" spans="1:18" x14ac:dyDescent="0.3">
      <c r="A800" s="1">
        <v>798</v>
      </c>
      <c r="B800">
        <v>0</v>
      </c>
      <c r="C800" t="s">
        <v>849</v>
      </c>
      <c r="D800" t="s">
        <v>48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f t="shared" si="72"/>
        <v>0.4</v>
      </c>
      <c r="M800">
        <f t="shared" si="73"/>
        <v>0</v>
      </c>
      <c r="N800">
        <f t="shared" si="74"/>
        <v>0</v>
      </c>
      <c r="O800">
        <f t="shared" si="75"/>
        <v>0</v>
      </c>
      <c r="P800">
        <f t="shared" si="76"/>
        <v>0</v>
      </c>
      <c r="Q800" t="e">
        <f>VLOOKUP(C800,Sheet2!A:AU,47,0)</f>
        <v>#N/A</v>
      </c>
      <c r="R800">
        <f t="shared" si="77"/>
        <v>0</v>
      </c>
    </row>
    <row r="801" spans="1:18" x14ac:dyDescent="0.3">
      <c r="A801" s="1">
        <v>799</v>
      </c>
      <c r="B801">
        <v>0</v>
      </c>
      <c r="C801" t="s">
        <v>850</v>
      </c>
      <c r="D801" t="s">
        <v>48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f t="shared" si="72"/>
        <v>0.4</v>
      </c>
      <c r="M801">
        <f t="shared" si="73"/>
        <v>0</v>
      </c>
      <c r="N801">
        <f t="shared" si="74"/>
        <v>0</v>
      </c>
      <c r="O801">
        <f t="shared" si="75"/>
        <v>0</v>
      </c>
      <c r="P801">
        <f t="shared" si="76"/>
        <v>0</v>
      </c>
      <c r="Q801" t="e">
        <f>VLOOKUP(C801,Sheet2!A:AU,47,0)</f>
        <v>#N/A</v>
      </c>
      <c r="R801">
        <f t="shared" si="77"/>
        <v>0</v>
      </c>
    </row>
    <row r="802" spans="1:18" x14ac:dyDescent="0.3">
      <c r="A802" s="1">
        <v>800</v>
      </c>
      <c r="B802">
        <v>0</v>
      </c>
      <c r="C802" t="s">
        <v>851</v>
      </c>
      <c r="D802" t="s">
        <v>48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f t="shared" si="72"/>
        <v>0.4</v>
      </c>
      <c r="M802">
        <f t="shared" si="73"/>
        <v>0</v>
      </c>
      <c r="N802">
        <f t="shared" si="74"/>
        <v>0</v>
      </c>
      <c r="O802">
        <f t="shared" si="75"/>
        <v>0</v>
      </c>
      <c r="P802">
        <f t="shared" si="76"/>
        <v>0</v>
      </c>
      <c r="Q802" t="e">
        <f>VLOOKUP(C802,Sheet2!A:AU,47,0)</f>
        <v>#N/A</v>
      </c>
      <c r="R802">
        <f t="shared" si="77"/>
        <v>0</v>
      </c>
    </row>
    <row r="803" spans="1:18" x14ac:dyDescent="0.3">
      <c r="A803" s="1">
        <v>801</v>
      </c>
      <c r="B803">
        <v>0</v>
      </c>
      <c r="C803" t="s">
        <v>852</v>
      </c>
      <c r="D803" t="s">
        <v>48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f t="shared" si="72"/>
        <v>0.4</v>
      </c>
      <c r="M803">
        <f t="shared" si="73"/>
        <v>0</v>
      </c>
      <c r="N803">
        <f t="shared" si="74"/>
        <v>0</v>
      </c>
      <c r="O803">
        <f t="shared" si="75"/>
        <v>0</v>
      </c>
      <c r="P803">
        <f t="shared" si="76"/>
        <v>0</v>
      </c>
      <c r="Q803" t="e">
        <f>VLOOKUP(C803,Sheet2!A:AU,47,0)</f>
        <v>#N/A</v>
      </c>
      <c r="R803">
        <f t="shared" si="77"/>
        <v>0</v>
      </c>
    </row>
    <row r="804" spans="1:18" x14ac:dyDescent="0.3">
      <c r="A804" s="1">
        <v>802</v>
      </c>
      <c r="B804">
        <v>0</v>
      </c>
      <c r="C804" t="s">
        <v>853</v>
      </c>
      <c r="D804" t="s">
        <v>114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f t="shared" si="72"/>
        <v>0.4</v>
      </c>
      <c r="M804">
        <f t="shared" si="73"/>
        <v>0</v>
      </c>
      <c r="N804">
        <f t="shared" si="74"/>
        <v>0</v>
      </c>
      <c r="O804">
        <f t="shared" si="75"/>
        <v>0</v>
      </c>
      <c r="P804">
        <f t="shared" si="76"/>
        <v>0</v>
      </c>
      <c r="Q804" t="e">
        <f>VLOOKUP(C804,Sheet2!A:AU,47,0)</f>
        <v>#N/A</v>
      </c>
      <c r="R804">
        <f t="shared" si="77"/>
        <v>0</v>
      </c>
    </row>
    <row r="805" spans="1:18" x14ac:dyDescent="0.3">
      <c r="A805" s="1">
        <v>803</v>
      </c>
      <c r="B805">
        <v>0</v>
      </c>
      <c r="C805" t="s">
        <v>854</v>
      </c>
      <c r="D805" t="s">
        <v>114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f t="shared" si="72"/>
        <v>0.4</v>
      </c>
      <c r="M805">
        <f t="shared" si="73"/>
        <v>0</v>
      </c>
      <c r="N805">
        <f t="shared" si="74"/>
        <v>0</v>
      </c>
      <c r="O805">
        <f t="shared" si="75"/>
        <v>0</v>
      </c>
      <c r="P805">
        <f t="shared" si="76"/>
        <v>0</v>
      </c>
      <c r="Q805" t="e">
        <f>VLOOKUP(C805,Sheet2!A:AU,47,0)</f>
        <v>#N/A</v>
      </c>
      <c r="R805">
        <f t="shared" si="77"/>
        <v>0</v>
      </c>
    </row>
    <row r="806" spans="1:18" x14ac:dyDescent="0.3">
      <c r="A806" s="1">
        <v>804</v>
      </c>
      <c r="B806">
        <v>0</v>
      </c>
      <c r="C806" t="s">
        <v>855</v>
      </c>
      <c r="D806" t="s">
        <v>114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f t="shared" si="72"/>
        <v>0.4</v>
      </c>
      <c r="M806">
        <f t="shared" si="73"/>
        <v>0</v>
      </c>
      <c r="N806">
        <f t="shared" si="74"/>
        <v>0</v>
      </c>
      <c r="O806">
        <f t="shared" si="75"/>
        <v>0</v>
      </c>
      <c r="P806">
        <f t="shared" si="76"/>
        <v>0</v>
      </c>
      <c r="Q806" t="e">
        <f>VLOOKUP(C806,Sheet2!A:AU,47,0)</f>
        <v>#N/A</v>
      </c>
      <c r="R806">
        <f t="shared" si="77"/>
        <v>0</v>
      </c>
    </row>
    <row r="807" spans="1:18" x14ac:dyDescent="0.3">
      <c r="A807" s="1">
        <v>805</v>
      </c>
      <c r="B807">
        <v>0</v>
      </c>
      <c r="C807" t="s">
        <v>856</v>
      </c>
      <c r="D807" t="s">
        <v>114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f t="shared" si="72"/>
        <v>0.4</v>
      </c>
      <c r="M807">
        <f t="shared" si="73"/>
        <v>0</v>
      </c>
      <c r="N807">
        <f t="shared" si="74"/>
        <v>0</v>
      </c>
      <c r="O807">
        <f t="shared" si="75"/>
        <v>0</v>
      </c>
      <c r="P807">
        <f t="shared" si="76"/>
        <v>0</v>
      </c>
      <c r="Q807" t="e">
        <f>VLOOKUP(C807,Sheet2!A:AU,47,0)</f>
        <v>#N/A</v>
      </c>
      <c r="R807">
        <f t="shared" si="77"/>
        <v>0</v>
      </c>
    </row>
    <row r="808" spans="1:18" x14ac:dyDescent="0.3">
      <c r="A808" s="1">
        <v>806</v>
      </c>
      <c r="B808">
        <v>0</v>
      </c>
      <c r="C808" t="s">
        <v>857</v>
      </c>
      <c r="D808" t="s">
        <v>114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f t="shared" si="72"/>
        <v>0.4</v>
      </c>
      <c r="M808">
        <f t="shared" si="73"/>
        <v>0</v>
      </c>
      <c r="N808">
        <f t="shared" si="74"/>
        <v>0</v>
      </c>
      <c r="O808">
        <f t="shared" si="75"/>
        <v>0</v>
      </c>
      <c r="P808">
        <f t="shared" si="76"/>
        <v>0</v>
      </c>
      <c r="Q808" t="e">
        <f>VLOOKUP(C808,Sheet2!A:AU,47,0)</f>
        <v>#N/A</v>
      </c>
      <c r="R808">
        <f t="shared" si="77"/>
        <v>0</v>
      </c>
    </row>
    <row r="809" spans="1:18" x14ac:dyDescent="0.3">
      <c r="A809" s="1">
        <v>807</v>
      </c>
      <c r="B809">
        <v>0</v>
      </c>
      <c r="C809" t="s">
        <v>858</v>
      </c>
      <c r="D809" t="s">
        <v>114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f t="shared" si="72"/>
        <v>0.4</v>
      </c>
      <c r="M809">
        <f t="shared" si="73"/>
        <v>0</v>
      </c>
      <c r="N809">
        <f t="shared" si="74"/>
        <v>0</v>
      </c>
      <c r="O809">
        <f t="shared" si="75"/>
        <v>0</v>
      </c>
      <c r="P809">
        <f t="shared" si="76"/>
        <v>0</v>
      </c>
      <c r="Q809" t="e">
        <f>VLOOKUP(C809,Sheet2!A:AU,47,0)</f>
        <v>#N/A</v>
      </c>
      <c r="R809">
        <f t="shared" si="77"/>
        <v>0</v>
      </c>
    </row>
    <row r="810" spans="1:18" x14ac:dyDescent="0.3">
      <c r="A810" s="1">
        <v>808</v>
      </c>
      <c r="B810">
        <v>0</v>
      </c>
      <c r="C810" t="s">
        <v>859</v>
      </c>
      <c r="D810" t="s">
        <v>74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f t="shared" si="72"/>
        <v>0.4</v>
      </c>
      <c r="M810">
        <f t="shared" si="73"/>
        <v>0</v>
      </c>
      <c r="N810">
        <f t="shared" si="74"/>
        <v>0</v>
      </c>
      <c r="O810">
        <f t="shared" si="75"/>
        <v>0</v>
      </c>
      <c r="P810">
        <f t="shared" si="76"/>
        <v>0</v>
      </c>
      <c r="Q810" t="e">
        <f>VLOOKUP(C810,Sheet2!A:AU,47,0)</f>
        <v>#N/A</v>
      </c>
      <c r="R810">
        <f t="shared" si="77"/>
        <v>0</v>
      </c>
    </row>
    <row r="811" spans="1:18" x14ac:dyDescent="0.3">
      <c r="A811" s="1">
        <v>809</v>
      </c>
      <c r="B811">
        <v>0</v>
      </c>
      <c r="C811" t="s">
        <v>860</v>
      </c>
      <c r="D811" t="s">
        <v>74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f t="shared" si="72"/>
        <v>0.4</v>
      </c>
      <c r="M811">
        <f t="shared" si="73"/>
        <v>0</v>
      </c>
      <c r="N811">
        <f t="shared" si="74"/>
        <v>0</v>
      </c>
      <c r="O811">
        <f t="shared" si="75"/>
        <v>0</v>
      </c>
      <c r="P811">
        <f t="shared" si="76"/>
        <v>0</v>
      </c>
      <c r="Q811" t="e">
        <f>VLOOKUP(C811,Sheet2!A:AU,47,0)</f>
        <v>#N/A</v>
      </c>
      <c r="R811">
        <f t="shared" si="77"/>
        <v>0</v>
      </c>
    </row>
    <row r="812" spans="1:18" x14ac:dyDescent="0.3">
      <c r="A812" s="1">
        <v>810</v>
      </c>
      <c r="B812">
        <v>0</v>
      </c>
      <c r="C812" t="s">
        <v>861</v>
      </c>
      <c r="D812" t="s">
        <v>74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f t="shared" si="72"/>
        <v>0.4</v>
      </c>
      <c r="M812">
        <f t="shared" si="73"/>
        <v>0</v>
      </c>
      <c r="N812">
        <f t="shared" si="74"/>
        <v>0</v>
      </c>
      <c r="O812">
        <f t="shared" si="75"/>
        <v>0</v>
      </c>
      <c r="P812">
        <f t="shared" si="76"/>
        <v>0</v>
      </c>
      <c r="Q812" t="e">
        <f>VLOOKUP(C812,Sheet2!A:AU,47,0)</f>
        <v>#N/A</v>
      </c>
      <c r="R812">
        <f t="shared" si="77"/>
        <v>0</v>
      </c>
    </row>
    <row r="813" spans="1:18" x14ac:dyDescent="0.3">
      <c r="A813" s="1">
        <v>811</v>
      </c>
      <c r="B813">
        <v>0</v>
      </c>
      <c r="C813" t="s">
        <v>862</v>
      </c>
      <c r="D813" t="s">
        <v>74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f t="shared" si="72"/>
        <v>0.4</v>
      </c>
      <c r="M813">
        <f t="shared" si="73"/>
        <v>0</v>
      </c>
      <c r="N813">
        <f t="shared" si="74"/>
        <v>0</v>
      </c>
      <c r="O813">
        <f t="shared" si="75"/>
        <v>0</v>
      </c>
      <c r="P813">
        <f t="shared" si="76"/>
        <v>0</v>
      </c>
      <c r="Q813" t="e">
        <f>VLOOKUP(C813,Sheet2!A:AU,47,0)</f>
        <v>#N/A</v>
      </c>
      <c r="R813">
        <f t="shared" si="77"/>
        <v>0</v>
      </c>
    </row>
    <row r="814" spans="1:18" x14ac:dyDescent="0.3">
      <c r="A814" s="1">
        <v>812</v>
      </c>
      <c r="B814">
        <v>0</v>
      </c>
      <c r="C814" t="s">
        <v>863</v>
      </c>
      <c r="D814" t="s">
        <v>74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f t="shared" si="72"/>
        <v>0.4</v>
      </c>
      <c r="M814">
        <f t="shared" si="73"/>
        <v>0</v>
      </c>
      <c r="N814">
        <f t="shared" si="74"/>
        <v>0</v>
      </c>
      <c r="O814">
        <f t="shared" si="75"/>
        <v>0</v>
      </c>
      <c r="P814">
        <f t="shared" si="76"/>
        <v>0</v>
      </c>
      <c r="Q814" t="e">
        <f>VLOOKUP(C814,Sheet2!A:AU,47,0)</f>
        <v>#N/A</v>
      </c>
      <c r="R814">
        <f t="shared" si="77"/>
        <v>0</v>
      </c>
    </row>
    <row r="815" spans="1:18" x14ac:dyDescent="0.3">
      <c r="A815" s="1">
        <v>813</v>
      </c>
      <c r="B815">
        <v>0</v>
      </c>
      <c r="C815" t="s">
        <v>864</v>
      </c>
      <c r="D815" t="s">
        <v>74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f t="shared" si="72"/>
        <v>0.4</v>
      </c>
      <c r="M815">
        <f t="shared" si="73"/>
        <v>0</v>
      </c>
      <c r="N815">
        <f t="shared" si="74"/>
        <v>0</v>
      </c>
      <c r="O815">
        <f t="shared" si="75"/>
        <v>0</v>
      </c>
      <c r="P815">
        <f t="shared" si="76"/>
        <v>0</v>
      </c>
      <c r="Q815" t="e">
        <f>VLOOKUP(C815,Sheet2!A:AU,47,0)</f>
        <v>#N/A</v>
      </c>
      <c r="R815">
        <f t="shared" si="77"/>
        <v>0</v>
      </c>
    </row>
    <row r="816" spans="1:18" x14ac:dyDescent="0.3">
      <c r="A816" s="1">
        <v>814</v>
      </c>
      <c r="B816">
        <v>0</v>
      </c>
      <c r="C816" t="s">
        <v>865</v>
      </c>
      <c r="D816" t="s">
        <v>74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f t="shared" si="72"/>
        <v>0.4</v>
      </c>
      <c r="M816">
        <f t="shared" si="73"/>
        <v>0</v>
      </c>
      <c r="N816">
        <f t="shared" si="74"/>
        <v>0</v>
      </c>
      <c r="O816">
        <f t="shared" si="75"/>
        <v>0</v>
      </c>
      <c r="P816">
        <f t="shared" si="76"/>
        <v>0</v>
      </c>
      <c r="Q816" t="e">
        <f>VLOOKUP(C816,Sheet2!A:AU,47,0)</f>
        <v>#N/A</v>
      </c>
      <c r="R816">
        <f t="shared" si="77"/>
        <v>0</v>
      </c>
    </row>
    <row r="817" spans="1:18" x14ac:dyDescent="0.3">
      <c r="A817" s="1">
        <v>815</v>
      </c>
      <c r="B817">
        <v>0</v>
      </c>
      <c r="C817" t="s">
        <v>866</v>
      </c>
      <c r="D817" t="s">
        <v>74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f t="shared" si="72"/>
        <v>0.4</v>
      </c>
      <c r="M817">
        <f t="shared" si="73"/>
        <v>0</v>
      </c>
      <c r="N817">
        <f t="shared" si="74"/>
        <v>0</v>
      </c>
      <c r="O817">
        <f t="shared" si="75"/>
        <v>0</v>
      </c>
      <c r="P817">
        <f t="shared" si="76"/>
        <v>0</v>
      </c>
      <c r="Q817" t="e">
        <f>VLOOKUP(C817,Sheet2!A:AU,47,0)</f>
        <v>#N/A</v>
      </c>
      <c r="R817">
        <f t="shared" si="77"/>
        <v>0</v>
      </c>
    </row>
    <row r="818" spans="1:18" x14ac:dyDescent="0.3">
      <c r="A818" s="1">
        <v>816</v>
      </c>
      <c r="B818">
        <v>0</v>
      </c>
      <c r="C818" t="s">
        <v>867</v>
      </c>
      <c r="D818" t="s">
        <v>74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f t="shared" si="72"/>
        <v>0.4</v>
      </c>
      <c r="M818">
        <f t="shared" si="73"/>
        <v>0</v>
      </c>
      <c r="N818">
        <f t="shared" si="74"/>
        <v>0</v>
      </c>
      <c r="O818">
        <f t="shared" si="75"/>
        <v>0</v>
      </c>
      <c r="P818">
        <f t="shared" si="76"/>
        <v>0</v>
      </c>
      <c r="Q818" t="e">
        <f>VLOOKUP(C818,Sheet2!A:AU,47,0)</f>
        <v>#N/A</v>
      </c>
      <c r="R818">
        <f t="shared" si="77"/>
        <v>0</v>
      </c>
    </row>
    <row r="819" spans="1:18" x14ac:dyDescent="0.3">
      <c r="A819" s="1">
        <v>817</v>
      </c>
      <c r="B819">
        <v>0</v>
      </c>
      <c r="C819" t="s">
        <v>868</v>
      </c>
      <c r="D819" t="s">
        <v>74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f t="shared" si="72"/>
        <v>0.4</v>
      </c>
      <c r="M819">
        <f t="shared" si="73"/>
        <v>0</v>
      </c>
      <c r="N819">
        <f t="shared" si="74"/>
        <v>0</v>
      </c>
      <c r="O819">
        <f t="shared" si="75"/>
        <v>0</v>
      </c>
      <c r="P819">
        <f t="shared" si="76"/>
        <v>0</v>
      </c>
      <c r="Q819" t="e">
        <f>VLOOKUP(C819,Sheet2!A:AU,47,0)</f>
        <v>#N/A</v>
      </c>
      <c r="R819">
        <f t="shared" si="77"/>
        <v>0</v>
      </c>
    </row>
    <row r="820" spans="1:18" x14ac:dyDescent="0.3">
      <c r="A820" s="1">
        <v>818</v>
      </c>
      <c r="B820">
        <v>0</v>
      </c>
      <c r="C820" t="s">
        <v>869</v>
      </c>
      <c r="D820" t="s">
        <v>298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f t="shared" si="72"/>
        <v>0.4</v>
      </c>
      <c r="M820">
        <f t="shared" si="73"/>
        <v>0</v>
      </c>
      <c r="N820">
        <f t="shared" si="74"/>
        <v>0</v>
      </c>
      <c r="O820">
        <f t="shared" si="75"/>
        <v>0</v>
      </c>
      <c r="P820">
        <f t="shared" si="76"/>
        <v>0</v>
      </c>
      <c r="Q820" t="e">
        <f>VLOOKUP(C820,Sheet2!A:AU,47,0)</f>
        <v>#N/A</v>
      </c>
      <c r="R820">
        <f t="shared" si="77"/>
        <v>0</v>
      </c>
    </row>
    <row r="821" spans="1:18" x14ac:dyDescent="0.3">
      <c r="A821" s="1">
        <v>819</v>
      </c>
      <c r="B821">
        <v>0</v>
      </c>
      <c r="C821" t="s">
        <v>870</v>
      </c>
      <c r="D821" t="s">
        <v>298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f t="shared" si="72"/>
        <v>0.4</v>
      </c>
      <c r="M821">
        <f t="shared" si="73"/>
        <v>0</v>
      </c>
      <c r="N821">
        <f t="shared" si="74"/>
        <v>0</v>
      </c>
      <c r="O821">
        <f t="shared" si="75"/>
        <v>0</v>
      </c>
      <c r="P821">
        <f t="shared" si="76"/>
        <v>0</v>
      </c>
      <c r="Q821" t="e">
        <f>VLOOKUP(C821,Sheet2!A:AU,47,0)</f>
        <v>#N/A</v>
      </c>
      <c r="R821">
        <f t="shared" si="77"/>
        <v>0</v>
      </c>
    </row>
    <row r="822" spans="1:18" x14ac:dyDescent="0.3">
      <c r="A822" s="1">
        <v>820</v>
      </c>
      <c r="B822">
        <v>0</v>
      </c>
      <c r="C822" t="s">
        <v>871</v>
      </c>
      <c r="D822" t="s">
        <v>298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f t="shared" si="72"/>
        <v>0.4</v>
      </c>
      <c r="M822">
        <f t="shared" si="73"/>
        <v>0</v>
      </c>
      <c r="N822">
        <f t="shared" si="74"/>
        <v>0</v>
      </c>
      <c r="O822">
        <f t="shared" si="75"/>
        <v>0</v>
      </c>
      <c r="P822">
        <f t="shared" si="76"/>
        <v>0</v>
      </c>
      <c r="Q822" t="e">
        <f>VLOOKUP(C822,Sheet2!A:AU,47,0)</f>
        <v>#N/A</v>
      </c>
      <c r="R822">
        <f t="shared" si="77"/>
        <v>0</v>
      </c>
    </row>
    <row r="823" spans="1:18" x14ac:dyDescent="0.3">
      <c r="A823" s="1">
        <v>821</v>
      </c>
      <c r="B823">
        <v>0</v>
      </c>
      <c r="C823" t="s">
        <v>872</v>
      </c>
      <c r="D823" t="s">
        <v>298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f t="shared" si="72"/>
        <v>0.4</v>
      </c>
      <c r="M823">
        <f t="shared" si="73"/>
        <v>0</v>
      </c>
      <c r="N823">
        <f t="shared" si="74"/>
        <v>0</v>
      </c>
      <c r="O823">
        <f t="shared" si="75"/>
        <v>0</v>
      </c>
      <c r="P823">
        <f t="shared" si="76"/>
        <v>0</v>
      </c>
      <c r="Q823" t="e">
        <f>VLOOKUP(C823,Sheet2!A:AU,47,0)</f>
        <v>#N/A</v>
      </c>
      <c r="R823">
        <f t="shared" si="77"/>
        <v>0</v>
      </c>
    </row>
    <row r="824" spans="1:18" x14ac:dyDescent="0.3">
      <c r="A824" s="1">
        <v>822</v>
      </c>
      <c r="B824">
        <v>0</v>
      </c>
      <c r="C824" t="s">
        <v>873</v>
      </c>
      <c r="D824" t="s">
        <v>298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f t="shared" si="72"/>
        <v>0.4</v>
      </c>
      <c r="M824">
        <f t="shared" si="73"/>
        <v>0</v>
      </c>
      <c r="N824">
        <f t="shared" si="74"/>
        <v>0</v>
      </c>
      <c r="O824">
        <f t="shared" si="75"/>
        <v>0</v>
      </c>
      <c r="P824">
        <f t="shared" si="76"/>
        <v>0</v>
      </c>
      <c r="Q824" t="e">
        <f>VLOOKUP(C824,Sheet2!A:AU,47,0)</f>
        <v>#N/A</v>
      </c>
      <c r="R824">
        <f t="shared" si="77"/>
        <v>0</v>
      </c>
    </row>
    <row r="825" spans="1:18" x14ac:dyDescent="0.3">
      <c r="A825" s="1">
        <v>823</v>
      </c>
      <c r="B825">
        <v>0</v>
      </c>
      <c r="C825" t="s">
        <v>874</v>
      </c>
      <c r="D825" t="s">
        <v>298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f t="shared" si="72"/>
        <v>0.4</v>
      </c>
      <c r="M825">
        <f t="shared" si="73"/>
        <v>0</v>
      </c>
      <c r="N825">
        <f t="shared" si="74"/>
        <v>0</v>
      </c>
      <c r="O825">
        <f t="shared" si="75"/>
        <v>0</v>
      </c>
      <c r="P825">
        <f t="shared" si="76"/>
        <v>0</v>
      </c>
      <c r="Q825" t="e">
        <f>VLOOKUP(C825,Sheet2!A:AU,47,0)</f>
        <v>#N/A</v>
      </c>
      <c r="R825">
        <f t="shared" si="77"/>
        <v>0</v>
      </c>
    </row>
    <row r="826" spans="1:18" x14ac:dyDescent="0.3">
      <c r="A826" s="1">
        <v>824</v>
      </c>
      <c r="B826">
        <v>0</v>
      </c>
      <c r="C826" t="s">
        <v>875</v>
      </c>
      <c r="D826" t="s">
        <v>298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f t="shared" si="72"/>
        <v>0.4</v>
      </c>
      <c r="M826">
        <f t="shared" si="73"/>
        <v>0</v>
      </c>
      <c r="N826">
        <f t="shared" si="74"/>
        <v>0</v>
      </c>
      <c r="O826">
        <f t="shared" si="75"/>
        <v>0</v>
      </c>
      <c r="P826">
        <f t="shared" si="76"/>
        <v>0</v>
      </c>
      <c r="Q826" t="e">
        <f>VLOOKUP(C826,Sheet2!A:AU,47,0)</f>
        <v>#N/A</v>
      </c>
      <c r="R826">
        <f t="shared" si="77"/>
        <v>0</v>
      </c>
    </row>
    <row r="827" spans="1:18" x14ac:dyDescent="0.3">
      <c r="A827" s="1">
        <v>825</v>
      </c>
      <c r="B827">
        <v>0</v>
      </c>
      <c r="C827" t="s">
        <v>876</v>
      </c>
      <c r="D827" t="s">
        <v>298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f t="shared" si="72"/>
        <v>0.4</v>
      </c>
      <c r="M827">
        <f t="shared" si="73"/>
        <v>0</v>
      </c>
      <c r="N827">
        <f t="shared" si="74"/>
        <v>0</v>
      </c>
      <c r="O827">
        <f t="shared" si="75"/>
        <v>0</v>
      </c>
      <c r="P827">
        <f t="shared" si="76"/>
        <v>0</v>
      </c>
      <c r="Q827" t="e">
        <f>VLOOKUP(C827,Sheet2!A:AU,47,0)</f>
        <v>#N/A</v>
      </c>
      <c r="R827">
        <f t="shared" si="77"/>
        <v>0</v>
      </c>
    </row>
    <row r="828" spans="1:18" x14ac:dyDescent="0.3">
      <c r="A828" s="1">
        <v>826</v>
      </c>
      <c r="B828">
        <v>0</v>
      </c>
      <c r="C828" t="s">
        <v>877</v>
      </c>
      <c r="D828" t="s">
        <v>33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f t="shared" si="72"/>
        <v>0.4</v>
      </c>
      <c r="M828">
        <f t="shared" si="73"/>
        <v>0</v>
      </c>
      <c r="N828">
        <f t="shared" si="74"/>
        <v>0</v>
      </c>
      <c r="O828">
        <f t="shared" si="75"/>
        <v>0</v>
      </c>
      <c r="P828">
        <f t="shared" si="76"/>
        <v>0</v>
      </c>
      <c r="Q828" t="e">
        <f>VLOOKUP(C828,Sheet2!A:AU,47,0)</f>
        <v>#N/A</v>
      </c>
      <c r="R828">
        <f t="shared" si="77"/>
        <v>0</v>
      </c>
    </row>
    <row r="829" spans="1:18" x14ac:dyDescent="0.3">
      <c r="A829" s="1">
        <v>827</v>
      </c>
      <c r="B829">
        <v>0</v>
      </c>
      <c r="C829" t="s">
        <v>878</v>
      </c>
      <c r="D829" t="s">
        <v>33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f t="shared" si="72"/>
        <v>0.4</v>
      </c>
      <c r="M829">
        <f t="shared" si="73"/>
        <v>0</v>
      </c>
      <c r="N829">
        <f t="shared" si="74"/>
        <v>0</v>
      </c>
      <c r="O829">
        <f t="shared" si="75"/>
        <v>0</v>
      </c>
      <c r="P829">
        <f t="shared" si="76"/>
        <v>0</v>
      </c>
      <c r="Q829" t="e">
        <f>VLOOKUP(C829,Sheet2!A:AU,47,0)</f>
        <v>#N/A</v>
      </c>
      <c r="R829">
        <f t="shared" si="77"/>
        <v>0</v>
      </c>
    </row>
    <row r="830" spans="1:18" x14ac:dyDescent="0.3">
      <c r="A830" s="1">
        <v>828</v>
      </c>
      <c r="B830">
        <v>0</v>
      </c>
      <c r="C830" t="s">
        <v>879</v>
      </c>
      <c r="D830" t="s">
        <v>33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f t="shared" si="72"/>
        <v>0.4</v>
      </c>
      <c r="M830">
        <f t="shared" si="73"/>
        <v>0</v>
      </c>
      <c r="N830">
        <f t="shared" si="74"/>
        <v>0</v>
      </c>
      <c r="O830">
        <f t="shared" si="75"/>
        <v>0</v>
      </c>
      <c r="P830">
        <f t="shared" si="76"/>
        <v>0</v>
      </c>
      <c r="Q830" t="e">
        <f>VLOOKUP(C830,Sheet2!A:AU,47,0)</f>
        <v>#N/A</v>
      </c>
      <c r="R830">
        <f t="shared" si="77"/>
        <v>0</v>
      </c>
    </row>
    <row r="831" spans="1:18" x14ac:dyDescent="0.3">
      <c r="A831" s="1">
        <v>829</v>
      </c>
      <c r="B831">
        <v>0</v>
      </c>
      <c r="C831" t="s">
        <v>880</v>
      </c>
      <c r="D831" t="s">
        <v>33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f t="shared" si="72"/>
        <v>0.4</v>
      </c>
      <c r="M831">
        <f t="shared" si="73"/>
        <v>0</v>
      </c>
      <c r="N831">
        <f t="shared" si="74"/>
        <v>0</v>
      </c>
      <c r="O831">
        <f t="shared" si="75"/>
        <v>0</v>
      </c>
      <c r="P831">
        <f t="shared" si="76"/>
        <v>0</v>
      </c>
      <c r="Q831" t="e">
        <f>VLOOKUP(C831,Sheet2!A:AU,47,0)</f>
        <v>#N/A</v>
      </c>
      <c r="R831">
        <f t="shared" si="77"/>
        <v>0</v>
      </c>
    </row>
    <row r="832" spans="1:18" x14ac:dyDescent="0.3">
      <c r="A832" s="1">
        <v>830</v>
      </c>
      <c r="B832">
        <v>0</v>
      </c>
      <c r="C832" t="s">
        <v>881</v>
      </c>
      <c r="D832" t="s">
        <v>33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f t="shared" si="72"/>
        <v>0.4</v>
      </c>
      <c r="M832">
        <f t="shared" si="73"/>
        <v>0</v>
      </c>
      <c r="N832">
        <f t="shared" si="74"/>
        <v>0</v>
      </c>
      <c r="O832">
        <f t="shared" si="75"/>
        <v>0</v>
      </c>
      <c r="P832">
        <f t="shared" si="76"/>
        <v>0</v>
      </c>
      <c r="Q832" t="e">
        <f>VLOOKUP(C832,Sheet2!A:AU,47,0)</f>
        <v>#N/A</v>
      </c>
      <c r="R832">
        <f t="shared" si="77"/>
        <v>0</v>
      </c>
    </row>
    <row r="833" spans="1:18" x14ac:dyDescent="0.3">
      <c r="A833" s="1">
        <v>831</v>
      </c>
      <c r="B833">
        <v>0</v>
      </c>
      <c r="C833" t="s">
        <v>882</v>
      </c>
      <c r="D833" t="s">
        <v>33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f t="shared" si="72"/>
        <v>0.4</v>
      </c>
      <c r="M833">
        <f t="shared" si="73"/>
        <v>0</v>
      </c>
      <c r="N833">
        <f t="shared" si="74"/>
        <v>0</v>
      </c>
      <c r="O833">
        <f t="shared" si="75"/>
        <v>0</v>
      </c>
      <c r="P833">
        <f t="shared" si="76"/>
        <v>0</v>
      </c>
      <c r="Q833" t="e">
        <f>VLOOKUP(C833,Sheet2!A:AU,47,0)</f>
        <v>#N/A</v>
      </c>
      <c r="R833">
        <f t="shared" si="77"/>
        <v>0</v>
      </c>
    </row>
    <row r="834" spans="1:18" x14ac:dyDescent="0.3">
      <c r="A834" s="1">
        <v>832</v>
      </c>
      <c r="B834">
        <v>0</v>
      </c>
      <c r="C834" t="s">
        <v>883</v>
      </c>
      <c r="D834" t="s">
        <v>54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f t="shared" si="72"/>
        <v>0.4</v>
      </c>
      <c r="M834">
        <f t="shared" si="73"/>
        <v>0</v>
      </c>
      <c r="N834">
        <f t="shared" si="74"/>
        <v>0</v>
      </c>
      <c r="O834">
        <f t="shared" si="75"/>
        <v>0</v>
      </c>
      <c r="P834">
        <f t="shared" si="76"/>
        <v>0</v>
      </c>
      <c r="Q834" t="e">
        <f>VLOOKUP(C834,Sheet2!A:AU,47,0)</f>
        <v>#N/A</v>
      </c>
      <c r="R834">
        <f t="shared" si="77"/>
        <v>0</v>
      </c>
    </row>
    <row r="835" spans="1:18" x14ac:dyDescent="0.3">
      <c r="A835" s="1">
        <v>833</v>
      </c>
      <c r="B835">
        <v>0</v>
      </c>
      <c r="C835" t="s">
        <v>884</v>
      </c>
      <c r="D835" t="s">
        <v>54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f t="shared" ref="L835:L898" si="78">MAX(H:H)</f>
        <v>0.4</v>
      </c>
      <c r="M835">
        <f t="shared" ref="M835:M898" si="79">MIN(H:H)</f>
        <v>0</v>
      </c>
      <c r="N835">
        <f t="shared" ref="N835:N898" si="80">(H835-M835)/(L835-M835)</f>
        <v>0</v>
      </c>
      <c r="O835">
        <f t="shared" ref="O835:O898" si="81">N835*0.0442</f>
        <v>0</v>
      </c>
      <c r="P835">
        <f t="shared" ref="P835:P898" si="82">O835*100</f>
        <v>0</v>
      </c>
      <c r="Q835" t="e">
        <f>VLOOKUP(C835,Sheet2!A:AU,47,0)</f>
        <v>#N/A</v>
      </c>
      <c r="R835">
        <f t="shared" ref="R835:R898" si="83">IFERROR((P835+Q835),0)</f>
        <v>0</v>
      </c>
    </row>
    <row r="836" spans="1:18" x14ac:dyDescent="0.3">
      <c r="A836" s="1">
        <v>834</v>
      </c>
      <c r="B836">
        <v>0</v>
      </c>
      <c r="C836" t="s">
        <v>885</v>
      </c>
      <c r="D836" t="s">
        <v>54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f t="shared" si="78"/>
        <v>0.4</v>
      </c>
      <c r="M836">
        <f t="shared" si="79"/>
        <v>0</v>
      </c>
      <c r="N836">
        <f t="shared" si="80"/>
        <v>0</v>
      </c>
      <c r="O836">
        <f t="shared" si="81"/>
        <v>0</v>
      </c>
      <c r="P836">
        <f t="shared" si="82"/>
        <v>0</v>
      </c>
      <c r="Q836" t="e">
        <f>VLOOKUP(C836,Sheet2!A:AU,47,0)</f>
        <v>#N/A</v>
      </c>
      <c r="R836">
        <f t="shared" si="83"/>
        <v>0</v>
      </c>
    </row>
    <row r="837" spans="1:18" x14ac:dyDescent="0.3">
      <c r="A837" s="1">
        <v>835</v>
      </c>
      <c r="B837">
        <v>0</v>
      </c>
      <c r="C837" t="s">
        <v>886</v>
      </c>
      <c r="D837" t="s">
        <v>16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f t="shared" si="78"/>
        <v>0.4</v>
      </c>
      <c r="M837">
        <f t="shared" si="79"/>
        <v>0</v>
      </c>
      <c r="N837">
        <f t="shared" si="80"/>
        <v>0</v>
      </c>
      <c r="O837">
        <f t="shared" si="81"/>
        <v>0</v>
      </c>
      <c r="P837">
        <f t="shared" si="82"/>
        <v>0</v>
      </c>
      <c r="Q837" t="e">
        <f>VLOOKUP(C837,Sheet2!A:AU,47,0)</f>
        <v>#N/A</v>
      </c>
      <c r="R837">
        <f t="shared" si="83"/>
        <v>0</v>
      </c>
    </row>
    <row r="838" spans="1:18" x14ac:dyDescent="0.3">
      <c r="A838" s="1">
        <v>836</v>
      </c>
      <c r="B838">
        <v>0</v>
      </c>
      <c r="C838" t="s">
        <v>887</v>
      </c>
      <c r="D838" t="s">
        <v>16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f t="shared" si="78"/>
        <v>0.4</v>
      </c>
      <c r="M838">
        <f t="shared" si="79"/>
        <v>0</v>
      </c>
      <c r="N838">
        <f t="shared" si="80"/>
        <v>0</v>
      </c>
      <c r="O838">
        <f t="shared" si="81"/>
        <v>0</v>
      </c>
      <c r="P838">
        <f t="shared" si="82"/>
        <v>0</v>
      </c>
      <c r="Q838" t="e">
        <f>VLOOKUP(C838,Sheet2!A:AU,47,0)</f>
        <v>#N/A</v>
      </c>
      <c r="R838">
        <f t="shared" si="83"/>
        <v>0</v>
      </c>
    </row>
    <row r="839" spans="1:18" x14ac:dyDescent="0.3">
      <c r="A839" s="1">
        <v>837</v>
      </c>
      <c r="B839">
        <v>0</v>
      </c>
      <c r="C839" t="s">
        <v>888</v>
      </c>
      <c r="D839" t="s">
        <v>16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f t="shared" si="78"/>
        <v>0.4</v>
      </c>
      <c r="M839">
        <f t="shared" si="79"/>
        <v>0</v>
      </c>
      <c r="N839">
        <f t="shared" si="80"/>
        <v>0</v>
      </c>
      <c r="O839">
        <f t="shared" si="81"/>
        <v>0</v>
      </c>
      <c r="P839">
        <f t="shared" si="82"/>
        <v>0</v>
      </c>
      <c r="Q839" t="e">
        <f>VLOOKUP(C839,Sheet2!A:AU,47,0)</f>
        <v>#N/A</v>
      </c>
      <c r="R839">
        <f t="shared" si="83"/>
        <v>0</v>
      </c>
    </row>
    <row r="840" spans="1:18" x14ac:dyDescent="0.3">
      <c r="A840" s="1">
        <v>838</v>
      </c>
      <c r="B840">
        <v>0</v>
      </c>
      <c r="C840" t="s">
        <v>889</v>
      </c>
      <c r="D840" t="s">
        <v>16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f t="shared" si="78"/>
        <v>0.4</v>
      </c>
      <c r="M840">
        <f t="shared" si="79"/>
        <v>0</v>
      </c>
      <c r="N840">
        <f t="shared" si="80"/>
        <v>0</v>
      </c>
      <c r="O840">
        <f t="shared" si="81"/>
        <v>0</v>
      </c>
      <c r="P840">
        <f t="shared" si="82"/>
        <v>0</v>
      </c>
      <c r="Q840" t="e">
        <f>VLOOKUP(C840,Sheet2!A:AU,47,0)</f>
        <v>#N/A</v>
      </c>
      <c r="R840">
        <f t="shared" si="83"/>
        <v>0</v>
      </c>
    </row>
    <row r="841" spans="1:18" x14ac:dyDescent="0.3">
      <c r="A841" s="1">
        <v>839</v>
      </c>
      <c r="B841">
        <v>0</v>
      </c>
      <c r="C841" t="s">
        <v>890</v>
      </c>
      <c r="D841" t="s">
        <v>16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f t="shared" si="78"/>
        <v>0.4</v>
      </c>
      <c r="M841">
        <f t="shared" si="79"/>
        <v>0</v>
      </c>
      <c r="N841">
        <f t="shared" si="80"/>
        <v>0</v>
      </c>
      <c r="O841">
        <f t="shared" si="81"/>
        <v>0</v>
      </c>
      <c r="P841">
        <f t="shared" si="82"/>
        <v>0</v>
      </c>
      <c r="Q841" t="e">
        <f>VLOOKUP(C841,Sheet2!A:AU,47,0)</f>
        <v>#N/A</v>
      </c>
      <c r="R841">
        <f t="shared" si="83"/>
        <v>0</v>
      </c>
    </row>
    <row r="842" spans="1:18" x14ac:dyDescent="0.3">
      <c r="A842" s="1">
        <v>840</v>
      </c>
      <c r="B842">
        <v>0</v>
      </c>
      <c r="C842" t="s">
        <v>891</v>
      </c>
      <c r="D842" t="s">
        <v>16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f t="shared" si="78"/>
        <v>0.4</v>
      </c>
      <c r="M842">
        <f t="shared" si="79"/>
        <v>0</v>
      </c>
      <c r="N842">
        <f t="shared" si="80"/>
        <v>0</v>
      </c>
      <c r="O842">
        <f t="shared" si="81"/>
        <v>0</v>
      </c>
      <c r="P842">
        <f t="shared" si="82"/>
        <v>0</v>
      </c>
      <c r="Q842" t="e">
        <f>VLOOKUP(C842,Sheet2!A:AU,47,0)</f>
        <v>#N/A</v>
      </c>
      <c r="R842">
        <f t="shared" si="83"/>
        <v>0</v>
      </c>
    </row>
    <row r="843" spans="1:18" x14ac:dyDescent="0.3">
      <c r="A843" s="1">
        <v>841</v>
      </c>
      <c r="B843">
        <v>0</v>
      </c>
      <c r="C843" t="s">
        <v>892</v>
      </c>
      <c r="D843" t="s">
        <v>16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f t="shared" si="78"/>
        <v>0.4</v>
      </c>
      <c r="M843">
        <f t="shared" si="79"/>
        <v>0</v>
      </c>
      <c r="N843">
        <f t="shared" si="80"/>
        <v>0</v>
      </c>
      <c r="O843">
        <f t="shared" si="81"/>
        <v>0</v>
      </c>
      <c r="P843">
        <f t="shared" si="82"/>
        <v>0</v>
      </c>
      <c r="Q843" t="e">
        <f>VLOOKUP(C843,Sheet2!A:AU,47,0)</f>
        <v>#N/A</v>
      </c>
      <c r="R843">
        <f t="shared" si="83"/>
        <v>0</v>
      </c>
    </row>
    <row r="844" spans="1:18" x14ac:dyDescent="0.3">
      <c r="A844" s="1">
        <v>842</v>
      </c>
      <c r="B844">
        <v>0</v>
      </c>
      <c r="C844" t="s">
        <v>893</v>
      </c>
      <c r="D844" t="s">
        <v>16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f t="shared" si="78"/>
        <v>0.4</v>
      </c>
      <c r="M844">
        <f t="shared" si="79"/>
        <v>0</v>
      </c>
      <c r="N844">
        <f t="shared" si="80"/>
        <v>0</v>
      </c>
      <c r="O844">
        <f t="shared" si="81"/>
        <v>0</v>
      </c>
      <c r="P844">
        <f t="shared" si="82"/>
        <v>0</v>
      </c>
      <c r="Q844" t="e">
        <f>VLOOKUP(C844,Sheet2!A:AU,47,0)</f>
        <v>#N/A</v>
      </c>
      <c r="R844">
        <f t="shared" si="83"/>
        <v>0</v>
      </c>
    </row>
    <row r="845" spans="1:18" x14ac:dyDescent="0.3">
      <c r="A845" s="1">
        <v>843</v>
      </c>
      <c r="B845">
        <v>0</v>
      </c>
      <c r="C845" t="s">
        <v>894</v>
      </c>
      <c r="D845" t="s">
        <v>16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f t="shared" si="78"/>
        <v>0.4</v>
      </c>
      <c r="M845">
        <f t="shared" si="79"/>
        <v>0</v>
      </c>
      <c r="N845">
        <f t="shared" si="80"/>
        <v>0</v>
      </c>
      <c r="O845">
        <f t="shared" si="81"/>
        <v>0</v>
      </c>
      <c r="P845">
        <f t="shared" si="82"/>
        <v>0</v>
      </c>
      <c r="Q845" t="e">
        <f>VLOOKUP(C845,Sheet2!A:AU,47,0)</f>
        <v>#N/A</v>
      </c>
      <c r="R845">
        <f t="shared" si="83"/>
        <v>0</v>
      </c>
    </row>
    <row r="846" spans="1:18" x14ac:dyDescent="0.3">
      <c r="A846" s="1">
        <v>844</v>
      </c>
      <c r="B846">
        <v>0</v>
      </c>
      <c r="C846" t="s">
        <v>895</v>
      </c>
      <c r="D846" t="s">
        <v>16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f t="shared" si="78"/>
        <v>0.4</v>
      </c>
      <c r="M846">
        <f t="shared" si="79"/>
        <v>0</v>
      </c>
      <c r="N846">
        <f t="shared" si="80"/>
        <v>0</v>
      </c>
      <c r="O846">
        <f t="shared" si="81"/>
        <v>0</v>
      </c>
      <c r="P846">
        <f t="shared" si="82"/>
        <v>0</v>
      </c>
      <c r="Q846" t="e">
        <f>VLOOKUP(C846,Sheet2!A:AU,47,0)</f>
        <v>#N/A</v>
      </c>
      <c r="R846">
        <f t="shared" si="83"/>
        <v>0</v>
      </c>
    </row>
    <row r="847" spans="1:18" x14ac:dyDescent="0.3">
      <c r="A847" s="1">
        <v>845</v>
      </c>
      <c r="B847">
        <v>0</v>
      </c>
      <c r="C847" t="s">
        <v>896</v>
      </c>
      <c r="D847" t="s">
        <v>16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f t="shared" si="78"/>
        <v>0.4</v>
      </c>
      <c r="M847">
        <f t="shared" si="79"/>
        <v>0</v>
      </c>
      <c r="N847">
        <f t="shared" si="80"/>
        <v>0</v>
      </c>
      <c r="O847">
        <f t="shared" si="81"/>
        <v>0</v>
      </c>
      <c r="P847">
        <f t="shared" si="82"/>
        <v>0</v>
      </c>
      <c r="Q847" t="e">
        <f>VLOOKUP(C847,Sheet2!A:AU,47,0)</f>
        <v>#N/A</v>
      </c>
      <c r="R847">
        <f t="shared" si="83"/>
        <v>0</v>
      </c>
    </row>
    <row r="848" spans="1:18" x14ac:dyDescent="0.3">
      <c r="A848" s="1">
        <v>846</v>
      </c>
      <c r="B848">
        <v>0</v>
      </c>
      <c r="C848" t="s">
        <v>897</v>
      </c>
      <c r="D848" t="s">
        <v>16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f t="shared" si="78"/>
        <v>0.4</v>
      </c>
      <c r="M848">
        <f t="shared" si="79"/>
        <v>0</v>
      </c>
      <c r="N848">
        <f t="shared" si="80"/>
        <v>0</v>
      </c>
      <c r="O848">
        <f t="shared" si="81"/>
        <v>0</v>
      </c>
      <c r="P848">
        <f t="shared" si="82"/>
        <v>0</v>
      </c>
      <c r="Q848" t="e">
        <f>VLOOKUP(C848,Sheet2!A:AU,47,0)</f>
        <v>#N/A</v>
      </c>
      <c r="R848">
        <f t="shared" si="83"/>
        <v>0</v>
      </c>
    </row>
    <row r="849" spans="1:18" x14ac:dyDescent="0.3">
      <c r="A849" s="1">
        <v>847</v>
      </c>
      <c r="B849">
        <v>0</v>
      </c>
      <c r="C849" t="s">
        <v>898</v>
      </c>
      <c r="D849" t="s">
        <v>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f t="shared" si="78"/>
        <v>0.4</v>
      </c>
      <c r="M849">
        <f t="shared" si="79"/>
        <v>0</v>
      </c>
      <c r="N849">
        <f t="shared" si="80"/>
        <v>0</v>
      </c>
      <c r="O849">
        <f t="shared" si="81"/>
        <v>0</v>
      </c>
      <c r="P849">
        <f t="shared" si="82"/>
        <v>0</v>
      </c>
      <c r="Q849" t="e">
        <f>VLOOKUP(C849,Sheet2!A:AU,47,0)</f>
        <v>#N/A</v>
      </c>
      <c r="R849">
        <f t="shared" si="83"/>
        <v>0</v>
      </c>
    </row>
    <row r="850" spans="1:18" x14ac:dyDescent="0.3">
      <c r="A850" s="1">
        <v>848</v>
      </c>
      <c r="B850">
        <v>0</v>
      </c>
      <c r="C850" t="s">
        <v>899</v>
      </c>
      <c r="D850" t="s">
        <v>41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f t="shared" si="78"/>
        <v>0.4</v>
      </c>
      <c r="M850">
        <f t="shared" si="79"/>
        <v>0</v>
      </c>
      <c r="N850">
        <f t="shared" si="80"/>
        <v>0</v>
      </c>
      <c r="O850">
        <f t="shared" si="81"/>
        <v>0</v>
      </c>
      <c r="P850">
        <f t="shared" si="82"/>
        <v>0</v>
      </c>
      <c r="Q850" t="e">
        <f>VLOOKUP(C850,Sheet2!A:AU,47,0)</f>
        <v>#N/A</v>
      </c>
      <c r="R850">
        <f t="shared" si="83"/>
        <v>0</v>
      </c>
    </row>
    <row r="851" spans="1:18" x14ac:dyDescent="0.3">
      <c r="A851" s="1">
        <v>849</v>
      </c>
      <c r="B851">
        <v>0</v>
      </c>
      <c r="C851" t="s">
        <v>900</v>
      </c>
      <c r="D851" t="s">
        <v>41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f t="shared" si="78"/>
        <v>0.4</v>
      </c>
      <c r="M851">
        <f t="shared" si="79"/>
        <v>0</v>
      </c>
      <c r="N851">
        <f t="shared" si="80"/>
        <v>0</v>
      </c>
      <c r="O851">
        <f t="shared" si="81"/>
        <v>0</v>
      </c>
      <c r="P851">
        <f t="shared" si="82"/>
        <v>0</v>
      </c>
      <c r="Q851" t="e">
        <f>VLOOKUP(C851,Sheet2!A:AU,47,0)</f>
        <v>#N/A</v>
      </c>
      <c r="R851">
        <f t="shared" si="83"/>
        <v>0</v>
      </c>
    </row>
    <row r="852" spans="1:18" x14ac:dyDescent="0.3">
      <c r="A852" s="1">
        <v>850</v>
      </c>
      <c r="B852">
        <v>0</v>
      </c>
      <c r="C852" t="s">
        <v>901</v>
      </c>
      <c r="D852" t="s">
        <v>41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f t="shared" si="78"/>
        <v>0.4</v>
      </c>
      <c r="M852">
        <f t="shared" si="79"/>
        <v>0</v>
      </c>
      <c r="N852">
        <f t="shared" si="80"/>
        <v>0</v>
      </c>
      <c r="O852">
        <f t="shared" si="81"/>
        <v>0</v>
      </c>
      <c r="P852">
        <f t="shared" si="82"/>
        <v>0</v>
      </c>
      <c r="Q852" t="e">
        <f>VLOOKUP(C852,Sheet2!A:AU,47,0)</f>
        <v>#N/A</v>
      </c>
      <c r="R852">
        <f t="shared" si="83"/>
        <v>0</v>
      </c>
    </row>
    <row r="853" spans="1:18" x14ac:dyDescent="0.3">
      <c r="A853" s="1">
        <v>851</v>
      </c>
      <c r="B853">
        <v>0</v>
      </c>
      <c r="C853" t="s">
        <v>902</v>
      </c>
      <c r="D853" t="s">
        <v>41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f t="shared" si="78"/>
        <v>0.4</v>
      </c>
      <c r="M853">
        <f t="shared" si="79"/>
        <v>0</v>
      </c>
      <c r="N853">
        <f t="shared" si="80"/>
        <v>0</v>
      </c>
      <c r="O853">
        <f t="shared" si="81"/>
        <v>0</v>
      </c>
      <c r="P853">
        <f t="shared" si="82"/>
        <v>0</v>
      </c>
      <c r="Q853" t="e">
        <f>VLOOKUP(C853,Sheet2!A:AU,47,0)</f>
        <v>#N/A</v>
      </c>
      <c r="R853">
        <f t="shared" si="83"/>
        <v>0</v>
      </c>
    </row>
    <row r="854" spans="1:18" x14ac:dyDescent="0.3">
      <c r="A854" s="1">
        <v>852</v>
      </c>
      <c r="B854">
        <v>0</v>
      </c>
      <c r="C854" t="s">
        <v>903</v>
      </c>
      <c r="D854" t="s">
        <v>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f t="shared" si="78"/>
        <v>0.4</v>
      </c>
      <c r="M854">
        <f t="shared" si="79"/>
        <v>0</v>
      </c>
      <c r="N854">
        <f t="shared" si="80"/>
        <v>0</v>
      </c>
      <c r="O854">
        <f t="shared" si="81"/>
        <v>0</v>
      </c>
      <c r="P854">
        <f t="shared" si="82"/>
        <v>0</v>
      </c>
      <c r="Q854" t="e">
        <f>VLOOKUP(C854,Sheet2!A:AU,47,0)</f>
        <v>#N/A</v>
      </c>
      <c r="R854">
        <f t="shared" si="83"/>
        <v>0</v>
      </c>
    </row>
    <row r="855" spans="1:18" x14ac:dyDescent="0.3">
      <c r="A855" s="1">
        <v>853</v>
      </c>
      <c r="B855">
        <v>0</v>
      </c>
      <c r="C855" t="s">
        <v>904</v>
      </c>
      <c r="D855" t="s">
        <v>41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f t="shared" si="78"/>
        <v>0.4</v>
      </c>
      <c r="M855">
        <f t="shared" si="79"/>
        <v>0</v>
      </c>
      <c r="N855">
        <f t="shared" si="80"/>
        <v>0</v>
      </c>
      <c r="O855">
        <f t="shared" si="81"/>
        <v>0</v>
      </c>
      <c r="P855">
        <f t="shared" si="82"/>
        <v>0</v>
      </c>
      <c r="Q855" t="e">
        <f>VLOOKUP(C855,Sheet2!A:AU,47,0)</f>
        <v>#N/A</v>
      </c>
      <c r="R855">
        <f t="shared" si="83"/>
        <v>0</v>
      </c>
    </row>
    <row r="856" spans="1:18" x14ac:dyDescent="0.3">
      <c r="A856" s="1">
        <v>854</v>
      </c>
      <c r="B856">
        <v>0</v>
      </c>
      <c r="C856" t="s">
        <v>905</v>
      </c>
      <c r="D856" t="s">
        <v>41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f t="shared" si="78"/>
        <v>0.4</v>
      </c>
      <c r="M856">
        <f t="shared" si="79"/>
        <v>0</v>
      </c>
      <c r="N856">
        <f t="shared" si="80"/>
        <v>0</v>
      </c>
      <c r="O856">
        <f t="shared" si="81"/>
        <v>0</v>
      </c>
      <c r="P856">
        <f t="shared" si="82"/>
        <v>0</v>
      </c>
      <c r="Q856" t="e">
        <f>VLOOKUP(C856,Sheet2!A:AU,47,0)</f>
        <v>#N/A</v>
      </c>
      <c r="R856">
        <f t="shared" si="83"/>
        <v>0</v>
      </c>
    </row>
    <row r="857" spans="1:18" x14ac:dyDescent="0.3">
      <c r="A857" s="1">
        <v>855</v>
      </c>
      <c r="B857">
        <v>0</v>
      </c>
      <c r="C857" t="s">
        <v>906</v>
      </c>
      <c r="D857" t="s">
        <v>41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f t="shared" si="78"/>
        <v>0.4</v>
      </c>
      <c r="M857">
        <f t="shared" si="79"/>
        <v>0</v>
      </c>
      <c r="N857">
        <f t="shared" si="80"/>
        <v>0</v>
      </c>
      <c r="O857">
        <f t="shared" si="81"/>
        <v>0</v>
      </c>
      <c r="P857">
        <f t="shared" si="82"/>
        <v>0</v>
      </c>
      <c r="Q857" t="e">
        <f>VLOOKUP(C857,Sheet2!A:AU,47,0)</f>
        <v>#N/A</v>
      </c>
      <c r="R857">
        <f t="shared" si="83"/>
        <v>0</v>
      </c>
    </row>
    <row r="858" spans="1:18" x14ac:dyDescent="0.3">
      <c r="A858" s="1">
        <v>856</v>
      </c>
      <c r="B858">
        <v>0</v>
      </c>
      <c r="C858" t="s">
        <v>907</v>
      </c>
      <c r="D858" t="s">
        <v>41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f t="shared" si="78"/>
        <v>0.4</v>
      </c>
      <c r="M858">
        <f t="shared" si="79"/>
        <v>0</v>
      </c>
      <c r="N858">
        <f t="shared" si="80"/>
        <v>0</v>
      </c>
      <c r="O858">
        <f t="shared" si="81"/>
        <v>0</v>
      </c>
      <c r="P858">
        <f t="shared" si="82"/>
        <v>0</v>
      </c>
      <c r="Q858" t="e">
        <f>VLOOKUP(C858,Sheet2!A:AU,47,0)</f>
        <v>#N/A</v>
      </c>
      <c r="R858">
        <f t="shared" si="83"/>
        <v>0</v>
      </c>
    </row>
    <row r="859" spans="1:18" x14ac:dyDescent="0.3">
      <c r="A859" s="1">
        <v>857</v>
      </c>
      <c r="B859">
        <v>0</v>
      </c>
      <c r="C859" t="s">
        <v>908</v>
      </c>
      <c r="D859" t="s">
        <v>402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f t="shared" si="78"/>
        <v>0.4</v>
      </c>
      <c r="M859">
        <f t="shared" si="79"/>
        <v>0</v>
      </c>
      <c r="N859">
        <f t="shared" si="80"/>
        <v>0</v>
      </c>
      <c r="O859">
        <f t="shared" si="81"/>
        <v>0</v>
      </c>
      <c r="P859">
        <f t="shared" si="82"/>
        <v>0</v>
      </c>
      <c r="Q859" t="e">
        <f>VLOOKUP(C859,Sheet2!A:AU,47,0)</f>
        <v>#N/A</v>
      </c>
      <c r="R859">
        <f t="shared" si="83"/>
        <v>0</v>
      </c>
    </row>
    <row r="860" spans="1:18" x14ac:dyDescent="0.3">
      <c r="A860" s="1">
        <v>858</v>
      </c>
      <c r="B860">
        <v>0</v>
      </c>
      <c r="C860" t="s">
        <v>909</v>
      </c>
      <c r="D860" t="s">
        <v>402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f t="shared" si="78"/>
        <v>0.4</v>
      </c>
      <c r="M860">
        <f t="shared" si="79"/>
        <v>0</v>
      </c>
      <c r="N860">
        <f t="shared" si="80"/>
        <v>0</v>
      </c>
      <c r="O860">
        <f t="shared" si="81"/>
        <v>0</v>
      </c>
      <c r="P860">
        <f t="shared" si="82"/>
        <v>0</v>
      </c>
      <c r="Q860" t="e">
        <f>VLOOKUP(C860,Sheet2!A:AU,47,0)</f>
        <v>#N/A</v>
      </c>
      <c r="R860">
        <f t="shared" si="83"/>
        <v>0</v>
      </c>
    </row>
    <row r="861" spans="1:18" x14ac:dyDescent="0.3">
      <c r="A861" s="1">
        <v>859</v>
      </c>
      <c r="B861">
        <v>0</v>
      </c>
      <c r="C861" t="s">
        <v>910</v>
      </c>
      <c r="D861" t="s">
        <v>402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f t="shared" si="78"/>
        <v>0.4</v>
      </c>
      <c r="M861">
        <f t="shared" si="79"/>
        <v>0</v>
      </c>
      <c r="N861">
        <f t="shared" si="80"/>
        <v>0</v>
      </c>
      <c r="O861">
        <f t="shared" si="81"/>
        <v>0</v>
      </c>
      <c r="P861">
        <f t="shared" si="82"/>
        <v>0</v>
      </c>
      <c r="Q861" t="e">
        <f>VLOOKUP(C861,Sheet2!A:AU,47,0)</f>
        <v>#N/A</v>
      </c>
      <c r="R861">
        <f t="shared" si="83"/>
        <v>0</v>
      </c>
    </row>
    <row r="862" spans="1:18" x14ac:dyDescent="0.3">
      <c r="A862" s="1">
        <v>860</v>
      </c>
      <c r="B862">
        <v>0</v>
      </c>
      <c r="C862" t="s">
        <v>911</v>
      </c>
      <c r="D862" t="s">
        <v>402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f t="shared" si="78"/>
        <v>0.4</v>
      </c>
      <c r="M862">
        <f t="shared" si="79"/>
        <v>0</v>
      </c>
      <c r="N862">
        <f t="shared" si="80"/>
        <v>0</v>
      </c>
      <c r="O862">
        <f t="shared" si="81"/>
        <v>0</v>
      </c>
      <c r="P862">
        <f t="shared" si="82"/>
        <v>0</v>
      </c>
      <c r="Q862" t="e">
        <f>VLOOKUP(C862,Sheet2!A:AU,47,0)</f>
        <v>#N/A</v>
      </c>
      <c r="R862">
        <f t="shared" si="83"/>
        <v>0</v>
      </c>
    </row>
    <row r="863" spans="1:18" x14ac:dyDescent="0.3">
      <c r="A863" s="1">
        <v>861</v>
      </c>
      <c r="B863">
        <v>0</v>
      </c>
      <c r="C863" t="s">
        <v>912</v>
      </c>
      <c r="D863" t="s">
        <v>402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f t="shared" si="78"/>
        <v>0.4</v>
      </c>
      <c r="M863">
        <f t="shared" si="79"/>
        <v>0</v>
      </c>
      <c r="N863">
        <f t="shared" si="80"/>
        <v>0</v>
      </c>
      <c r="O863">
        <f t="shared" si="81"/>
        <v>0</v>
      </c>
      <c r="P863">
        <f t="shared" si="82"/>
        <v>0</v>
      </c>
      <c r="Q863" t="e">
        <f>VLOOKUP(C863,Sheet2!A:AU,47,0)</f>
        <v>#N/A</v>
      </c>
      <c r="R863">
        <f t="shared" si="83"/>
        <v>0</v>
      </c>
    </row>
    <row r="864" spans="1:18" x14ac:dyDescent="0.3">
      <c r="A864" s="1">
        <v>862</v>
      </c>
      <c r="B864">
        <v>0</v>
      </c>
      <c r="C864" t="s">
        <v>913</v>
      </c>
      <c r="D864" t="s">
        <v>402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f t="shared" si="78"/>
        <v>0.4</v>
      </c>
      <c r="M864">
        <f t="shared" si="79"/>
        <v>0</v>
      </c>
      <c r="N864">
        <f t="shared" si="80"/>
        <v>0</v>
      </c>
      <c r="O864">
        <f t="shared" si="81"/>
        <v>0</v>
      </c>
      <c r="P864">
        <f t="shared" si="82"/>
        <v>0</v>
      </c>
      <c r="Q864" t="e">
        <f>VLOOKUP(C864,Sheet2!A:AU,47,0)</f>
        <v>#N/A</v>
      </c>
      <c r="R864">
        <f t="shared" si="83"/>
        <v>0</v>
      </c>
    </row>
    <row r="865" spans="1:18" x14ac:dyDescent="0.3">
      <c r="A865" s="1">
        <v>863</v>
      </c>
      <c r="B865">
        <v>0</v>
      </c>
      <c r="C865" t="s">
        <v>914</v>
      </c>
      <c r="D865" t="s">
        <v>402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f t="shared" si="78"/>
        <v>0.4</v>
      </c>
      <c r="M865">
        <f t="shared" si="79"/>
        <v>0</v>
      </c>
      <c r="N865">
        <f t="shared" si="80"/>
        <v>0</v>
      </c>
      <c r="O865">
        <f t="shared" si="81"/>
        <v>0</v>
      </c>
      <c r="P865">
        <f t="shared" si="82"/>
        <v>0</v>
      </c>
      <c r="Q865" t="e">
        <f>VLOOKUP(C865,Sheet2!A:AU,47,0)</f>
        <v>#N/A</v>
      </c>
      <c r="R865">
        <f t="shared" si="83"/>
        <v>0</v>
      </c>
    </row>
    <row r="866" spans="1:18" x14ac:dyDescent="0.3">
      <c r="A866" s="1">
        <v>864</v>
      </c>
      <c r="B866">
        <v>0</v>
      </c>
      <c r="C866" t="s">
        <v>915</v>
      </c>
      <c r="D866" t="s">
        <v>402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f t="shared" si="78"/>
        <v>0.4</v>
      </c>
      <c r="M866">
        <f t="shared" si="79"/>
        <v>0</v>
      </c>
      <c r="N866">
        <f t="shared" si="80"/>
        <v>0</v>
      </c>
      <c r="O866">
        <f t="shared" si="81"/>
        <v>0</v>
      </c>
      <c r="P866">
        <f t="shared" si="82"/>
        <v>0</v>
      </c>
      <c r="Q866" t="e">
        <f>VLOOKUP(C866,Sheet2!A:AU,47,0)</f>
        <v>#N/A</v>
      </c>
      <c r="R866">
        <f t="shared" si="83"/>
        <v>0</v>
      </c>
    </row>
    <row r="867" spans="1:18" x14ac:dyDescent="0.3">
      <c r="A867" s="1">
        <v>865</v>
      </c>
      <c r="B867">
        <v>0</v>
      </c>
      <c r="C867" t="s">
        <v>916</v>
      </c>
      <c r="D867" t="s">
        <v>402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f t="shared" si="78"/>
        <v>0.4</v>
      </c>
      <c r="M867">
        <f t="shared" si="79"/>
        <v>0</v>
      </c>
      <c r="N867">
        <f t="shared" si="80"/>
        <v>0</v>
      </c>
      <c r="O867">
        <f t="shared" si="81"/>
        <v>0</v>
      </c>
      <c r="P867">
        <f t="shared" si="82"/>
        <v>0</v>
      </c>
      <c r="Q867" t="e">
        <f>VLOOKUP(C867,Sheet2!A:AU,47,0)</f>
        <v>#N/A</v>
      </c>
      <c r="R867">
        <f t="shared" si="83"/>
        <v>0</v>
      </c>
    </row>
    <row r="868" spans="1:18" x14ac:dyDescent="0.3">
      <c r="A868" s="1">
        <v>866</v>
      </c>
      <c r="B868">
        <v>0</v>
      </c>
      <c r="C868" t="s">
        <v>560</v>
      </c>
      <c r="D868" t="s">
        <v>214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f t="shared" si="78"/>
        <v>0.4</v>
      </c>
      <c r="M868">
        <f t="shared" si="79"/>
        <v>0</v>
      </c>
      <c r="N868">
        <f t="shared" si="80"/>
        <v>0</v>
      </c>
      <c r="O868">
        <f t="shared" si="81"/>
        <v>0</v>
      </c>
      <c r="P868">
        <f t="shared" si="82"/>
        <v>0</v>
      </c>
      <c r="Q868" t="e">
        <f>VLOOKUP(C868,Sheet2!A:AU,47,0)</f>
        <v>#N/A</v>
      </c>
      <c r="R868">
        <f t="shared" si="83"/>
        <v>0</v>
      </c>
    </row>
    <row r="869" spans="1:18" x14ac:dyDescent="0.3">
      <c r="A869" s="1">
        <v>867</v>
      </c>
      <c r="B869">
        <v>0</v>
      </c>
      <c r="C869" t="s">
        <v>561</v>
      </c>
      <c r="D869" t="s">
        <v>214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f t="shared" si="78"/>
        <v>0.4</v>
      </c>
      <c r="M869">
        <f t="shared" si="79"/>
        <v>0</v>
      </c>
      <c r="N869">
        <f t="shared" si="80"/>
        <v>0</v>
      </c>
      <c r="O869">
        <f t="shared" si="81"/>
        <v>0</v>
      </c>
      <c r="P869">
        <f t="shared" si="82"/>
        <v>0</v>
      </c>
      <c r="Q869" t="e">
        <f>VLOOKUP(C869,Sheet2!A:AU,47,0)</f>
        <v>#N/A</v>
      </c>
      <c r="R869">
        <f t="shared" si="83"/>
        <v>0</v>
      </c>
    </row>
    <row r="870" spans="1:18" x14ac:dyDescent="0.3">
      <c r="A870" s="1">
        <v>868</v>
      </c>
      <c r="B870">
        <v>0</v>
      </c>
      <c r="C870" t="s">
        <v>562</v>
      </c>
      <c r="D870" t="s">
        <v>214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f t="shared" si="78"/>
        <v>0.4</v>
      </c>
      <c r="M870">
        <f t="shared" si="79"/>
        <v>0</v>
      </c>
      <c r="N870">
        <f t="shared" si="80"/>
        <v>0</v>
      </c>
      <c r="O870">
        <f t="shared" si="81"/>
        <v>0</v>
      </c>
      <c r="P870">
        <f t="shared" si="82"/>
        <v>0</v>
      </c>
      <c r="Q870" t="e">
        <f>VLOOKUP(C870,Sheet2!A:AU,47,0)</f>
        <v>#N/A</v>
      </c>
      <c r="R870">
        <f t="shared" si="83"/>
        <v>0</v>
      </c>
    </row>
    <row r="871" spans="1:18" x14ac:dyDescent="0.3">
      <c r="A871" s="1">
        <v>869</v>
      </c>
      <c r="B871">
        <v>0</v>
      </c>
      <c r="C871" t="s">
        <v>563</v>
      </c>
      <c r="D871" t="s">
        <v>214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f t="shared" si="78"/>
        <v>0.4</v>
      </c>
      <c r="M871">
        <f t="shared" si="79"/>
        <v>0</v>
      </c>
      <c r="N871">
        <f t="shared" si="80"/>
        <v>0</v>
      </c>
      <c r="O871">
        <f t="shared" si="81"/>
        <v>0</v>
      </c>
      <c r="P871">
        <f t="shared" si="82"/>
        <v>0</v>
      </c>
      <c r="Q871" t="e">
        <f>VLOOKUP(C871,Sheet2!A:AU,47,0)</f>
        <v>#N/A</v>
      </c>
      <c r="R871">
        <f t="shared" si="83"/>
        <v>0</v>
      </c>
    </row>
    <row r="872" spans="1:18" x14ac:dyDescent="0.3">
      <c r="A872" s="1">
        <v>870</v>
      </c>
      <c r="B872">
        <v>0</v>
      </c>
      <c r="C872" t="s">
        <v>564</v>
      </c>
      <c r="D872" t="s">
        <v>214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f t="shared" si="78"/>
        <v>0.4</v>
      </c>
      <c r="M872">
        <f t="shared" si="79"/>
        <v>0</v>
      </c>
      <c r="N872">
        <f t="shared" si="80"/>
        <v>0</v>
      </c>
      <c r="O872">
        <f t="shared" si="81"/>
        <v>0</v>
      </c>
      <c r="P872">
        <f t="shared" si="82"/>
        <v>0</v>
      </c>
      <c r="Q872" t="e">
        <f>VLOOKUP(C872,Sheet2!A:AU,47,0)</f>
        <v>#N/A</v>
      </c>
      <c r="R872">
        <f t="shared" si="83"/>
        <v>0</v>
      </c>
    </row>
    <row r="873" spans="1:18" x14ac:dyDescent="0.3">
      <c r="A873" s="1">
        <v>871</v>
      </c>
      <c r="B873">
        <v>0</v>
      </c>
      <c r="C873" t="s">
        <v>565</v>
      </c>
      <c r="D873" t="s">
        <v>214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f t="shared" si="78"/>
        <v>0.4</v>
      </c>
      <c r="M873">
        <f t="shared" si="79"/>
        <v>0</v>
      </c>
      <c r="N873">
        <f t="shared" si="80"/>
        <v>0</v>
      </c>
      <c r="O873">
        <f t="shared" si="81"/>
        <v>0</v>
      </c>
      <c r="P873">
        <f t="shared" si="82"/>
        <v>0</v>
      </c>
      <c r="Q873" t="e">
        <f>VLOOKUP(C873,Sheet2!A:AU,47,0)</f>
        <v>#N/A</v>
      </c>
      <c r="R873">
        <f t="shared" si="83"/>
        <v>0</v>
      </c>
    </row>
    <row r="874" spans="1:18" x14ac:dyDescent="0.3">
      <c r="A874" s="1">
        <v>872</v>
      </c>
      <c r="B874">
        <v>0</v>
      </c>
      <c r="C874" t="s">
        <v>566</v>
      </c>
      <c r="D874" t="s">
        <v>214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f t="shared" si="78"/>
        <v>0.4</v>
      </c>
      <c r="M874">
        <f t="shared" si="79"/>
        <v>0</v>
      </c>
      <c r="N874">
        <f t="shared" si="80"/>
        <v>0</v>
      </c>
      <c r="O874">
        <f t="shared" si="81"/>
        <v>0</v>
      </c>
      <c r="P874">
        <f t="shared" si="82"/>
        <v>0</v>
      </c>
      <c r="Q874" t="e">
        <f>VLOOKUP(C874,Sheet2!A:AU,47,0)</f>
        <v>#N/A</v>
      </c>
      <c r="R874">
        <f t="shared" si="83"/>
        <v>0</v>
      </c>
    </row>
    <row r="875" spans="1:18" x14ac:dyDescent="0.3">
      <c r="A875" s="1">
        <v>873</v>
      </c>
      <c r="B875">
        <v>0</v>
      </c>
      <c r="C875" t="s">
        <v>567</v>
      </c>
      <c r="D875" t="s">
        <v>214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f t="shared" si="78"/>
        <v>0.4</v>
      </c>
      <c r="M875">
        <f t="shared" si="79"/>
        <v>0</v>
      </c>
      <c r="N875">
        <f t="shared" si="80"/>
        <v>0</v>
      </c>
      <c r="O875">
        <f t="shared" si="81"/>
        <v>0</v>
      </c>
      <c r="P875">
        <f t="shared" si="82"/>
        <v>0</v>
      </c>
      <c r="Q875" t="e">
        <f>VLOOKUP(C875,Sheet2!A:AU,47,0)</f>
        <v>#N/A</v>
      </c>
      <c r="R875">
        <f t="shared" si="83"/>
        <v>0</v>
      </c>
    </row>
    <row r="876" spans="1:18" x14ac:dyDescent="0.3">
      <c r="A876" s="1">
        <v>874</v>
      </c>
      <c r="B876">
        <v>0</v>
      </c>
      <c r="C876" t="s">
        <v>568</v>
      </c>
      <c r="D876" t="s">
        <v>214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f t="shared" si="78"/>
        <v>0.4</v>
      </c>
      <c r="M876">
        <f t="shared" si="79"/>
        <v>0</v>
      </c>
      <c r="N876">
        <f t="shared" si="80"/>
        <v>0</v>
      </c>
      <c r="O876">
        <f t="shared" si="81"/>
        <v>0</v>
      </c>
      <c r="P876">
        <f t="shared" si="82"/>
        <v>0</v>
      </c>
      <c r="Q876" t="e">
        <f>VLOOKUP(C876,Sheet2!A:AU,47,0)</f>
        <v>#N/A</v>
      </c>
      <c r="R876">
        <f t="shared" si="83"/>
        <v>0</v>
      </c>
    </row>
    <row r="877" spans="1:18" x14ac:dyDescent="0.3">
      <c r="A877" s="1">
        <v>875</v>
      </c>
      <c r="B877">
        <v>0</v>
      </c>
      <c r="C877" t="s">
        <v>569</v>
      </c>
      <c r="D877" t="s">
        <v>214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f t="shared" si="78"/>
        <v>0.4</v>
      </c>
      <c r="M877">
        <f t="shared" si="79"/>
        <v>0</v>
      </c>
      <c r="N877">
        <f t="shared" si="80"/>
        <v>0</v>
      </c>
      <c r="O877">
        <f t="shared" si="81"/>
        <v>0</v>
      </c>
      <c r="P877">
        <f t="shared" si="82"/>
        <v>0</v>
      </c>
      <c r="Q877" t="e">
        <f>VLOOKUP(C877,Sheet2!A:AU,47,0)</f>
        <v>#N/A</v>
      </c>
      <c r="R877">
        <f t="shared" si="83"/>
        <v>0</v>
      </c>
    </row>
    <row r="878" spans="1:18" x14ac:dyDescent="0.3">
      <c r="A878" s="1">
        <v>876</v>
      </c>
      <c r="B878">
        <v>0</v>
      </c>
      <c r="C878" t="s">
        <v>570</v>
      </c>
      <c r="D878" t="s">
        <v>214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f t="shared" si="78"/>
        <v>0.4</v>
      </c>
      <c r="M878">
        <f t="shared" si="79"/>
        <v>0</v>
      </c>
      <c r="N878">
        <f t="shared" si="80"/>
        <v>0</v>
      </c>
      <c r="O878">
        <f t="shared" si="81"/>
        <v>0</v>
      </c>
      <c r="P878">
        <f t="shared" si="82"/>
        <v>0</v>
      </c>
      <c r="Q878" t="e">
        <f>VLOOKUP(C878,Sheet2!A:AU,47,0)</f>
        <v>#N/A</v>
      </c>
      <c r="R878">
        <f t="shared" si="83"/>
        <v>0</v>
      </c>
    </row>
    <row r="879" spans="1:18" x14ac:dyDescent="0.3">
      <c r="A879" s="1">
        <v>877</v>
      </c>
      <c r="B879">
        <v>0</v>
      </c>
      <c r="C879" t="s">
        <v>571</v>
      </c>
      <c r="D879" t="s">
        <v>48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f t="shared" si="78"/>
        <v>0.4</v>
      </c>
      <c r="M879">
        <f t="shared" si="79"/>
        <v>0</v>
      </c>
      <c r="N879">
        <f t="shared" si="80"/>
        <v>0</v>
      </c>
      <c r="O879">
        <f t="shared" si="81"/>
        <v>0</v>
      </c>
      <c r="P879">
        <f t="shared" si="82"/>
        <v>0</v>
      </c>
      <c r="Q879" t="e">
        <f>VLOOKUP(C879,Sheet2!A:AU,47,0)</f>
        <v>#N/A</v>
      </c>
      <c r="R879">
        <f t="shared" si="83"/>
        <v>0</v>
      </c>
    </row>
    <row r="880" spans="1:18" x14ac:dyDescent="0.3">
      <c r="A880" s="1">
        <v>878</v>
      </c>
      <c r="B880">
        <v>0</v>
      </c>
      <c r="C880" t="s">
        <v>572</v>
      </c>
      <c r="D880" t="s">
        <v>48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f t="shared" si="78"/>
        <v>0.4</v>
      </c>
      <c r="M880">
        <f t="shared" si="79"/>
        <v>0</v>
      </c>
      <c r="N880">
        <f t="shared" si="80"/>
        <v>0</v>
      </c>
      <c r="O880">
        <f t="shared" si="81"/>
        <v>0</v>
      </c>
      <c r="P880">
        <f t="shared" si="82"/>
        <v>0</v>
      </c>
      <c r="Q880" t="e">
        <f>VLOOKUP(C880,Sheet2!A:AU,47,0)</f>
        <v>#N/A</v>
      </c>
      <c r="R880">
        <f t="shared" si="83"/>
        <v>0</v>
      </c>
    </row>
    <row r="881" spans="1:18" x14ac:dyDescent="0.3">
      <c r="A881" s="1">
        <v>879</v>
      </c>
      <c r="B881">
        <v>0</v>
      </c>
      <c r="C881" t="s">
        <v>573</v>
      </c>
      <c r="D881" t="s">
        <v>48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f t="shared" si="78"/>
        <v>0.4</v>
      </c>
      <c r="M881">
        <f t="shared" si="79"/>
        <v>0</v>
      </c>
      <c r="N881">
        <f t="shared" si="80"/>
        <v>0</v>
      </c>
      <c r="O881">
        <f t="shared" si="81"/>
        <v>0</v>
      </c>
      <c r="P881">
        <f t="shared" si="82"/>
        <v>0</v>
      </c>
      <c r="Q881" t="e">
        <f>VLOOKUP(C881,Sheet2!A:AU,47,0)</f>
        <v>#N/A</v>
      </c>
      <c r="R881">
        <f t="shared" si="83"/>
        <v>0</v>
      </c>
    </row>
    <row r="882" spans="1:18" x14ac:dyDescent="0.3">
      <c r="A882" s="1">
        <v>880</v>
      </c>
      <c r="B882">
        <v>0</v>
      </c>
      <c r="C882" t="s">
        <v>574</v>
      </c>
      <c r="D882" t="s">
        <v>48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f t="shared" si="78"/>
        <v>0.4</v>
      </c>
      <c r="M882">
        <f t="shared" si="79"/>
        <v>0</v>
      </c>
      <c r="N882">
        <f t="shared" si="80"/>
        <v>0</v>
      </c>
      <c r="O882">
        <f t="shared" si="81"/>
        <v>0</v>
      </c>
      <c r="P882">
        <f t="shared" si="82"/>
        <v>0</v>
      </c>
      <c r="Q882" t="e">
        <f>VLOOKUP(C882,Sheet2!A:AU,47,0)</f>
        <v>#N/A</v>
      </c>
      <c r="R882">
        <f t="shared" si="83"/>
        <v>0</v>
      </c>
    </row>
    <row r="883" spans="1:18" x14ac:dyDescent="0.3">
      <c r="A883" s="1">
        <v>881</v>
      </c>
      <c r="B883">
        <v>0</v>
      </c>
      <c r="C883" t="s">
        <v>575</v>
      </c>
      <c r="D883" t="s">
        <v>48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f t="shared" si="78"/>
        <v>0.4</v>
      </c>
      <c r="M883">
        <f t="shared" si="79"/>
        <v>0</v>
      </c>
      <c r="N883">
        <f t="shared" si="80"/>
        <v>0</v>
      </c>
      <c r="O883">
        <f t="shared" si="81"/>
        <v>0</v>
      </c>
      <c r="P883">
        <f t="shared" si="82"/>
        <v>0</v>
      </c>
      <c r="Q883" t="e">
        <f>VLOOKUP(C883,Sheet2!A:AU,47,0)</f>
        <v>#N/A</v>
      </c>
      <c r="R883">
        <f t="shared" si="83"/>
        <v>0</v>
      </c>
    </row>
    <row r="884" spans="1:18" x14ac:dyDescent="0.3">
      <c r="A884" s="1">
        <v>882</v>
      </c>
      <c r="B884">
        <v>0</v>
      </c>
      <c r="C884" t="s">
        <v>576</v>
      </c>
      <c r="D884" t="s">
        <v>48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f t="shared" si="78"/>
        <v>0.4</v>
      </c>
      <c r="M884">
        <f t="shared" si="79"/>
        <v>0</v>
      </c>
      <c r="N884">
        <f t="shared" si="80"/>
        <v>0</v>
      </c>
      <c r="O884">
        <f t="shared" si="81"/>
        <v>0</v>
      </c>
      <c r="P884">
        <f t="shared" si="82"/>
        <v>0</v>
      </c>
      <c r="Q884" t="e">
        <f>VLOOKUP(C884,Sheet2!A:AU,47,0)</f>
        <v>#N/A</v>
      </c>
      <c r="R884">
        <f t="shared" si="83"/>
        <v>0</v>
      </c>
    </row>
    <row r="885" spans="1:18" x14ac:dyDescent="0.3">
      <c r="A885" s="1">
        <v>883</v>
      </c>
      <c r="B885">
        <v>0</v>
      </c>
      <c r="C885" t="s">
        <v>577</v>
      </c>
      <c r="D885" t="s">
        <v>48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f t="shared" si="78"/>
        <v>0.4</v>
      </c>
      <c r="M885">
        <f t="shared" si="79"/>
        <v>0</v>
      </c>
      <c r="N885">
        <f t="shared" si="80"/>
        <v>0</v>
      </c>
      <c r="O885">
        <f t="shared" si="81"/>
        <v>0</v>
      </c>
      <c r="P885">
        <f t="shared" si="82"/>
        <v>0</v>
      </c>
      <c r="Q885" t="e">
        <f>VLOOKUP(C885,Sheet2!A:AU,47,0)</f>
        <v>#N/A</v>
      </c>
      <c r="R885">
        <f t="shared" si="83"/>
        <v>0</v>
      </c>
    </row>
    <row r="886" spans="1:18" x14ac:dyDescent="0.3">
      <c r="A886" s="1">
        <v>884</v>
      </c>
      <c r="B886">
        <v>0</v>
      </c>
      <c r="C886" t="s">
        <v>578</v>
      </c>
      <c r="D886" t="s">
        <v>48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f t="shared" si="78"/>
        <v>0.4</v>
      </c>
      <c r="M886">
        <f t="shared" si="79"/>
        <v>0</v>
      </c>
      <c r="N886">
        <f t="shared" si="80"/>
        <v>0</v>
      </c>
      <c r="O886">
        <f t="shared" si="81"/>
        <v>0</v>
      </c>
      <c r="P886">
        <f t="shared" si="82"/>
        <v>0</v>
      </c>
      <c r="Q886" t="e">
        <f>VLOOKUP(C886,Sheet2!A:AU,47,0)</f>
        <v>#N/A</v>
      </c>
      <c r="R886">
        <f t="shared" si="83"/>
        <v>0</v>
      </c>
    </row>
    <row r="887" spans="1:18" x14ac:dyDescent="0.3">
      <c r="A887" s="1">
        <v>885</v>
      </c>
      <c r="B887">
        <v>0</v>
      </c>
      <c r="C887" t="s">
        <v>579</v>
      </c>
      <c r="D887" t="s">
        <v>48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f t="shared" si="78"/>
        <v>0.4</v>
      </c>
      <c r="M887">
        <f t="shared" si="79"/>
        <v>0</v>
      </c>
      <c r="N887">
        <f t="shared" si="80"/>
        <v>0</v>
      </c>
      <c r="O887">
        <f t="shared" si="81"/>
        <v>0</v>
      </c>
      <c r="P887">
        <f t="shared" si="82"/>
        <v>0</v>
      </c>
      <c r="Q887" t="e">
        <f>VLOOKUP(C887,Sheet2!A:AU,47,0)</f>
        <v>#N/A</v>
      </c>
      <c r="R887">
        <f t="shared" si="83"/>
        <v>0</v>
      </c>
    </row>
    <row r="888" spans="1:18" x14ac:dyDescent="0.3">
      <c r="A888" s="1">
        <v>886</v>
      </c>
      <c r="B888">
        <v>0</v>
      </c>
      <c r="C888" t="s">
        <v>580</v>
      </c>
      <c r="D888" t="s">
        <v>48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f t="shared" si="78"/>
        <v>0.4</v>
      </c>
      <c r="M888">
        <f t="shared" si="79"/>
        <v>0</v>
      </c>
      <c r="N888">
        <f t="shared" si="80"/>
        <v>0</v>
      </c>
      <c r="O888">
        <f t="shared" si="81"/>
        <v>0</v>
      </c>
      <c r="P888">
        <f t="shared" si="82"/>
        <v>0</v>
      </c>
      <c r="Q888" t="e">
        <f>VLOOKUP(C888,Sheet2!A:AU,47,0)</f>
        <v>#N/A</v>
      </c>
      <c r="R888">
        <f t="shared" si="83"/>
        <v>0</v>
      </c>
    </row>
    <row r="889" spans="1:18" x14ac:dyDescent="0.3">
      <c r="A889" s="1">
        <v>887</v>
      </c>
      <c r="B889">
        <v>0</v>
      </c>
      <c r="C889" t="s">
        <v>581</v>
      </c>
      <c r="D889" t="s">
        <v>48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f t="shared" si="78"/>
        <v>0.4</v>
      </c>
      <c r="M889">
        <f t="shared" si="79"/>
        <v>0</v>
      </c>
      <c r="N889">
        <f t="shared" si="80"/>
        <v>0</v>
      </c>
      <c r="O889">
        <f t="shared" si="81"/>
        <v>0</v>
      </c>
      <c r="P889">
        <f t="shared" si="82"/>
        <v>0</v>
      </c>
      <c r="Q889" t="e">
        <f>VLOOKUP(C889,Sheet2!A:AU,47,0)</f>
        <v>#N/A</v>
      </c>
      <c r="R889">
        <f t="shared" si="83"/>
        <v>0</v>
      </c>
    </row>
    <row r="890" spans="1:18" x14ac:dyDescent="0.3">
      <c r="A890" s="1">
        <v>888</v>
      </c>
      <c r="B890">
        <v>0</v>
      </c>
      <c r="C890" t="s">
        <v>582</v>
      </c>
      <c r="D890" t="s">
        <v>48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f t="shared" si="78"/>
        <v>0.4</v>
      </c>
      <c r="M890">
        <f t="shared" si="79"/>
        <v>0</v>
      </c>
      <c r="N890">
        <f t="shared" si="80"/>
        <v>0</v>
      </c>
      <c r="O890">
        <f t="shared" si="81"/>
        <v>0</v>
      </c>
      <c r="P890">
        <f t="shared" si="82"/>
        <v>0</v>
      </c>
      <c r="Q890" t="e">
        <f>VLOOKUP(C890,Sheet2!A:AU,47,0)</f>
        <v>#N/A</v>
      </c>
      <c r="R890">
        <f t="shared" si="83"/>
        <v>0</v>
      </c>
    </row>
    <row r="891" spans="1:18" x14ac:dyDescent="0.3">
      <c r="A891" s="1">
        <v>889</v>
      </c>
      <c r="B891">
        <v>0</v>
      </c>
      <c r="C891" t="s">
        <v>583</v>
      </c>
      <c r="D891" t="s">
        <v>48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f t="shared" si="78"/>
        <v>0.4</v>
      </c>
      <c r="M891">
        <f t="shared" si="79"/>
        <v>0</v>
      </c>
      <c r="N891">
        <f t="shared" si="80"/>
        <v>0</v>
      </c>
      <c r="O891">
        <f t="shared" si="81"/>
        <v>0</v>
      </c>
      <c r="P891">
        <f t="shared" si="82"/>
        <v>0</v>
      </c>
      <c r="Q891" t="e">
        <f>VLOOKUP(C891,Sheet2!A:AU,47,0)</f>
        <v>#N/A</v>
      </c>
      <c r="R891">
        <f t="shared" si="83"/>
        <v>0</v>
      </c>
    </row>
    <row r="892" spans="1:18" x14ac:dyDescent="0.3">
      <c r="A892" s="1">
        <v>890</v>
      </c>
      <c r="B892">
        <v>0</v>
      </c>
      <c r="C892" t="s">
        <v>584</v>
      </c>
      <c r="D892" t="s">
        <v>129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f t="shared" si="78"/>
        <v>0.4</v>
      </c>
      <c r="M892">
        <f t="shared" si="79"/>
        <v>0</v>
      </c>
      <c r="N892">
        <f t="shared" si="80"/>
        <v>0</v>
      </c>
      <c r="O892">
        <f t="shared" si="81"/>
        <v>0</v>
      </c>
      <c r="P892">
        <f t="shared" si="82"/>
        <v>0</v>
      </c>
      <c r="Q892" t="e">
        <f>VLOOKUP(C892,Sheet2!A:AU,47,0)</f>
        <v>#N/A</v>
      </c>
      <c r="R892">
        <f t="shared" si="83"/>
        <v>0</v>
      </c>
    </row>
    <row r="893" spans="1:18" x14ac:dyDescent="0.3">
      <c r="A893" s="1">
        <v>891</v>
      </c>
      <c r="B893">
        <v>0</v>
      </c>
      <c r="C893" t="s">
        <v>585</v>
      </c>
      <c r="D893" t="s">
        <v>129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f t="shared" si="78"/>
        <v>0.4</v>
      </c>
      <c r="M893">
        <f t="shared" si="79"/>
        <v>0</v>
      </c>
      <c r="N893">
        <f t="shared" si="80"/>
        <v>0</v>
      </c>
      <c r="O893">
        <f t="shared" si="81"/>
        <v>0</v>
      </c>
      <c r="P893">
        <f t="shared" si="82"/>
        <v>0</v>
      </c>
      <c r="Q893" t="e">
        <f>VLOOKUP(C893,Sheet2!A:AU,47,0)</f>
        <v>#N/A</v>
      </c>
      <c r="R893">
        <f t="shared" si="83"/>
        <v>0</v>
      </c>
    </row>
    <row r="894" spans="1:18" x14ac:dyDescent="0.3">
      <c r="A894" s="1">
        <v>892</v>
      </c>
      <c r="B894">
        <v>0</v>
      </c>
      <c r="C894" t="s">
        <v>586</v>
      </c>
      <c r="D894" t="s">
        <v>129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f t="shared" si="78"/>
        <v>0.4</v>
      </c>
      <c r="M894">
        <f t="shared" si="79"/>
        <v>0</v>
      </c>
      <c r="N894">
        <f t="shared" si="80"/>
        <v>0</v>
      </c>
      <c r="O894">
        <f t="shared" si="81"/>
        <v>0</v>
      </c>
      <c r="P894">
        <f t="shared" si="82"/>
        <v>0</v>
      </c>
      <c r="Q894" t="e">
        <f>VLOOKUP(C894,Sheet2!A:AU,47,0)</f>
        <v>#N/A</v>
      </c>
      <c r="R894">
        <f t="shared" si="83"/>
        <v>0</v>
      </c>
    </row>
    <row r="895" spans="1:18" x14ac:dyDescent="0.3">
      <c r="A895" s="1">
        <v>893</v>
      </c>
      <c r="B895">
        <v>0</v>
      </c>
      <c r="C895" t="s">
        <v>587</v>
      </c>
      <c r="D895" t="s">
        <v>129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f t="shared" si="78"/>
        <v>0.4</v>
      </c>
      <c r="M895">
        <f t="shared" si="79"/>
        <v>0</v>
      </c>
      <c r="N895">
        <f t="shared" si="80"/>
        <v>0</v>
      </c>
      <c r="O895">
        <f t="shared" si="81"/>
        <v>0</v>
      </c>
      <c r="P895">
        <f t="shared" si="82"/>
        <v>0</v>
      </c>
      <c r="Q895" t="e">
        <f>VLOOKUP(C895,Sheet2!A:AU,47,0)</f>
        <v>#N/A</v>
      </c>
      <c r="R895">
        <f t="shared" si="83"/>
        <v>0</v>
      </c>
    </row>
    <row r="896" spans="1:18" x14ac:dyDescent="0.3">
      <c r="A896" s="1">
        <v>894</v>
      </c>
      <c r="B896">
        <v>0</v>
      </c>
      <c r="C896" t="s">
        <v>588</v>
      </c>
      <c r="D896" t="s">
        <v>129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f t="shared" si="78"/>
        <v>0.4</v>
      </c>
      <c r="M896">
        <f t="shared" si="79"/>
        <v>0</v>
      </c>
      <c r="N896">
        <f t="shared" si="80"/>
        <v>0</v>
      </c>
      <c r="O896">
        <f t="shared" si="81"/>
        <v>0</v>
      </c>
      <c r="P896">
        <f t="shared" si="82"/>
        <v>0</v>
      </c>
      <c r="Q896" t="e">
        <f>VLOOKUP(C896,Sheet2!A:AU,47,0)</f>
        <v>#N/A</v>
      </c>
      <c r="R896">
        <f t="shared" si="83"/>
        <v>0</v>
      </c>
    </row>
    <row r="897" spans="1:18" x14ac:dyDescent="0.3">
      <c r="A897" s="1">
        <v>895</v>
      </c>
      <c r="B897">
        <v>0</v>
      </c>
      <c r="C897" t="s">
        <v>589</v>
      </c>
      <c r="D897" t="s">
        <v>129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f t="shared" si="78"/>
        <v>0.4</v>
      </c>
      <c r="M897">
        <f t="shared" si="79"/>
        <v>0</v>
      </c>
      <c r="N897">
        <f t="shared" si="80"/>
        <v>0</v>
      </c>
      <c r="O897">
        <f t="shared" si="81"/>
        <v>0</v>
      </c>
      <c r="P897">
        <f t="shared" si="82"/>
        <v>0</v>
      </c>
      <c r="Q897" t="e">
        <f>VLOOKUP(C897,Sheet2!A:AU,47,0)</f>
        <v>#N/A</v>
      </c>
      <c r="R897">
        <f t="shared" si="83"/>
        <v>0</v>
      </c>
    </row>
    <row r="898" spans="1:18" x14ac:dyDescent="0.3">
      <c r="A898" s="1">
        <v>896</v>
      </c>
      <c r="B898">
        <v>0</v>
      </c>
      <c r="C898" t="s">
        <v>590</v>
      </c>
      <c r="D898" t="s">
        <v>129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f t="shared" si="78"/>
        <v>0.4</v>
      </c>
      <c r="M898">
        <f t="shared" si="79"/>
        <v>0</v>
      </c>
      <c r="N898">
        <f t="shared" si="80"/>
        <v>0</v>
      </c>
      <c r="O898">
        <f t="shared" si="81"/>
        <v>0</v>
      </c>
      <c r="P898">
        <f t="shared" si="82"/>
        <v>0</v>
      </c>
      <c r="Q898" t="e">
        <f>VLOOKUP(C898,Sheet2!A:AU,47,0)</f>
        <v>#N/A</v>
      </c>
      <c r="R898">
        <f t="shared" si="83"/>
        <v>0</v>
      </c>
    </row>
    <row r="899" spans="1:18" x14ac:dyDescent="0.3">
      <c r="A899" s="1">
        <v>897</v>
      </c>
      <c r="B899">
        <v>0</v>
      </c>
      <c r="C899" t="s">
        <v>591</v>
      </c>
      <c r="D899" t="s">
        <v>129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f t="shared" ref="L899:L962" si="84">MAX(H:H)</f>
        <v>0.4</v>
      </c>
      <c r="M899">
        <f t="shared" ref="M899:M962" si="85">MIN(H:H)</f>
        <v>0</v>
      </c>
      <c r="N899">
        <f t="shared" ref="N899:N962" si="86">(H899-M899)/(L899-M899)</f>
        <v>0</v>
      </c>
      <c r="O899">
        <f t="shared" ref="O899:O962" si="87">N899*0.0442</f>
        <v>0</v>
      </c>
      <c r="P899">
        <f t="shared" ref="P899:P962" si="88">O899*100</f>
        <v>0</v>
      </c>
      <c r="Q899" t="e">
        <f>VLOOKUP(C899,Sheet2!A:AU,47,0)</f>
        <v>#N/A</v>
      </c>
      <c r="R899">
        <f t="shared" ref="R899:R962" si="89">IFERROR((P899+Q899),0)</f>
        <v>0</v>
      </c>
    </row>
    <row r="900" spans="1:18" x14ac:dyDescent="0.3">
      <c r="A900" s="1">
        <v>898</v>
      </c>
      <c r="B900">
        <v>0</v>
      </c>
      <c r="C900" t="s">
        <v>592</v>
      </c>
      <c r="D900" t="s">
        <v>129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f t="shared" si="84"/>
        <v>0.4</v>
      </c>
      <c r="M900">
        <f t="shared" si="85"/>
        <v>0</v>
      </c>
      <c r="N900">
        <f t="shared" si="86"/>
        <v>0</v>
      </c>
      <c r="O900">
        <f t="shared" si="87"/>
        <v>0</v>
      </c>
      <c r="P900">
        <f t="shared" si="88"/>
        <v>0</v>
      </c>
      <c r="Q900" t="e">
        <f>VLOOKUP(C900,Sheet2!A:AU,47,0)</f>
        <v>#N/A</v>
      </c>
      <c r="R900">
        <f t="shared" si="89"/>
        <v>0</v>
      </c>
    </row>
    <row r="901" spans="1:18" x14ac:dyDescent="0.3">
      <c r="A901" s="1">
        <v>899</v>
      </c>
      <c r="B901">
        <v>0</v>
      </c>
      <c r="C901" t="s">
        <v>593</v>
      </c>
      <c r="D901" t="s">
        <v>129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f t="shared" si="84"/>
        <v>0.4</v>
      </c>
      <c r="M901">
        <f t="shared" si="85"/>
        <v>0</v>
      </c>
      <c r="N901">
        <f t="shared" si="86"/>
        <v>0</v>
      </c>
      <c r="O901">
        <f t="shared" si="87"/>
        <v>0</v>
      </c>
      <c r="P901">
        <f t="shared" si="88"/>
        <v>0</v>
      </c>
      <c r="Q901" t="e">
        <f>VLOOKUP(C901,Sheet2!A:AU,47,0)</f>
        <v>#N/A</v>
      </c>
      <c r="R901">
        <f t="shared" si="89"/>
        <v>0</v>
      </c>
    </row>
    <row r="902" spans="1:18" x14ac:dyDescent="0.3">
      <c r="A902" s="1">
        <v>900</v>
      </c>
      <c r="B902">
        <v>0</v>
      </c>
      <c r="C902" t="s">
        <v>594</v>
      </c>
      <c r="D902" t="s">
        <v>129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f t="shared" si="84"/>
        <v>0.4</v>
      </c>
      <c r="M902">
        <f t="shared" si="85"/>
        <v>0</v>
      </c>
      <c r="N902">
        <f t="shared" si="86"/>
        <v>0</v>
      </c>
      <c r="O902">
        <f t="shared" si="87"/>
        <v>0</v>
      </c>
      <c r="P902">
        <f t="shared" si="88"/>
        <v>0</v>
      </c>
      <c r="Q902" t="e">
        <f>VLOOKUP(C902,Sheet2!A:AU,47,0)</f>
        <v>#N/A</v>
      </c>
      <c r="R902">
        <f t="shared" si="89"/>
        <v>0</v>
      </c>
    </row>
    <row r="903" spans="1:18" x14ac:dyDescent="0.3">
      <c r="A903" s="1">
        <v>901</v>
      </c>
      <c r="B903">
        <v>0</v>
      </c>
      <c r="C903" t="s">
        <v>595</v>
      </c>
      <c r="D903" t="s">
        <v>116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f t="shared" si="84"/>
        <v>0.4</v>
      </c>
      <c r="M903">
        <f t="shared" si="85"/>
        <v>0</v>
      </c>
      <c r="N903">
        <f t="shared" si="86"/>
        <v>0</v>
      </c>
      <c r="O903">
        <f t="shared" si="87"/>
        <v>0</v>
      </c>
      <c r="P903">
        <f t="shared" si="88"/>
        <v>0</v>
      </c>
      <c r="Q903" t="e">
        <f>VLOOKUP(C903,Sheet2!A:AU,47,0)</f>
        <v>#N/A</v>
      </c>
      <c r="R903">
        <f t="shared" si="89"/>
        <v>0</v>
      </c>
    </row>
    <row r="904" spans="1:18" x14ac:dyDescent="0.3">
      <c r="A904" s="1">
        <v>902</v>
      </c>
      <c r="B904">
        <v>0</v>
      </c>
      <c r="C904" t="s">
        <v>596</v>
      </c>
      <c r="D904" t="s">
        <v>116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f t="shared" si="84"/>
        <v>0.4</v>
      </c>
      <c r="M904">
        <f t="shared" si="85"/>
        <v>0</v>
      </c>
      <c r="N904">
        <f t="shared" si="86"/>
        <v>0</v>
      </c>
      <c r="O904">
        <f t="shared" si="87"/>
        <v>0</v>
      </c>
      <c r="P904">
        <f t="shared" si="88"/>
        <v>0</v>
      </c>
      <c r="Q904" t="e">
        <f>VLOOKUP(C904,Sheet2!A:AU,47,0)</f>
        <v>#N/A</v>
      </c>
      <c r="R904">
        <f t="shared" si="89"/>
        <v>0</v>
      </c>
    </row>
    <row r="905" spans="1:18" x14ac:dyDescent="0.3">
      <c r="A905" s="1">
        <v>903</v>
      </c>
      <c r="B905">
        <v>0</v>
      </c>
      <c r="C905" t="s">
        <v>597</v>
      </c>
      <c r="D905" t="s">
        <v>116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f t="shared" si="84"/>
        <v>0.4</v>
      </c>
      <c r="M905">
        <f t="shared" si="85"/>
        <v>0</v>
      </c>
      <c r="N905">
        <f t="shared" si="86"/>
        <v>0</v>
      </c>
      <c r="O905">
        <f t="shared" si="87"/>
        <v>0</v>
      </c>
      <c r="P905">
        <f t="shared" si="88"/>
        <v>0</v>
      </c>
      <c r="Q905" t="e">
        <f>VLOOKUP(C905,Sheet2!A:AU,47,0)</f>
        <v>#N/A</v>
      </c>
      <c r="R905">
        <f t="shared" si="89"/>
        <v>0</v>
      </c>
    </row>
    <row r="906" spans="1:18" x14ac:dyDescent="0.3">
      <c r="A906" s="1">
        <v>904</v>
      </c>
      <c r="B906">
        <v>0</v>
      </c>
      <c r="C906" t="s">
        <v>598</v>
      </c>
      <c r="D906" t="s">
        <v>116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f t="shared" si="84"/>
        <v>0.4</v>
      </c>
      <c r="M906">
        <f t="shared" si="85"/>
        <v>0</v>
      </c>
      <c r="N906">
        <f t="shared" si="86"/>
        <v>0</v>
      </c>
      <c r="O906">
        <f t="shared" si="87"/>
        <v>0</v>
      </c>
      <c r="P906">
        <f t="shared" si="88"/>
        <v>0</v>
      </c>
      <c r="Q906" t="e">
        <f>VLOOKUP(C906,Sheet2!A:AU,47,0)</f>
        <v>#N/A</v>
      </c>
      <c r="R906">
        <f t="shared" si="89"/>
        <v>0</v>
      </c>
    </row>
    <row r="907" spans="1:18" x14ac:dyDescent="0.3">
      <c r="A907" s="1">
        <v>905</v>
      </c>
      <c r="B907">
        <v>0</v>
      </c>
      <c r="C907" t="s">
        <v>599</v>
      </c>
      <c r="D907" t="s">
        <v>116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f t="shared" si="84"/>
        <v>0.4</v>
      </c>
      <c r="M907">
        <f t="shared" si="85"/>
        <v>0</v>
      </c>
      <c r="N907">
        <f t="shared" si="86"/>
        <v>0</v>
      </c>
      <c r="O907">
        <f t="shared" si="87"/>
        <v>0</v>
      </c>
      <c r="P907">
        <f t="shared" si="88"/>
        <v>0</v>
      </c>
      <c r="Q907" t="e">
        <f>VLOOKUP(C907,Sheet2!A:AU,47,0)</f>
        <v>#N/A</v>
      </c>
      <c r="R907">
        <f t="shared" si="89"/>
        <v>0</v>
      </c>
    </row>
    <row r="908" spans="1:18" x14ac:dyDescent="0.3">
      <c r="A908" s="1">
        <v>906</v>
      </c>
      <c r="B908">
        <v>0</v>
      </c>
      <c r="C908" t="s">
        <v>600</v>
      </c>
      <c r="D908" t="s">
        <v>116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f t="shared" si="84"/>
        <v>0.4</v>
      </c>
      <c r="M908">
        <f t="shared" si="85"/>
        <v>0</v>
      </c>
      <c r="N908">
        <f t="shared" si="86"/>
        <v>0</v>
      </c>
      <c r="O908">
        <f t="shared" si="87"/>
        <v>0</v>
      </c>
      <c r="P908">
        <f t="shared" si="88"/>
        <v>0</v>
      </c>
      <c r="Q908" t="e">
        <f>VLOOKUP(C908,Sheet2!A:AU,47,0)</f>
        <v>#N/A</v>
      </c>
      <c r="R908">
        <f t="shared" si="89"/>
        <v>0</v>
      </c>
    </row>
    <row r="909" spans="1:18" x14ac:dyDescent="0.3">
      <c r="A909" s="1">
        <v>907</v>
      </c>
      <c r="B909">
        <v>0</v>
      </c>
      <c r="C909" t="s">
        <v>601</v>
      </c>
      <c r="D909" t="s">
        <v>116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f t="shared" si="84"/>
        <v>0.4</v>
      </c>
      <c r="M909">
        <f t="shared" si="85"/>
        <v>0</v>
      </c>
      <c r="N909">
        <f t="shared" si="86"/>
        <v>0</v>
      </c>
      <c r="O909">
        <f t="shared" si="87"/>
        <v>0</v>
      </c>
      <c r="P909">
        <f t="shared" si="88"/>
        <v>0</v>
      </c>
      <c r="Q909" t="e">
        <f>VLOOKUP(C909,Sheet2!A:AU,47,0)</f>
        <v>#N/A</v>
      </c>
      <c r="R909">
        <f t="shared" si="89"/>
        <v>0</v>
      </c>
    </row>
    <row r="910" spans="1:18" x14ac:dyDescent="0.3">
      <c r="A910" s="1">
        <v>908</v>
      </c>
      <c r="B910">
        <v>0</v>
      </c>
      <c r="C910" t="s">
        <v>602</v>
      </c>
      <c r="D910" t="s">
        <v>116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f t="shared" si="84"/>
        <v>0.4</v>
      </c>
      <c r="M910">
        <f t="shared" si="85"/>
        <v>0</v>
      </c>
      <c r="N910">
        <f t="shared" si="86"/>
        <v>0</v>
      </c>
      <c r="O910">
        <f t="shared" si="87"/>
        <v>0</v>
      </c>
      <c r="P910">
        <f t="shared" si="88"/>
        <v>0</v>
      </c>
      <c r="Q910" t="e">
        <f>VLOOKUP(C910,Sheet2!A:AU,47,0)</f>
        <v>#N/A</v>
      </c>
      <c r="R910">
        <f t="shared" si="89"/>
        <v>0</v>
      </c>
    </row>
    <row r="911" spans="1:18" x14ac:dyDescent="0.3">
      <c r="A911" s="1">
        <v>909</v>
      </c>
      <c r="B911">
        <v>0</v>
      </c>
      <c r="C911" t="s">
        <v>603</v>
      </c>
      <c r="D911" t="s">
        <v>105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f t="shared" si="84"/>
        <v>0.4</v>
      </c>
      <c r="M911">
        <f t="shared" si="85"/>
        <v>0</v>
      </c>
      <c r="N911">
        <f t="shared" si="86"/>
        <v>0</v>
      </c>
      <c r="O911">
        <f t="shared" si="87"/>
        <v>0</v>
      </c>
      <c r="P911">
        <f t="shared" si="88"/>
        <v>0</v>
      </c>
      <c r="Q911" t="e">
        <f>VLOOKUP(C911,Sheet2!A:AU,47,0)</f>
        <v>#N/A</v>
      </c>
      <c r="R911">
        <f t="shared" si="89"/>
        <v>0</v>
      </c>
    </row>
    <row r="912" spans="1:18" x14ac:dyDescent="0.3">
      <c r="A912" s="1">
        <v>910</v>
      </c>
      <c r="B912">
        <v>0</v>
      </c>
      <c r="C912" t="s">
        <v>604</v>
      </c>
      <c r="D912" t="s">
        <v>105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f t="shared" si="84"/>
        <v>0.4</v>
      </c>
      <c r="M912">
        <f t="shared" si="85"/>
        <v>0</v>
      </c>
      <c r="N912">
        <f t="shared" si="86"/>
        <v>0</v>
      </c>
      <c r="O912">
        <f t="shared" si="87"/>
        <v>0</v>
      </c>
      <c r="P912">
        <f t="shared" si="88"/>
        <v>0</v>
      </c>
      <c r="Q912" t="e">
        <f>VLOOKUP(C912,Sheet2!A:AU,47,0)</f>
        <v>#N/A</v>
      </c>
      <c r="R912">
        <f t="shared" si="89"/>
        <v>0</v>
      </c>
    </row>
    <row r="913" spans="1:18" x14ac:dyDescent="0.3">
      <c r="A913" s="1">
        <v>911</v>
      </c>
      <c r="B913">
        <v>0</v>
      </c>
      <c r="C913" t="s">
        <v>605</v>
      </c>
      <c r="D913" t="s">
        <v>105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f t="shared" si="84"/>
        <v>0.4</v>
      </c>
      <c r="M913">
        <f t="shared" si="85"/>
        <v>0</v>
      </c>
      <c r="N913">
        <f t="shared" si="86"/>
        <v>0</v>
      </c>
      <c r="O913">
        <f t="shared" si="87"/>
        <v>0</v>
      </c>
      <c r="P913">
        <f t="shared" si="88"/>
        <v>0</v>
      </c>
      <c r="Q913" t="e">
        <f>VLOOKUP(C913,Sheet2!A:AU,47,0)</f>
        <v>#N/A</v>
      </c>
      <c r="R913">
        <f t="shared" si="89"/>
        <v>0</v>
      </c>
    </row>
    <row r="914" spans="1:18" x14ac:dyDescent="0.3">
      <c r="A914" s="1">
        <v>912</v>
      </c>
      <c r="B914">
        <v>0</v>
      </c>
      <c r="C914" t="s">
        <v>606</v>
      </c>
      <c r="D914" t="s">
        <v>105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f t="shared" si="84"/>
        <v>0.4</v>
      </c>
      <c r="M914">
        <f t="shared" si="85"/>
        <v>0</v>
      </c>
      <c r="N914">
        <f t="shared" si="86"/>
        <v>0</v>
      </c>
      <c r="O914">
        <f t="shared" si="87"/>
        <v>0</v>
      </c>
      <c r="P914">
        <f t="shared" si="88"/>
        <v>0</v>
      </c>
      <c r="Q914" t="e">
        <f>VLOOKUP(C914,Sheet2!A:AU,47,0)</f>
        <v>#N/A</v>
      </c>
      <c r="R914">
        <f t="shared" si="89"/>
        <v>0</v>
      </c>
    </row>
    <row r="915" spans="1:18" x14ac:dyDescent="0.3">
      <c r="A915" s="1">
        <v>913</v>
      </c>
      <c r="B915">
        <v>0</v>
      </c>
      <c r="C915" t="s">
        <v>607</v>
      </c>
      <c r="D915" t="s">
        <v>105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f t="shared" si="84"/>
        <v>0.4</v>
      </c>
      <c r="M915">
        <f t="shared" si="85"/>
        <v>0</v>
      </c>
      <c r="N915">
        <f t="shared" si="86"/>
        <v>0</v>
      </c>
      <c r="O915">
        <f t="shared" si="87"/>
        <v>0</v>
      </c>
      <c r="P915">
        <f t="shared" si="88"/>
        <v>0</v>
      </c>
      <c r="Q915" t="e">
        <f>VLOOKUP(C915,Sheet2!A:AU,47,0)</f>
        <v>#N/A</v>
      </c>
      <c r="R915">
        <f t="shared" si="89"/>
        <v>0</v>
      </c>
    </row>
    <row r="916" spans="1:18" x14ac:dyDescent="0.3">
      <c r="A916" s="1">
        <v>914</v>
      </c>
      <c r="B916">
        <v>0</v>
      </c>
      <c r="C916" t="s">
        <v>608</v>
      </c>
      <c r="D916" t="s">
        <v>105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f t="shared" si="84"/>
        <v>0.4</v>
      </c>
      <c r="M916">
        <f t="shared" si="85"/>
        <v>0</v>
      </c>
      <c r="N916">
        <f t="shared" si="86"/>
        <v>0</v>
      </c>
      <c r="O916">
        <f t="shared" si="87"/>
        <v>0</v>
      </c>
      <c r="P916">
        <f t="shared" si="88"/>
        <v>0</v>
      </c>
      <c r="Q916" t="e">
        <f>VLOOKUP(C916,Sheet2!A:AU,47,0)</f>
        <v>#N/A</v>
      </c>
      <c r="R916">
        <f t="shared" si="89"/>
        <v>0</v>
      </c>
    </row>
    <row r="917" spans="1:18" x14ac:dyDescent="0.3">
      <c r="A917" s="1">
        <v>915</v>
      </c>
      <c r="B917">
        <v>0</v>
      </c>
      <c r="C917" t="s">
        <v>609</v>
      </c>
      <c r="D917" t="s">
        <v>105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f t="shared" si="84"/>
        <v>0.4</v>
      </c>
      <c r="M917">
        <f t="shared" si="85"/>
        <v>0</v>
      </c>
      <c r="N917">
        <f t="shared" si="86"/>
        <v>0</v>
      </c>
      <c r="O917">
        <f t="shared" si="87"/>
        <v>0</v>
      </c>
      <c r="P917">
        <f t="shared" si="88"/>
        <v>0</v>
      </c>
      <c r="Q917" t="e">
        <f>VLOOKUP(C917,Sheet2!A:AU,47,0)</f>
        <v>#N/A</v>
      </c>
      <c r="R917">
        <f t="shared" si="89"/>
        <v>0</v>
      </c>
    </row>
    <row r="918" spans="1:18" x14ac:dyDescent="0.3">
      <c r="A918" s="1">
        <v>916</v>
      </c>
      <c r="B918">
        <v>0</v>
      </c>
      <c r="C918" t="s">
        <v>610</v>
      </c>
      <c r="D918" t="s">
        <v>145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f t="shared" si="84"/>
        <v>0.4</v>
      </c>
      <c r="M918">
        <f t="shared" si="85"/>
        <v>0</v>
      </c>
      <c r="N918">
        <f t="shared" si="86"/>
        <v>0</v>
      </c>
      <c r="O918">
        <f t="shared" si="87"/>
        <v>0</v>
      </c>
      <c r="P918">
        <f t="shared" si="88"/>
        <v>0</v>
      </c>
      <c r="Q918" t="e">
        <f>VLOOKUP(C918,Sheet2!A:AU,47,0)</f>
        <v>#N/A</v>
      </c>
      <c r="R918">
        <f t="shared" si="89"/>
        <v>0</v>
      </c>
    </row>
    <row r="919" spans="1:18" x14ac:dyDescent="0.3">
      <c r="A919" s="1">
        <v>917</v>
      </c>
      <c r="B919">
        <v>0</v>
      </c>
      <c r="C919" t="s">
        <v>611</v>
      </c>
      <c r="D919" t="s">
        <v>145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f t="shared" si="84"/>
        <v>0.4</v>
      </c>
      <c r="M919">
        <f t="shared" si="85"/>
        <v>0</v>
      </c>
      <c r="N919">
        <f t="shared" si="86"/>
        <v>0</v>
      </c>
      <c r="O919">
        <f t="shared" si="87"/>
        <v>0</v>
      </c>
      <c r="P919">
        <f t="shared" si="88"/>
        <v>0</v>
      </c>
      <c r="Q919" t="e">
        <f>VLOOKUP(C919,Sheet2!A:AU,47,0)</f>
        <v>#N/A</v>
      </c>
      <c r="R919">
        <f t="shared" si="89"/>
        <v>0</v>
      </c>
    </row>
    <row r="920" spans="1:18" x14ac:dyDescent="0.3">
      <c r="A920" s="1">
        <v>918</v>
      </c>
      <c r="B920">
        <v>0</v>
      </c>
      <c r="C920" t="s">
        <v>612</v>
      </c>
      <c r="D920" t="s">
        <v>145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f t="shared" si="84"/>
        <v>0.4</v>
      </c>
      <c r="M920">
        <f t="shared" si="85"/>
        <v>0</v>
      </c>
      <c r="N920">
        <f t="shared" si="86"/>
        <v>0</v>
      </c>
      <c r="O920">
        <f t="shared" si="87"/>
        <v>0</v>
      </c>
      <c r="P920">
        <f t="shared" si="88"/>
        <v>0</v>
      </c>
      <c r="Q920" t="e">
        <f>VLOOKUP(C920,Sheet2!A:AU,47,0)</f>
        <v>#N/A</v>
      </c>
      <c r="R920">
        <f t="shared" si="89"/>
        <v>0</v>
      </c>
    </row>
    <row r="921" spans="1:18" x14ac:dyDescent="0.3">
      <c r="A921" s="1">
        <v>919</v>
      </c>
      <c r="B921">
        <v>0</v>
      </c>
      <c r="C921" t="s">
        <v>613</v>
      </c>
      <c r="D921" t="s">
        <v>145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f t="shared" si="84"/>
        <v>0.4</v>
      </c>
      <c r="M921">
        <f t="shared" si="85"/>
        <v>0</v>
      </c>
      <c r="N921">
        <f t="shared" si="86"/>
        <v>0</v>
      </c>
      <c r="O921">
        <f t="shared" si="87"/>
        <v>0</v>
      </c>
      <c r="P921">
        <f t="shared" si="88"/>
        <v>0</v>
      </c>
      <c r="Q921" t="e">
        <f>VLOOKUP(C921,Sheet2!A:AU,47,0)</f>
        <v>#N/A</v>
      </c>
      <c r="R921">
        <f t="shared" si="89"/>
        <v>0</v>
      </c>
    </row>
    <row r="922" spans="1:18" x14ac:dyDescent="0.3">
      <c r="A922" s="1">
        <v>920</v>
      </c>
      <c r="B922">
        <v>0</v>
      </c>
      <c r="C922" t="s">
        <v>614</v>
      </c>
      <c r="D922" t="s">
        <v>198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f t="shared" si="84"/>
        <v>0.4</v>
      </c>
      <c r="M922">
        <f t="shared" si="85"/>
        <v>0</v>
      </c>
      <c r="N922">
        <f t="shared" si="86"/>
        <v>0</v>
      </c>
      <c r="O922">
        <f t="shared" si="87"/>
        <v>0</v>
      </c>
      <c r="P922">
        <f t="shared" si="88"/>
        <v>0</v>
      </c>
      <c r="Q922" t="e">
        <f>VLOOKUP(C922,Sheet2!A:AU,47,0)</f>
        <v>#N/A</v>
      </c>
      <c r="R922">
        <f t="shared" si="89"/>
        <v>0</v>
      </c>
    </row>
    <row r="923" spans="1:18" x14ac:dyDescent="0.3">
      <c r="A923" s="1">
        <v>921</v>
      </c>
      <c r="B923">
        <v>0</v>
      </c>
      <c r="C923" t="s">
        <v>615</v>
      </c>
      <c r="D923" t="s">
        <v>198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f t="shared" si="84"/>
        <v>0.4</v>
      </c>
      <c r="M923">
        <f t="shared" si="85"/>
        <v>0</v>
      </c>
      <c r="N923">
        <f t="shared" si="86"/>
        <v>0</v>
      </c>
      <c r="O923">
        <f t="shared" si="87"/>
        <v>0</v>
      </c>
      <c r="P923">
        <f t="shared" si="88"/>
        <v>0</v>
      </c>
      <c r="Q923" t="e">
        <f>VLOOKUP(C923,Sheet2!A:AU,47,0)</f>
        <v>#N/A</v>
      </c>
      <c r="R923">
        <f t="shared" si="89"/>
        <v>0</v>
      </c>
    </row>
    <row r="924" spans="1:18" x14ac:dyDescent="0.3">
      <c r="A924" s="1">
        <v>922</v>
      </c>
      <c r="B924">
        <v>0</v>
      </c>
      <c r="C924" t="s">
        <v>616</v>
      </c>
      <c r="D924" t="s">
        <v>121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f t="shared" si="84"/>
        <v>0.4</v>
      </c>
      <c r="M924">
        <f t="shared" si="85"/>
        <v>0</v>
      </c>
      <c r="N924">
        <f t="shared" si="86"/>
        <v>0</v>
      </c>
      <c r="O924">
        <f t="shared" si="87"/>
        <v>0</v>
      </c>
      <c r="P924">
        <f t="shared" si="88"/>
        <v>0</v>
      </c>
      <c r="Q924" t="e">
        <f>VLOOKUP(C924,Sheet2!A:AU,47,0)</f>
        <v>#N/A</v>
      </c>
      <c r="R924">
        <f t="shared" si="89"/>
        <v>0</v>
      </c>
    </row>
    <row r="925" spans="1:18" x14ac:dyDescent="0.3">
      <c r="A925" s="1">
        <v>923</v>
      </c>
      <c r="B925">
        <v>0</v>
      </c>
      <c r="C925" t="s">
        <v>617</v>
      </c>
      <c r="D925" t="s">
        <v>121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f t="shared" si="84"/>
        <v>0.4</v>
      </c>
      <c r="M925">
        <f t="shared" si="85"/>
        <v>0</v>
      </c>
      <c r="N925">
        <f t="shared" si="86"/>
        <v>0</v>
      </c>
      <c r="O925">
        <f t="shared" si="87"/>
        <v>0</v>
      </c>
      <c r="P925">
        <f t="shared" si="88"/>
        <v>0</v>
      </c>
      <c r="Q925" t="e">
        <f>VLOOKUP(C925,Sheet2!A:AU,47,0)</f>
        <v>#N/A</v>
      </c>
      <c r="R925">
        <f t="shared" si="89"/>
        <v>0</v>
      </c>
    </row>
    <row r="926" spans="1:18" x14ac:dyDescent="0.3">
      <c r="A926" s="1">
        <v>924</v>
      </c>
      <c r="B926">
        <v>0</v>
      </c>
      <c r="C926" t="s">
        <v>618</v>
      </c>
      <c r="D926" t="s">
        <v>121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f t="shared" si="84"/>
        <v>0.4</v>
      </c>
      <c r="M926">
        <f t="shared" si="85"/>
        <v>0</v>
      </c>
      <c r="N926">
        <f t="shared" si="86"/>
        <v>0</v>
      </c>
      <c r="O926">
        <f t="shared" si="87"/>
        <v>0</v>
      </c>
      <c r="P926">
        <f t="shared" si="88"/>
        <v>0</v>
      </c>
      <c r="Q926" t="e">
        <f>VLOOKUP(C926,Sheet2!A:AU,47,0)</f>
        <v>#N/A</v>
      </c>
      <c r="R926">
        <f t="shared" si="89"/>
        <v>0</v>
      </c>
    </row>
    <row r="927" spans="1:18" x14ac:dyDescent="0.3">
      <c r="A927" s="1">
        <v>925</v>
      </c>
      <c r="B927">
        <v>0</v>
      </c>
      <c r="C927" t="s">
        <v>619</v>
      </c>
      <c r="D927" t="s">
        <v>121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f t="shared" si="84"/>
        <v>0.4</v>
      </c>
      <c r="M927">
        <f t="shared" si="85"/>
        <v>0</v>
      </c>
      <c r="N927">
        <f t="shared" si="86"/>
        <v>0</v>
      </c>
      <c r="O927">
        <f t="shared" si="87"/>
        <v>0</v>
      </c>
      <c r="P927">
        <f t="shared" si="88"/>
        <v>0</v>
      </c>
      <c r="Q927" t="e">
        <f>VLOOKUP(C927,Sheet2!A:AU,47,0)</f>
        <v>#N/A</v>
      </c>
      <c r="R927">
        <f t="shared" si="89"/>
        <v>0</v>
      </c>
    </row>
    <row r="928" spans="1:18" x14ac:dyDescent="0.3">
      <c r="A928" s="1">
        <v>926</v>
      </c>
      <c r="B928">
        <v>0</v>
      </c>
      <c r="C928" t="s">
        <v>620</v>
      </c>
      <c r="D928" t="s">
        <v>121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f t="shared" si="84"/>
        <v>0.4</v>
      </c>
      <c r="M928">
        <f t="shared" si="85"/>
        <v>0</v>
      </c>
      <c r="N928">
        <f t="shared" si="86"/>
        <v>0</v>
      </c>
      <c r="O928">
        <f t="shared" si="87"/>
        <v>0</v>
      </c>
      <c r="P928">
        <f t="shared" si="88"/>
        <v>0</v>
      </c>
      <c r="Q928" t="e">
        <f>VLOOKUP(C928,Sheet2!A:AU,47,0)</f>
        <v>#N/A</v>
      </c>
      <c r="R928">
        <f t="shared" si="89"/>
        <v>0</v>
      </c>
    </row>
    <row r="929" spans="1:18" x14ac:dyDescent="0.3">
      <c r="A929" s="1">
        <v>927</v>
      </c>
      <c r="B929">
        <v>0</v>
      </c>
      <c r="C929" t="s">
        <v>621</v>
      </c>
      <c r="D929" t="s">
        <v>121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f t="shared" si="84"/>
        <v>0.4</v>
      </c>
      <c r="M929">
        <f t="shared" si="85"/>
        <v>0</v>
      </c>
      <c r="N929">
        <f t="shared" si="86"/>
        <v>0</v>
      </c>
      <c r="O929">
        <f t="shared" si="87"/>
        <v>0</v>
      </c>
      <c r="P929">
        <f t="shared" si="88"/>
        <v>0</v>
      </c>
      <c r="Q929" t="e">
        <f>VLOOKUP(C929,Sheet2!A:AU,47,0)</f>
        <v>#N/A</v>
      </c>
      <c r="R929">
        <f t="shared" si="89"/>
        <v>0</v>
      </c>
    </row>
    <row r="930" spans="1:18" x14ac:dyDescent="0.3">
      <c r="A930" s="1">
        <v>928</v>
      </c>
      <c r="B930">
        <v>0</v>
      </c>
      <c r="C930" t="s">
        <v>622</v>
      </c>
      <c r="D930" t="s">
        <v>237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f t="shared" si="84"/>
        <v>0.4</v>
      </c>
      <c r="M930">
        <f t="shared" si="85"/>
        <v>0</v>
      </c>
      <c r="N930">
        <f t="shared" si="86"/>
        <v>0</v>
      </c>
      <c r="O930">
        <f t="shared" si="87"/>
        <v>0</v>
      </c>
      <c r="P930">
        <f t="shared" si="88"/>
        <v>0</v>
      </c>
      <c r="Q930" t="e">
        <f>VLOOKUP(C930,Sheet2!A:AU,47,0)</f>
        <v>#N/A</v>
      </c>
      <c r="R930">
        <f t="shared" si="89"/>
        <v>0</v>
      </c>
    </row>
    <row r="931" spans="1:18" x14ac:dyDescent="0.3">
      <c r="A931" s="1">
        <v>929</v>
      </c>
      <c r="B931">
        <v>0</v>
      </c>
      <c r="C931" t="s">
        <v>623</v>
      </c>
      <c r="D931" t="s">
        <v>237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f t="shared" si="84"/>
        <v>0.4</v>
      </c>
      <c r="M931">
        <f t="shared" si="85"/>
        <v>0</v>
      </c>
      <c r="N931">
        <f t="shared" si="86"/>
        <v>0</v>
      </c>
      <c r="O931">
        <f t="shared" si="87"/>
        <v>0</v>
      </c>
      <c r="P931">
        <f t="shared" si="88"/>
        <v>0</v>
      </c>
      <c r="Q931" t="e">
        <f>VLOOKUP(C931,Sheet2!A:AU,47,0)</f>
        <v>#N/A</v>
      </c>
      <c r="R931">
        <f t="shared" si="89"/>
        <v>0</v>
      </c>
    </row>
    <row r="932" spans="1:18" x14ac:dyDescent="0.3">
      <c r="A932" s="1">
        <v>930</v>
      </c>
      <c r="B932">
        <v>0</v>
      </c>
      <c r="C932" t="s">
        <v>624</v>
      </c>
      <c r="D932" t="s">
        <v>237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f t="shared" si="84"/>
        <v>0.4</v>
      </c>
      <c r="M932">
        <f t="shared" si="85"/>
        <v>0</v>
      </c>
      <c r="N932">
        <f t="shared" si="86"/>
        <v>0</v>
      </c>
      <c r="O932">
        <f t="shared" si="87"/>
        <v>0</v>
      </c>
      <c r="P932">
        <f t="shared" si="88"/>
        <v>0</v>
      </c>
      <c r="Q932" t="e">
        <f>VLOOKUP(C932,Sheet2!A:AU,47,0)</f>
        <v>#N/A</v>
      </c>
      <c r="R932">
        <f t="shared" si="89"/>
        <v>0</v>
      </c>
    </row>
    <row r="933" spans="1:18" x14ac:dyDescent="0.3">
      <c r="A933" s="1">
        <v>931</v>
      </c>
      <c r="B933">
        <v>0</v>
      </c>
      <c r="C933" t="s">
        <v>625</v>
      </c>
      <c r="D933" t="s">
        <v>167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f t="shared" si="84"/>
        <v>0.4</v>
      </c>
      <c r="M933">
        <f t="shared" si="85"/>
        <v>0</v>
      </c>
      <c r="N933">
        <f t="shared" si="86"/>
        <v>0</v>
      </c>
      <c r="O933">
        <f t="shared" si="87"/>
        <v>0</v>
      </c>
      <c r="P933">
        <f t="shared" si="88"/>
        <v>0</v>
      </c>
      <c r="Q933" t="e">
        <f>VLOOKUP(C933,Sheet2!A:AU,47,0)</f>
        <v>#N/A</v>
      </c>
      <c r="R933">
        <f t="shared" si="89"/>
        <v>0</v>
      </c>
    </row>
    <row r="934" spans="1:18" x14ac:dyDescent="0.3">
      <c r="A934" s="1">
        <v>932</v>
      </c>
      <c r="B934">
        <v>0</v>
      </c>
      <c r="C934" t="s">
        <v>626</v>
      </c>
      <c r="D934" t="s">
        <v>167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f t="shared" si="84"/>
        <v>0.4</v>
      </c>
      <c r="M934">
        <f t="shared" si="85"/>
        <v>0</v>
      </c>
      <c r="N934">
        <f t="shared" si="86"/>
        <v>0</v>
      </c>
      <c r="O934">
        <f t="shared" si="87"/>
        <v>0</v>
      </c>
      <c r="P934">
        <f t="shared" si="88"/>
        <v>0</v>
      </c>
      <c r="Q934" t="e">
        <f>VLOOKUP(C934,Sheet2!A:AU,47,0)</f>
        <v>#N/A</v>
      </c>
      <c r="R934">
        <f t="shared" si="89"/>
        <v>0</v>
      </c>
    </row>
    <row r="935" spans="1:18" x14ac:dyDescent="0.3">
      <c r="A935" s="1">
        <v>933</v>
      </c>
      <c r="B935">
        <v>0</v>
      </c>
      <c r="C935" t="s">
        <v>627</v>
      </c>
      <c r="D935" t="s">
        <v>70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f t="shared" si="84"/>
        <v>0.4</v>
      </c>
      <c r="M935">
        <f t="shared" si="85"/>
        <v>0</v>
      </c>
      <c r="N935">
        <f t="shared" si="86"/>
        <v>0</v>
      </c>
      <c r="O935">
        <f t="shared" si="87"/>
        <v>0</v>
      </c>
      <c r="P935">
        <f t="shared" si="88"/>
        <v>0</v>
      </c>
      <c r="Q935" t="e">
        <f>VLOOKUP(C935,Sheet2!A:AU,47,0)</f>
        <v>#N/A</v>
      </c>
      <c r="R935">
        <f t="shared" si="89"/>
        <v>0</v>
      </c>
    </row>
    <row r="936" spans="1:18" x14ac:dyDescent="0.3">
      <c r="A936" s="1">
        <v>934</v>
      </c>
      <c r="B936">
        <v>0</v>
      </c>
      <c r="C936" t="s">
        <v>628</v>
      </c>
      <c r="D936" t="s">
        <v>70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f t="shared" si="84"/>
        <v>0.4</v>
      </c>
      <c r="M936">
        <f t="shared" si="85"/>
        <v>0</v>
      </c>
      <c r="N936">
        <f t="shared" si="86"/>
        <v>0</v>
      </c>
      <c r="O936">
        <f t="shared" si="87"/>
        <v>0</v>
      </c>
      <c r="P936">
        <f t="shared" si="88"/>
        <v>0</v>
      </c>
      <c r="Q936" t="e">
        <f>VLOOKUP(C936,Sheet2!A:AU,47,0)</f>
        <v>#N/A</v>
      </c>
      <c r="R936">
        <f t="shared" si="89"/>
        <v>0</v>
      </c>
    </row>
    <row r="937" spans="1:18" x14ac:dyDescent="0.3">
      <c r="A937" s="1">
        <v>935</v>
      </c>
      <c r="B937">
        <v>0</v>
      </c>
      <c r="C937" t="s">
        <v>629</v>
      </c>
      <c r="D937" t="s">
        <v>70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f t="shared" si="84"/>
        <v>0.4</v>
      </c>
      <c r="M937">
        <f t="shared" si="85"/>
        <v>0</v>
      </c>
      <c r="N937">
        <f t="shared" si="86"/>
        <v>0</v>
      </c>
      <c r="O937">
        <f t="shared" si="87"/>
        <v>0</v>
      </c>
      <c r="P937">
        <f t="shared" si="88"/>
        <v>0</v>
      </c>
      <c r="Q937" t="e">
        <f>VLOOKUP(C937,Sheet2!A:AU,47,0)</f>
        <v>#N/A</v>
      </c>
      <c r="R937">
        <f t="shared" si="89"/>
        <v>0</v>
      </c>
    </row>
    <row r="938" spans="1:18" x14ac:dyDescent="0.3">
      <c r="A938" s="1">
        <v>936</v>
      </c>
      <c r="B938">
        <v>0</v>
      </c>
      <c r="C938" t="s">
        <v>630</v>
      </c>
      <c r="D938" t="s">
        <v>70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f t="shared" si="84"/>
        <v>0.4</v>
      </c>
      <c r="M938">
        <f t="shared" si="85"/>
        <v>0</v>
      </c>
      <c r="N938">
        <f t="shared" si="86"/>
        <v>0</v>
      </c>
      <c r="O938">
        <f t="shared" si="87"/>
        <v>0</v>
      </c>
      <c r="P938">
        <f t="shared" si="88"/>
        <v>0</v>
      </c>
      <c r="Q938" t="e">
        <f>VLOOKUP(C938,Sheet2!A:AU,47,0)</f>
        <v>#N/A</v>
      </c>
      <c r="R938">
        <f t="shared" si="89"/>
        <v>0</v>
      </c>
    </row>
    <row r="939" spans="1:18" x14ac:dyDescent="0.3">
      <c r="A939" s="1">
        <v>937</v>
      </c>
      <c r="B939">
        <v>0</v>
      </c>
      <c r="C939" t="s">
        <v>631</v>
      </c>
      <c r="D939" t="s">
        <v>70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f t="shared" si="84"/>
        <v>0.4</v>
      </c>
      <c r="M939">
        <f t="shared" si="85"/>
        <v>0</v>
      </c>
      <c r="N939">
        <f t="shared" si="86"/>
        <v>0</v>
      </c>
      <c r="O939">
        <f t="shared" si="87"/>
        <v>0</v>
      </c>
      <c r="P939">
        <f t="shared" si="88"/>
        <v>0</v>
      </c>
      <c r="Q939" t="e">
        <f>VLOOKUP(C939,Sheet2!A:AU,47,0)</f>
        <v>#N/A</v>
      </c>
      <c r="R939">
        <f t="shared" si="89"/>
        <v>0</v>
      </c>
    </row>
    <row r="940" spans="1:18" x14ac:dyDescent="0.3">
      <c r="A940" s="1">
        <v>938</v>
      </c>
      <c r="B940">
        <v>0</v>
      </c>
      <c r="C940" t="s">
        <v>632</v>
      </c>
      <c r="D940" t="s">
        <v>70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f t="shared" si="84"/>
        <v>0.4</v>
      </c>
      <c r="M940">
        <f t="shared" si="85"/>
        <v>0</v>
      </c>
      <c r="N940">
        <f t="shared" si="86"/>
        <v>0</v>
      </c>
      <c r="O940">
        <f t="shared" si="87"/>
        <v>0</v>
      </c>
      <c r="P940">
        <f t="shared" si="88"/>
        <v>0</v>
      </c>
      <c r="Q940" t="e">
        <f>VLOOKUP(C940,Sheet2!A:AU,47,0)</f>
        <v>#N/A</v>
      </c>
      <c r="R940">
        <f t="shared" si="89"/>
        <v>0</v>
      </c>
    </row>
    <row r="941" spans="1:18" x14ac:dyDescent="0.3">
      <c r="A941" s="1">
        <v>939</v>
      </c>
      <c r="B941">
        <v>0</v>
      </c>
      <c r="C941" t="s">
        <v>633</v>
      </c>
      <c r="D941" t="s">
        <v>36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f t="shared" si="84"/>
        <v>0.4</v>
      </c>
      <c r="M941">
        <f t="shared" si="85"/>
        <v>0</v>
      </c>
      <c r="N941">
        <f t="shared" si="86"/>
        <v>0</v>
      </c>
      <c r="O941">
        <f t="shared" si="87"/>
        <v>0</v>
      </c>
      <c r="P941">
        <f t="shared" si="88"/>
        <v>0</v>
      </c>
      <c r="Q941" t="e">
        <f>VLOOKUP(C941,Sheet2!A:AU,47,0)</f>
        <v>#N/A</v>
      </c>
      <c r="R941">
        <f t="shared" si="89"/>
        <v>0</v>
      </c>
    </row>
    <row r="942" spans="1:18" x14ac:dyDescent="0.3">
      <c r="A942" s="1">
        <v>940</v>
      </c>
      <c r="B942">
        <v>0</v>
      </c>
      <c r="C942" t="s">
        <v>634</v>
      </c>
      <c r="D942" t="s">
        <v>36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f t="shared" si="84"/>
        <v>0.4</v>
      </c>
      <c r="M942">
        <f t="shared" si="85"/>
        <v>0</v>
      </c>
      <c r="N942">
        <f t="shared" si="86"/>
        <v>0</v>
      </c>
      <c r="O942">
        <f t="shared" si="87"/>
        <v>0</v>
      </c>
      <c r="P942">
        <f t="shared" si="88"/>
        <v>0</v>
      </c>
      <c r="Q942" t="e">
        <f>VLOOKUP(C942,Sheet2!A:AU,47,0)</f>
        <v>#N/A</v>
      </c>
      <c r="R942">
        <f t="shared" si="89"/>
        <v>0</v>
      </c>
    </row>
    <row r="943" spans="1:18" x14ac:dyDescent="0.3">
      <c r="A943" s="1">
        <v>941</v>
      </c>
      <c r="B943">
        <v>0</v>
      </c>
      <c r="C943" t="s">
        <v>635</v>
      </c>
      <c r="D943" t="s">
        <v>127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f t="shared" si="84"/>
        <v>0.4</v>
      </c>
      <c r="M943">
        <f t="shared" si="85"/>
        <v>0</v>
      </c>
      <c r="N943">
        <f t="shared" si="86"/>
        <v>0</v>
      </c>
      <c r="O943">
        <f t="shared" si="87"/>
        <v>0</v>
      </c>
      <c r="P943">
        <f t="shared" si="88"/>
        <v>0</v>
      </c>
      <c r="Q943" t="e">
        <f>VLOOKUP(C943,Sheet2!A:AU,47,0)</f>
        <v>#N/A</v>
      </c>
      <c r="R943">
        <f t="shared" si="89"/>
        <v>0</v>
      </c>
    </row>
    <row r="944" spans="1:18" x14ac:dyDescent="0.3">
      <c r="A944" s="1">
        <v>942</v>
      </c>
      <c r="B944">
        <v>0</v>
      </c>
      <c r="C944" t="s">
        <v>355</v>
      </c>
      <c r="D944" t="s">
        <v>127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f t="shared" si="84"/>
        <v>0.4</v>
      </c>
      <c r="M944">
        <f t="shared" si="85"/>
        <v>0</v>
      </c>
      <c r="N944">
        <f t="shared" si="86"/>
        <v>0</v>
      </c>
      <c r="O944">
        <f t="shared" si="87"/>
        <v>0</v>
      </c>
      <c r="P944">
        <f t="shared" si="88"/>
        <v>0</v>
      </c>
      <c r="Q944">
        <f>VLOOKUP(C944,Sheet2!A:AU,47,0)</f>
        <v>1.0040229087178389</v>
      </c>
      <c r="R944">
        <f t="shared" si="89"/>
        <v>1.0040229087178389</v>
      </c>
    </row>
    <row r="945" spans="1:18" x14ac:dyDescent="0.3">
      <c r="A945" s="1">
        <v>943</v>
      </c>
      <c r="B945">
        <v>0</v>
      </c>
      <c r="C945" t="s">
        <v>397</v>
      </c>
      <c r="D945" t="s">
        <v>127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f t="shared" si="84"/>
        <v>0.4</v>
      </c>
      <c r="M945">
        <f t="shared" si="85"/>
        <v>0</v>
      </c>
      <c r="N945">
        <f t="shared" si="86"/>
        <v>0</v>
      </c>
      <c r="O945">
        <f t="shared" si="87"/>
        <v>0</v>
      </c>
      <c r="P945">
        <f t="shared" si="88"/>
        <v>0</v>
      </c>
      <c r="Q945">
        <f>VLOOKUP(C945,Sheet2!A:AU,47,0)</f>
        <v>3.8743652888295039</v>
      </c>
      <c r="R945">
        <f t="shared" si="89"/>
        <v>3.8743652888295039</v>
      </c>
    </row>
    <row r="946" spans="1:18" x14ac:dyDescent="0.3">
      <c r="A946" s="1">
        <v>944</v>
      </c>
      <c r="B946">
        <v>0</v>
      </c>
      <c r="C946" t="s">
        <v>636</v>
      </c>
      <c r="D946" t="s">
        <v>127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f t="shared" si="84"/>
        <v>0.4</v>
      </c>
      <c r="M946">
        <f t="shared" si="85"/>
        <v>0</v>
      </c>
      <c r="N946">
        <f t="shared" si="86"/>
        <v>0</v>
      </c>
      <c r="O946">
        <f t="shared" si="87"/>
        <v>0</v>
      </c>
      <c r="P946">
        <f t="shared" si="88"/>
        <v>0</v>
      </c>
      <c r="Q946" t="e">
        <f>VLOOKUP(C946,Sheet2!A:AU,47,0)</f>
        <v>#N/A</v>
      </c>
      <c r="R946">
        <f t="shared" si="89"/>
        <v>0</v>
      </c>
    </row>
    <row r="947" spans="1:18" x14ac:dyDescent="0.3">
      <c r="A947" s="1">
        <v>945</v>
      </c>
      <c r="B947">
        <v>0</v>
      </c>
      <c r="C947" t="s">
        <v>637</v>
      </c>
      <c r="D947" t="s">
        <v>127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f t="shared" si="84"/>
        <v>0.4</v>
      </c>
      <c r="M947">
        <f t="shared" si="85"/>
        <v>0</v>
      </c>
      <c r="N947">
        <f t="shared" si="86"/>
        <v>0</v>
      </c>
      <c r="O947">
        <f t="shared" si="87"/>
        <v>0</v>
      </c>
      <c r="P947">
        <f t="shared" si="88"/>
        <v>0</v>
      </c>
      <c r="Q947" t="e">
        <f>VLOOKUP(C947,Sheet2!A:AU,47,0)</f>
        <v>#N/A</v>
      </c>
      <c r="R947">
        <f t="shared" si="89"/>
        <v>0</v>
      </c>
    </row>
    <row r="948" spans="1:18" x14ac:dyDescent="0.3">
      <c r="A948" s="1">
        <v>946</v>
      </c>
      <c r="B948">
        <v>0</v>
      </c>
      <c r="C948" t="s">
        <v>638</v>
      </c>
      <c r="D948" t="s">
        <v>127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f t="shared" si="84"/>
        <v>0.4</v>
      </c>
      <c r="M948">
        <f t="shared" si="85"/>
        <v>0</v>
      </c>
      <c r="N948">
        <f t="shared" si="86"/>
        <v>0</v>
      </c>
      <c r="O948">
        <f t="shared" si="87"/>
        <v>0</v>
      </c>
      <c r="P948">
        <f t="shared" si="88"/>
        <v>0</v>
      </c>
      <c r="Q948" t="e">
        <f>VLOOKUP(C948,Sheet2!A:AU,47,0)</f>
        <v>#N/A</v>
      </c>
      <c r="R948">
        <f t="shared" si="89"/>
        <v>0</v>
      </c>
    </row>
    <row r="949" spans="1:18" x14ac:dyDescent="0.3">
      <c r="A949" s="1">
        <v>947</v>
      </c>
      <c r="B949">
        <v>0</v>
      </c>
      <c r="C949" t="s">
        <v>639</v>
      </c>
      <c r="D949" t="s">
        <v>127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f t="shared" si="84"/>
        <v>0.4</v>
      </c>
      <c r="M949">
        <f t="shared" si="85"/>
        <v>0</v>
      </c>
      <c r="N949">
        <f t="shared" si="86"/>
        <v>0</v>
      </c>
      <c r="O949">
        <f t="shared" si="87"/>
        <v>0</v>
      </c>
      <c r="P949">
        <f t="shared" si="88"/>
        <v>0</v>
      </c>
      <c r="Q949" t="e">
        <f>VLOOKUP(C949,Sheet2!A:AU,47,0)</f>
        <v>#N/A</v>
      </c>
      <c r="R949">
        <f t="shared" si="89"/>
        <v>0</v>
      </c>
    </row>
    <row r="950" spans="1:18" x14ac:dyDescent="0.3">
      <c r="A950" s="1">
        <v>948</v>
      </c>
      <c r="B950">
        <v>0</v>
      </c>
      <c r="C950" t="s">
        <v>640</v>
      </c>
      <c r="D950" t="s">
        <v>127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f t="shared" si="84"/>
        <v>0.4</v>
      </c>
      <c r="M950">
        <f t="shared" si="85"/>
        <v>0</v>
      </c>
      <c r="N950">
        <f t="shared" si="86"/>
        <v>0</v>
      </c>
      <c r="O950">
        <f t="shared" si="87"/>
        <v>0</v>
      </c>
      <c r="P950">
        <f t="shared" si="88"/>
        <v>0</v>
      </c>
      <c r="Q950" t="e">
        <f>VLOOKUP(C950,Sheet2!A:AU,47,0)</f>
        <v>#N/A</v>
      </c>
      <c r="R950">
        <f t="shared" si="89"/>
        <v>0</v>
      </c>
    </row>
    <row r="951" spans="1:18" x14ac:dyDescent="0.3">
      <c r="A951" s="1">
        <v>949</v>
      </c>
      <c r="B951">
        <v>0</v>
      </c>
      <c r="C951" t="s">
        <v>641</v>
      </c>
      <c r="D951" t="s">
        <v>127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f t="shared" si="84"/>
        <v>0.4</v>
      </c>
      <c r="M951">
        <f t="shared" si="85"/>
        <v>0</v>
      </c>
      <c r="N951">
        <f t="shared" si="86"/>
        <v>0</v>
      </c>
      <c r="O951">
        <f t="shared" si="87"/>
        <v>0</v>
      </c>
      <c r="P951">
        <f t="shared" si="88"/>
        <v>0</v>
      </c>
      <c r="Q951" t="e">
        <f>VLOOKUP(C951,Sheet2!A:AU,47,0)</f>
        <v>#N/A</v>
      </c>
      <c r="R951">
        <f t="shared" si="89"/>
        <v>0</v>
      </c>
    </row>
    <row r="952" spans="1:18" x14ac:dyDescent="0.3">
      <c r="A952" s="1">
        <v>950</v>
      </c>
      <c r="B952">
        <v>0</v>
      </c>
      <c r="C952" t="s">
        <v>642</v>
      </c>
      <c r="D952" t="s">
        <v>172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f t="shared" si="84"/>
        <v>0.4</v>
      </c>
      <c r="M952">
        <f t="shared" si="85"/>
        <v>0</v>
      </c>
      <c r="N952">
        <f t="shared" si="86"/>
        <v>0</v>
      </c>
      <c r="O952">
        <f t="shared" si="87"/>
        <v>0</v>
      </c>
      <c r="P952">
        <f t="shared" si="88"/>
        <v>0</v>
      </c>
      <c r="Q952" t="e">
        <f>VLOOKUP(C952,Sheet2!A:AU,47,0)</f>
        <v>#N/A</v>
      </c>
      <c r="R952">
        <f t="shared" si="89"/>
        <v>0</v>
      </c>
    </row>
    <row r="953" spans="1:18" x14ac:dyDescent="0.3">
      <c r="A953" s="1">
        <v>951</v>
      </c>
      <c r="B953">
        <v>0</v>
      </c>
      <c r="C953" t="s">
        <v>643</v>
      </c>
      <c r="D953" t="s">
        <v>172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f t="shared" si="84"/>
        <v>0.4</v>
      </c>
      <c r="M953">
        <f t="shared" si="85"/>
        <v>0</v>
      </c>
      <c r="N953">
        <f t="shared" si="86"/>
        <v>0</v>
      </c>
      <c r="O953">
        <f t="shared" si="87"/>
        <v>0</v>
      </c>
      <c r="P953">
        <f t="shared" si="88"/>
        <v>0</v>
      </c>
      <c r="Q953" t="e">
        <f>VLOOKUP(C953,Sheet2!A:AU,47,0)</f>
        <v>#N/A</v>
      </c>
      <c r="R953">
        <f t="shared" si="89"/>
        <v>0</v>
      </c>
    </row>
    <row r="954" spans="1:18" x14ac:dyDescent="0.3">
      <c r="A954" s="1">
        <v>952</v>
      </c>
      <c r="B954">
        <v>0</v>
      </c>
      <c r="C954" t="s">
        <v>644</v>
      </c>
      <c r="D954" t="s">
        <v>172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f t="shared" si="84"/>
        <v>0.4</v>
      </c>
      <c r="M954">
        <f t="shared" si="85"/>
        <v>0</v>
      </c>
      <c r="N954">
        <f t="shared" si="86"/>
        <v>0</v>
      </c>
      <c r="O954">
        <f t="shared" si="87"/>
        <v>0</v>
      </c>
      <c r="P954">
        <f t="shared" si="88"/>
        <v>0</v>
      </c>
      <c r="Q954" t="e">
        <f>VLOOKUP(C954,Sheet2!A:AU,47,0)</f>
        <v>#N/A</v>
      </c>
      <c r="R954">
        <f t="shared" si="89"/>
        <v>0</v>
      </c>
    </row>
    <row r="955" spans="1:18" x14ac:dyDescent="0.3">
      <c r="A955" s="1">
        <v>953</v>
      </c>
      <c r="B955">
        <v>0</v>
      </c>
      <c r="C955" t="s">
        <v>645</v>
      </c>
      <c r="D955" t="s">
        <v>172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f t="shared" si="84"/>
        <v>0.4</v>
      </c>
      <c r="M955">
        <f t="shared" si="85"/>
        <v>0</v>
      </c>
      <c r="N955">
        <f t="shared" si="86"/>
        <v>0</v>
      </c>
      <c r="O955">
        <f t="shared" si="87"/>
        <v>0</v>
      </c>
      <c r="P955">
        <f t="shared" si="88"/>
        <v>0</v>
      </c>
      <c r="Q955" t="e">
        <f>VLOOKUP(C955,Sheet2!A:AU,47,0)</f>
        <v>#N/A</v>
      </c>
      <c r="R955">
        <f t="shared" si="89"/>
        <v>0</v>
      </c>
    </row>
    <row r="956" spans="1:18" x14ac:dyDescent="0.3">
      <c r="A956" s="1">
        <v>954</v>
      </c>
      <c r="B956">
        <v>0</v>
      </c>
      <c r="C956" t="s">
        <v>646</v>
      </c>
      <c r="D956" t="s">
        <v>172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f t="shared" si="84"/>
        <v>0.4</v>
      </c>
      <c r="M956">
        <f t="shared" si="85"/>
        <v>0</v>
      </c>
      <c r="N956">
        <f t="shared" si="86"/>
        <v>0</v>
      </c>
      <c r="O956">
        <f t="shared" si="87"/>
        <v>0</v>
      </c>
      <c r="P956">
        <f t="shared" si="88"/>
        <v>0</v>
      </c>
      <c r="Q956" t="e">
        <f>VLOOKUP(C956,Sheet2!A:AU,47,0)</f>
        <v>#N/A</v>
      </c>
      <c r="R956">
        <f t="shared" si="89"/>
        <v>0</v>
      </c>
    </row>
    <row r="957" spans="1:18" x14ac:dyDescent="0.3">
      <c r="A957" s="1">
        <v>955</v>
      </c>
      <c r="B957">
        <v>0</v>
      </c>
      <c r="C957" t="s">
        <v>647</v>
      </c>
      <c r="D957" t="s">
        <v>172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f t="shared" si="84"/>
        <v>0.4</v>
      </c>
      <c r="M957">
        <f t="shared" si="85"/>
        <v>0</v>
      </c>
      <c r="N957">
        <f t="shared" si="86"/>
        <v>0</v>
      </c>
      <c r="O957">
        <f t="shared" si="87"/>
        <v>0</v>
      </c>
      <c r="P957">
        <f t="shared" si="88"/>
        <v>0</v>
      </c>
      <c r="Q957" t="e">
        <f>VLOOKUP(C957,Sheet2!A:AU,47,0)</f>
        <v>#N/A</v>
      </c>
      <c r="R957">
        <f t="shared" si="89"/>
        <v>0</v>
      </c>
    </row>
    <row r="958" spans="1:18" x14ac:dyDescent="0.3">
      <c r="A958" s="1">
        <v>956</v>
      </c>
      <c r="B958">
        <v>0</v>
      </c>
      <c r="C958" t="s">
        <v>648</v>
      </c>
      <c r="D958" t="s">
        <v>172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f t="shared" si="84"/>
        <v>0.4</v>
      </c>
      <c r="M958">
        <f t="shared" si="85"/>
        <v>0</v>
      </c>
      <c r="N958">
        <f t="shared" si="86"/>
        <v>0</v>
      </c>
      <c r="O958">
        <f t="shared" si="87"/>
        <v>0</v>
      </c>
      <c r="P958">
        <f t="shared" si="88"/>
        <v>0</v>
      </c>
      <c r="Q958" t="e">
        <f>VLOOKUP(C958,Sheet2!A:AU,47,0)</f>
        <v>#N/A</v>
      </c>
      <c r="R958">
        <f t="shared" si="89"/>
        <v>0</v>
      </c>
    </row>
    <row r="959" spans="1:18" x14ac:dyDescent="0.3">
      <c r="A959" s="1">
        <v>957</v>
      </c>
      <c r="B959">
        <v>0</v>
      </c>
      <c r="C959" t="s">
        <v>649</v>
      </c>
      <c r="D959" t="s">
        <v>172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f t="shared" si="84"/>
        <v>0.4</v>
      </c>
      <c r="M959">
        <f t="shared" si="85"/>
        <v>0</v>
      </c>
      <c r="N959">
        <f t="shared" si="86"/>
        <v>0</v>
      </c>
      <c r="O959">
        <f t="shared" si="87"/>
        <v>0</v>
      </c>
      <c r="P959">
        <f t="shared" si="88"/>
        <v>0</v>
      </c>
      <c r="Q959" t="e">
        <f>VLOOKUP(C959,Sheet2!A:AU,47,0)</f>
        <v>#N/A</v>
      </c>
      <c r="R959">
        <f t="shared" si="89"/>
        <v>0</v>
      </c>
    </row>
    <row r="960" spans="1:18" x14ac:dyDescent="0.3">
      <c r="A960" s="1">
        <v>958</v>
      </c>
      <c r="B960">
        <v>0</v>
      </c>
      <c r="C960" t="s">
        <v>650</v>
      </c>
      <c r="D960" t="s">
        <v>172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f t="shared" si="84"/>
        <v>0.4</v>
      </c>
      <c r="M960">
        <f t="shared" si="85"/>
        <v>0</v>
      </c>
      <c r="N960">
        <f t="shared" si="86"/>
        <v>0</v>
      </c>
      <c r="O960">
        <f t="shared" si="87"/>
        <v>0</v>
      </c>
      <c r="P960">
        <f t="shared" si="88"/>
        <v>0</v>
      </c>
      <c r="Q960" t="e">
        <f>VLOOKUP(C960,Sheet2!A:AU,47,0)</f>
        <v>#N/A</v>
      </c>
      <c r="R960">
        <f t="shared" si="89"/>
        <v>0</v>
      </c>
    </row>
    <row r="961" spans="1:18" x14ac:dyDescent="0.3">
      <c r="A961" s="1">
        <v>959</v>
      </c>
      <c r="B961">
        <v>0</v>
      </c>
      <c r="C961" t="s">
        <v>651</v>
      </c>
      <c r="D961" t="s">
        <v>172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f t="shared" si="84"/>
        <v>0.4</v>
      </c>
      <c r="M961">
        <f t="shared" si="85"/>
        <v>0</v>
      </c>
      <c r="N961">
        <f t="shared" si="86"/>
        <v>0</v>
      </c>
      <c r="O961">
        <f t="shared" si="87"/>
        <v>0</v>
      </c>
      <c r="P961">
        <f t="shared" si="88"/>
        <v>0</v>
      </c>
      <c r="Q961" t="e">
        <f>VLOOKUP(C961,Sheet2!A:AU,47,0)</f>
        <v>#N/A</v>
      </c>
      <c r="R961">
        <f t="shared" si="89"/>
        <v>0</v>
      </c>
    </row>
    <row r="962" spans="1:18" x14ac:dyDescent="0.3">
      <c r="A962" s="1">
        <v>960</v>
      </c>
      <c r="B962">
        <v>0</v>
      </c>
      <c r="C962" t="s">
        <v>652</v>
      </c>
      <c r="D962" t="s">
        <v>210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f t="shared" si="84"/>
        <v>0.4</v>
      </c>
      <c r="M962">
        <f t="shared" si="85"/>
        <v>0</v>
      </c>
      <c r="N962">
        <f t="shared" si="86"/>
        <v>0</v>
      </c>
      <c r="O962">
        <f t="shared" si="87"/>
        <v>0</v>
      </c>
      <c r="P962">
        <f t="shared" si="88"/>
        <v>0</v>
      </c>
      <c r="Q962" t="e">
        <f>VLOOKUP(C962,Sheet2!A:AU,47,0)</f>
        <v>#N/A</v>
      </c>
      <c r="R962">
        <f t="shared" si="89"/>
        <v>0</v>
      </c>
    </row>
    <row r="963" spans="1:18" x14ac:dyDescent="0.3">
      <c r="A963" s="1">
        <v>961</v>
      </c>
      <c r="B963">
        <v>0</v>
      </c>
      <c r="C963" t="s">
        <v>653</v>
      </c>
      <c r="D963" t="s">
        <v>210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f t="shared" ref="L963:L1026" si="90">MAX(H:H)</f>
        <v>0.4</v>
      </c>
      <c r="M963">
        <f t="shared" ref="M963:M1026" si="91">MIN(H:H)</f>
        <v>0</v>
      </c>
      <c r="N963">
        <f t="shared" ref="N963:N1026" si="92">(H963-M963)/(L963-M963)</f>
        <v>0</v>
      </c>
      <c r="O963">
        <f t="shared" ref="O963:O1026" si="93">N963*0.0442</f>
        <v>0</v>
      </c>
      <c r="P963">
        <f t="shared" ref="P963:P1026" si="94">O963*100</f>
        <v>0</v>
      </c>
      <c r="Q963" t="e">
        <f>VLOOKUP(C963,Sheet2!A:AU,47,0)</f>
        <v>#N/A</v>
      </c>
      <c r="R963">
        <f t="shared" ref="R963:R1026" si="95">IFERROR((P963+Q963),0)</f>
        <v>0</v>
      </c>
    </row>
    <row r="964" spans="1:18" x14ac:dyDescent="0.3">
      <c r="A964" s="1">
        <v>962</v>
      </c>
      <c r="B964">
        <v>0</v>
      </c>
      <c r="C964" t="s">
        <v>654</v>
      </c>
      <c r="D964" t="s">
        <v>210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f t="shared" si="90"/>
        <v>0.4</v>
      </c>
      <c r="M964">
        <f t="shared" si="91"/>
        <v>0</v>
      </c>
      <c r="N964">
        <f t="shared" si="92"/>
        <v>0</v>
      </c>
      <c r="O964">
        <f t="shared" si="93"/>
        <v>0</v>
      </c>
      <c r="P964">
        <f t="shared" si="94"/>
        <v>0</v>
      </c>
      <c r="Q964" t="e">
        <f>VLOOKUP(C964,Sheet2!A:AU,47,0)</f>
        <v>#N/A</v>
      </c>
      <c r="R964">
        <f t="shared" si="95"/>
        <v>0</v>
      </c>
    </row>
    <row r="965" spans="1:18" x14ac:dyDescent="0.3">
      <c r="A965" s="1">
        <v>963</v>
      </c>
      <c r="B965">
        <v>0</v>
      </c>
      <c r="C965" t="s">
        <v>655</v>
      </c>
      <c r="D965" t="s">
        <v>210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f t="shared" si="90"/>
        <v>0.4</v>
      </c>
      <c r="M965">
        <f t="shared" si="91"/>
        <v>0</v>
      </c>
      <c r="N965">
        <f t="shared" si="92"/>
        <v>0</v>
      </c>
      <c r="O965">
        <f t="shared" si="93"/>
        <v>0</v>
      </c>
      <c r="P965">
        <f t="shared" si="94"/>
        <v>0</v>
      </c>
      <c r="Q965" t="e">
        <f>VLOOKUP(C965,Sheet2!A:AU,47,0)</f>
        <v>#N/A</v>
      </c>
      <c r="R965">
        <f t="shared" si="95"/>
        <v>0</v>
      </c>
    </row>
    <row r="966" spans="1:18" x14ac:dyDescent="0.3">
      <c r="A966" s="1">
        <v>964</v>
      </c>
      <c r="B966">
        <v>0</v>
      </c>
      <c r="C966" t="s">
        <v>656</v>
      </c>
      <c r="D966" t="s">
        <v>210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f t="shared" si="90"/>
        <v>0.4</v>
      </c>
      <c r="M966">
        <f t="shared" si="91"/>
        <v>0</v>
      </c>
      <c r="N966">
        <f t="shared" si="92"/>
        <v>0</v>
      </c>
      <c r="O966">
        <f t="shared" si="93"/>
        <v>0</v>
      </c>
      <c r="P966">
        <f t="shared" si="94"/>
        <v>0</v>
      </c>
      <c r="Q966" t="e">
        <f>VLOOKUP(C966,Sheet2!A:AU,47,0)</f>
        <v>#N/A</v>
      </c>
      <c r="R966">
        <f t="shared" si="95"/>
        <v>0</v>
      </c>
    </row>
    <row r="967" spans="1:18" x14ac:dyDescent="0.3">
      <c r="A967" s="1">
        <v>965</v>
      </c>
      <c r="B967">
        <v>0</v>
      </c>
      <c r="C967" t="s">
        <v>657</v>
      </c>
      <c r="D967" t="s">
        <v>210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f t="shared" si="90"/>
        <v>0.4</v>
      </c>
      <c r="M967">
        <f t="shared" si="91"/>
        <v>0</v>
      </c>
      <c r="N967">
        <f t="shared" si="92"/>
        <v>0</v>
      </c>
      <c r="O967">
        <f t="shared" si="93"/>
        <v>0</v>
      </c>
      <c r="P967">
        <f t="shared" si="94"/>
        <v>0</v>
      </c>
      <c r="Q967" t="e">
        <f>VLOOKUP(C967,Sheet2!A:AU,47,0)</f>
        <v>#N/A</v>
      </c>
      <c r="R967">
        <f t="shared" si="95"/>
        <v>0</v>
      </c>
    </row>
    <row r="968" spans="1:18" x14ac:dyDescent="0.3">
      <c r="A968" s="1">
        <v>966</v>
      </c>
      <c r="B968">
        <v>0</v>
      </c>
      <c r="C968" t="s">
        <v>658</v>
      </c>
      <c r="D968" t="s">
        <v>72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f t="shared" si="90"/>
        <v>0.4</v>
      </c>
      <c r="M968">
        <f t="shared" si="91"/>
        <v>0</v>
      </c>
      <c r="N968">
        <f t="shared" si="92"/>
        <v>0</v>
      </c>
      <c r="O968">
        <f t="shared" si="93"/>
        <v>0</v>
      </c>
      <c r="P968">
        <f t="shared" si="94"/>
        <v>0</v>
      </c>
      <c r="Q968" t="e">
        <f>VLOOKUP(C968,Sheet2!A:AU,47,0)</f>
        <v>#N/A</v>
      </c>
      <c r="R968">
        <f t="shared" si="95"/>
        <v>0</v>
      </c>
    </row>
    <row r="969" spans="1:18" x14ac:dyDescent="0.3">
      <c r="A969" s="1">
        <v>967</v>
      </c>
      <c r="B969">
        <v>0</v>
      </c>
      <c r="C969" t="s">
        <v>659</v>
      </c>
      <c r="D969" t="s">
        <v>72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f t="shared" si="90"/>
        <v>0.4</v>
      </c>
      <c r="M969">
        <f t="shared" si="91"/>
        <v>0</v>
      </c>
      <c r="N969">
        <f t="shared" si="92"/>
        <v>0</v>
      </c>
      <c r="O969">
        <f t="shared" si="93"/>
        <v>0</v>
      </c>
      <c r="P969">
        <f t="shared" si="94"/>
        <v>0</v>
      </c>
      <c r="Q969" t="e">
        <f>VLOOKUP(C969,Sheet2!A:AU,47,0)</f>
        <v>#N/A</v>
      </c>
      <c r="R969">
        <f t="shared" si="95"/>
        <v>0</v>
      </c>
    </row>
    <row r="970" spans="1:18" x14ac:dyDescent="0.3">
      <c r="A970" s="1">
        <v>968</v>
      </c>
      <c r="B970">
        <v>0</v>
      </c>
      <c r="C970" t="s">
        <v>660</v>
      </c>
      <c r="D970" t="s">
        <v>72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f t="shared" si="90"/>
        <v>0.4</v>
      </c>
      <c r="M970">
        <f t="shared" si="91"/>
        <v>0</v>
      </c>
      <c r="N970">
        <f t="shared" si="92"/>
        <v>0</v>
      </c>
      <c r="O970">
        <f t="shared" si="93"/>
        <v>0</v>
      </c>
      <c r="P970">
        <f t="shared" si="94"/>
        <v>0</v>
      </c>
      <c r="Q970" t="e">
        <f>VLOOKUP(C970,Sheet2!A:AU,47,0)</f>
        <v>#N/A</v>
      </c>
      <c r="R970">
        <f t="shared" si="95"/>
        <v>0</v>
      </c>
    </row>
    <row r="971" spans="1:18" x14ac:dyDescent="0.3">
      <c r="A971" s="1">
        <v>969</v>
      </c>
      <c r="B971">
        <v>0</v>
      </c>
      <c r="C971" t="s">
        <v>661</v>
      </c>
      <c r="D971" t="s">
        <v>72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f t="shared" si="90"/>
        <v>0.4</v>
      </c>
      <c r="M971">
        <f t="shared" si="91"/>
        <v>0</v>
      </c>
      <c r="N971">
        <f t="shared" si="92"/>
        <v>0</v>
      </c>
      <c r="O971">
        <f t="shared" si="93"/>
        <v>0</v>
      </c>
      <c r="P971">
        <f t="shared" si="94"/>
        <v>0</v>
      </c>
      <c r="Q971" t="e">
        <f>VLOOKUP(C971,Sheet2!A:AU,47,0)</f>
        <v>#N/A</v>
      </c>
      <c r="R971">
        <f t="shared" si="95"/>
        <v>0</v>
      </c>
    </row>
    <row r="972" spans="1:18" x14ac:dyDescent="0.3">
      <c r="A972" s="1">
        <v>970</v>
      </c>
      <c r="B972">
        <v>0</v>
      </c>
      <c r="C972" t="s">
        <v>662</v>
      </c>
      <c r="D972" t="s">
        <v>72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f t="shared" si="90"/>
        <v>0.4</v>
      </c>
      <c r="M972">
        <f t="shared" si="91"/>
        <v>0</v>
      </c>
      <c r="N972">
        <f t="shared" si="92"/>
        <v>0</v>
      </c>
      <c r="O972">
        <f t="shared" si="93"/>
        <v>0</v>
      </c>
      <c r="P972">
        <f t="shared" si="94"/>
        <v>0</v>
      </c>
      <c r="Q972" t="e">
        <f>VLOOKUP(C972,Sheet2!A:AU,47,0)</f>
        <v>#N/A</v>
      </c>
      <c r="R972">
        <f t="shared" si="95"/>
        <v>0</v>
      </c>
    </row>
    <row r="973" spans="1:18" x14ac:dyDescent="0.3">
      <c r="A973" s="1">
        <v>971</v>
      </c>
      <c r="B973">
        <v>0</v>
      </c>
      <c r="C973" t="s">
        <v>663</v>
      </c>
      <c r="D973" t="s">
        <v>72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f t="shared" si="90"/>
        <v>0.4</v>
      </c>
      <c r="M973">
        <f t="shared" si="91"/>
        <v>0</v>
      </c>
      <c r="N973">
        <f t="shared" si="92"/>
        <v>0</v>
      </c>
      <c r="O973">
        <f t="shared" si="93"/>
        <v>0</v>
      </c>
      <c r="P973">
        <f t="shared" si="94"/>
        <v>0</v>
      </c>
      <c r="Q973" t="e">
        <f>VLOOKUP(C973,Sheet2!A:AU,47,0)</f>
        <v>#N/A</v>
      </c>
      <c r="R973">
        <f t="shared" si="95"/>
        <v>0</v>
      </c>
    </row>
    <row r="974" spans="1:18" x14ac:dyDescent="0.3">
      <c r="A974" s="1">
        <v>972</v>
      </c>
      <c r="B974">
        <v>0</v>
      </c>
      <c r="C974" t="s">
        <v>664</v>
      </c>
      <c r="D974" t="s">
        <v>72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f t="shared" si="90"/>
        <v>0.4</v>
      </c>
      <c r="M974">
        <f t="shared" si="91"/>
        <v>0</v>
      </c>
      <c r="N974">
        <f t="shared" si="92"/>
        <v>0</v>
      </c>
      <c r="O974">
        <f t="shared" si="93"/>
        <v>0</v>
      </c>
      <c r="P974">
        <f t="shared" si="94"/>
        <v>0</v>
      </c>
      <c r="Q974" t="e">
        <f>VLOOKUP(C974,Sheet2!A:AU,47,0)</f>
        <v>#N/A</v>
      </c>
      <c r="R974">
        <f t="shared" si="95"/>
        <v>0</v>
      </c>
    </row>
    <row r="975" spans="1:18" x14ac:dyDescent="0.3">
      <c r="A975" s="1">
        <v>973</v>
      </c>
      <c r="B975">
        <v>0</v>
      </c>
      <c r="C975" t="s">
        <v>665</v>
      </c>
      <c r="D975" t="s">
        <v>72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f t="shared" si="90"/>
        <v>0.4</v>
      </c>
      <c r="M975">
        <f t="shared" si="91"/>
        <v>0</v>
      </c>
      <c r="N975">
        <f t="shared" si="92"/>
        <v>0</v>
      </c>
      <c r="O975">
        <f t="shared" si="93"/>
        <v>0</v>
      </c>
      <c r="P975">
        <f t="shared" si="94"/>
        <v>0</v>
      </c>
      <c r="Q975" t="e">
        <f>VLOOKUP(C975,Sheet2!A:AU,47,0)</f>
        <v>#N/A</v>
      </c>
      <c r="R975">
        <f t="shared" si="95"/>
        <v>0</v>
      </c>
    </row>
    <row r="976" spans="1:18" x14ac:dyDescent="0.3">
      <c r="A976" s="1">
        <v>974</v>
      </c>
      <c r="B976">
        <v>0</v>
      </c>
      <c r="C976" t="s">
        <v>666</v>
      </c>
      <c r="D976" t="s">
        <v>72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90"/>
        <v>0.4</v>
      </c>
      <c r="M976">
        <f t="shared" si="91"/>
        <v>0</v>
      </c>
      <c r="N976">
        <f t="shared" si="92"/>
        <v>0</v>
      </c>
      <c r="O976">
        <f t="shared" si="93"/>
        <v>0</v>
      </c>
      <c r="P976">
        <f t="shared" si="94"/>
        <v>0</v>
      </c>
      <c r="Q976" t="e">
        <f>VLOOKUP(C976,Sheet2!A:AU,47,0)</f>
        <v>#N/A</v>
      </c>
      <c r="R976">
        <f t="shared" si="95"/>
        <v>0</v>
      </c>
    </row>
    <row r="977" spans="1:18" x14ac:dyDescent="0.3">
      <c r="A977" s="1">
        <v>975</v>
      </c>
      <c r="B977">
        <v>0</v>
      </c>
      <c r="C977" t="s">
        <v>667</v>
      </c>
      <c r="D977" t="s">
        <v>11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f t="shared" si="90"/>
        <v>0.4</v>
      </c>
      <c r="M977">
        <f t="shared" si="91"/>
        <v>0</v>
      </c>
      <c r="N977">
        <f t="shared" si="92"/>
        <v>0</v>
      </c>
      <c r="O977">
        <f t="shared" si="93"/>
        <v>0</v>
      </c>
      <c r="P977">
        <f t="shared" si="94"/>
        <v>0</v>
      </c>
      <c r="Q977" t="e">
        <f>VLOOKUP(C977,Sheet2!A:AU,47,0)</f>
        <v>#N/A</v>
      </c>
      <c r="R977">
        <f t="shared" si="95"/>
        <v>0</v>
      </c>
    </row>
    <row r="978" spans="1:18" x14ac:dyDescent="0.3">
      <c r="A978" s="1">
        <v>976</v>
      </c>
      <c r="B978">
        <v>0</v>
      </c>
      <c r="C978" t="s">
        <v>668</v>
      </c>
      <c r="D978" t="s">
        <v>11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f t="shared" si="90"/>
        <v>0.4</v>
      </c>
      <c r="M978">
        <f t="shared" si="91"/>
        <v>0</v>
      </c>
      <c r="N978">
        <f t="shared" si="92"/>
        <v>0</v>
      </c>
      <c r="O978">
        <f t="shared" si="93"/>
        <v>0</v>
      </c>
      <c r="P978">
        <f t="shared" si="94"/>
        <v>0</v>
      </c>
      <c r="Q978" t="e">
        <f>VLOOKUP(C978,Sheet2!A:AU,47,0)</f>
        <v>#N/A</v>
      </c>
      <c r="R978">
        <f t="shared" si="95"/>
        <v>0</v>
      </c>
    </row>
    <row r="979" spans="1:18" x14ac:dyDescent="0.3">
      <c r="A979" s="1">
        <v>977</v>
      </c>
      <c r="B979">
        <v>0</v>
      </c>
      <c r="C979" t="s">
        <v>669</v>
      </c>
      <c r="D979" t="s">
        <v>14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f t="shared" si="90"/>
        <v>0.4</v>
      </c>
      <c r="M979">
        <f t="shared" si="91"/>
        <v>0</v>
      </c>
      <c r="N979">
        <f t="shared" si="92"/>
        <v>0</v>
      </c>
      <c r="O979">
        <f t="shared" si="93"/>
        <v>0</v>
      </c>
      <c r="P979">
        <f t="shared" si="94"/>
        <v>0</v>
      </c>
      <c r="Q979" t="e">
        <f>VLOOKUP(C979,Sheet2!A:AU,47,0)</f>
        <v>#N/A</v>
      </c>
      <c r="R979">
        <f t="shared" si="95"/>
        <v>0</v>
      </c>
    </row>
    <row r="980" spans="1:18" x14ac:dyDescent="0.3">
      <c r="A980" s="1">
        <v>978</v>
      </c>
      <c r="B980">
        <v>0</v>
      </c>
      <c r="C980" t="s">
        <v>670</v>
      </c>
      <c r="D980" t="s">
        <v>148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90"/>
        <v>0.4</v>
      </c>
      <c r="M980">
        <f t="shared" si="91"/>
        <v>0</v>
      </c>
      <c r="N980">
        <f t="shared" si="92"/>
        <v>0</v>
      </c>
      <c r="O980">
        <f t="shared" si="93"/>
        <v>0</v>
      </c>
      <c r="P980">
        <f t="shared" si="94"/>
        <v>0</v>
      </c>
      <c r="Q980" t="e">
        <f>VLOOKUP(C980,Sheet2!A:AU,47,0)</f>
        <v>#N/A</v>
      </c>
      <c r="R980">
        <f t="shared" si="95"/>
        <v>0</v>
      </c>
    </row>
    <row r="981" spans="1:18" x14ac:dyDescent="0.3">
      <c r="A981" s="1">
        <v>979</v>
      </c>
      <c r="B981">
        <v>0</v>
      </c>
      <c r="C981" t="s">
        <v>671</v>
      </c>
      <c r="D981" t="s">
        <v>148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f t="shared" si="90"/>
        <v>0.4</v>
      </c>
      <c r="M981">
        <f t="shared" si="91"/>
        <v>0</v>
      </c>
      <c r="N981">
        <f t="shared" si="92"/>
        <v>0</v>
      </c>
      <c r="O981">
        <f t="shared" si="93"/>
        <v>0</v>
      </c>
      <c r="P981">
        <f t="shared" si="94"/>
        <v>0</v>
      </c>
      <c r="Q981" t="e">
        <f>VLOOKUP(C981,Sheet2!A:AU,47,0)</f>
        <v>#N/A</v>
      </c>
      <c r="R981">
        <f t="shared" si="95"/>
        <v>0</v>
      </c>
    </row>
    <row r="982" spans="1:18" x14ac:dyDescent="0.3">
      <c r="A982" s="1">
        <v>980</v>
      </c>
      <c r="B982">
        <v>0</v>
      </c>
      <c r="C982" t="s">
        <v>672</v>
      </c>
      <c r="D982" t="s">
        <v>148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f t="shared" si="90"/>
        <v>0.4</v>
      </c>
      <c r="M982">
        <f t="shared" si="91"/>
        <v>0</v>
      </c>
      <c r="N982">
        <f t="shared" si="92"/>
        <v>0</v>
      </c>
      <c r="O982">
        <f t="shared" si="93"/>
        <v>0</v>
      </c>
      <c r="P982">
        <f t="shared" si="94"/>
        <v>0</v>
      </c>
      <c r="Q982" t="e">
        <f>VLOOKUP(C982,Sheet2!A:AU,47,0)</f>
        <v>#N/A</v>
      </c>
      <c r="R982">
        <f t="shared" si="95"/>
        <v>0</v>
      </c>
    </row>
    <row r="983" spans="1:18" x14ac:dyDescent="0.3">
      <c r="A983" s="1">
        <v>981</v>
      </c>
      <c r="B983">
        <v>0</v>
      </c>
      <c r="C983" t="s">
        <v>673</v>
      </c>
      <c r="D983" t="s">
        <v>148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f t="shared" si="90"/>
        <v>0.4</v>
      </c>
      <c r="M983">
        <f t="shared" si="91"/>
        <v>0</v>
      </c>
      <c r="N983">
        <f t="shared" si="92"/>
        <v>0</v>
      </c>
      <c r="O983">
        <f t="shared" si="93"/>
        <v>0</v>
      </c>
      <c r="P983">
        <f t="shared" si="94"/>
        <v>0</v>
      </c>
      <c r="Q983" t="e">
        <f>VLOOKUP(C983,Sheet2!A:AU,47,0)</f>
        <v>#N/A</v>
      </c>
      <c r="R983">
        <f t="shared" si="95"/>
        <v>0</v>
      </c>
    </row>
    <row r="984" spans="1:18" x14ac:dyDescent="0.3">
      <c r="A984" s="1">
        <v>982</v>
      </c>
      <c r="B984">
        <v>0</v>
      </c>
      <c r="C984" t="s">
        <v>674</v>
      </c>
      <c r="D984" t="s">
        <v>148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f t="shared" si="90"/>
        <v>0.4</v>
      </c>
      <c r="M984">
        <f t="shared" si="91"/>
        <v>0</v>
      </c>
      <c r="N984">
        <f t="shared" si="92"/>
        <v>0</v>
      </c>
      <c r="O984">
        <f t="shared" si="93"/>
        <v>0</v>
      </c>
      <c r="P984">
        <f t="shared" si="94"/>
        <v>0</v>
      </c>
      <c r="Q984" t="e">
        <f>VLOOKUP(C984,Sheet2!A:AU,47,0)</f>
        <v>#N/A</v>
      </c>
      <c r="R984">
        <f t="shared" si="95"/>
        <v>0</v>
      </c>
    </row>
    <row r="985" spans="1:18" x14ac:dyDescent="0.3">
      <c r="A985" s="1">
        <v>983</v>
      </c>
      <c r="B985">
        <v>0</v>
      </c>
      <c r="C985" t="s">
        <v>675</v>
      </c>
      <c r="D985" t="s">
        <v>148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f t="shared" si="90"/>
        <v>0.4</v>
      </c>
      <c r="M985">
        <f t="shared" si="91"/>
        <v>0</v>
      </c>
      <c r="N985">
        <f t="shared" si="92"/>
        <v>0</v>
      </c>
      <c r="O985">
        <f t="shared" si="93"/>
        <v>0</v>
      </c>
      <c r="P985">
        <f t="shared" si="94"/>
        <v>0</v>
      </c>
      <c r="Q985" t="e">
        <f>VLOOKUP(C985,Sheet2!A:AU,47,0)</f>
        <v>#N/A</v>
      </c>
      <c r="R985">
        <f t="shared" si="95"/>
        <v>0</v>
      </c>
    </row>
    <row r="986" spans="1:18" x14ac:dyDescent="0.3">
      <c r="A986" s="1">
        <v>984</v>
      </c>
      <c r="B986">
        <v>0</v>
      </c>
      <c r="C986" t="s">
        <v>676</v>
      </c>
      <c r="D986" t="s">
        <v>148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f t="shared" si="90"/>
        <v>0.4</v>
      </c>
      <c r="M986">
        <f t="shared" si="91"/>
        <v>0</v>
      </c>
      <c r="N986">
        <f t="shared" si="92"/>
        <v>0</v>
      </c>
      <c r="O986">
        <f t="shared" si="93"/>
        <v>0</v>
      </c>
      <c r="P986">
        <f t="shared" si="94"/>
        <v>0</v>
      </c>
      <c r="Q986" t="e">
        <f>VLOOKUP(C986,Sheet2!A:AU,47,0)</f>
        <v>#N/A</v>
      </c>
      <c r="R986">
        <f t="shared" si="95"/>
        <v>0</v>
      </c>
    </row>
    <row r="987" spans="1:18" x14ac:dyDescent="0.3">
      <c r="A987" s="1">
        <v>985</v>
      </c>
      <c r="B987">
        <v>0</v>
      </c>
      <c r="C987" t="s">
        <v>677</v>
      </c>
      <c r="D987" t="s">
        <v>132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f t="shared" si="90"/>
        <v>0.4</v>
      </c>
      <c r="M987">
        <f t="shared" si="91"/>
        <v>0</v>
      </c>
      <c r="N987">
        <f t="shared" si="92"/>
        <v>0</v>
      </c>
      <c r="O987">
        <f t="shared" si="93"/>
        <v>0</v>
      </c>
      <c r="P987">
        <f t="shared" si="94"/>
        <v>0</v>
      </c>
      <c r="Q987" t="e">
        <f>VLOOKUP(C987,Sheet2!A:AU,47,0)</f>
        <v>#N/A</v>
      </c>
      <c r="R987">
        <f t="shared" si="95"/>
        <v>0</v>
      </c>
    </row>
    <row r="988" spans="1:18" x14ac:dyDescent="0.3">
      <c r="A988" s="1">
        <v>986</v>
      </c>
      <c r="B988">
        <v>0</v>
      </c>
      <c r="C988" t="s">
        <v>678</v>
      </c>
      <c r="D988" t="s">
        <v>132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f t="shared" si="90"/>
        <v>0.4</v>
      </c>
      <c r="M988">
        <f t="shared" si="91"/>
        <v>0</v>
      </c>
      <c r="N988">
        <f t="shared" si="92"/>
        <v>0</v>
      </c>
      <c r="O988">
        <f t="shared" si="93"/>
        <v>0</v>
      </c>
      <c r="P988">
        <f t="shared" si="94"/>
        <v>0</v>
      </c>
      <c r="Q988" t="e">
        <f>VLOOKUP(C988,Sheet2!A:AU,47,0)</f>
        <v>#N/A</v>
      </c>
      <c r="R988">
        <f t="shared" si="95"/>
        <v>0</v>
      </c>
    </row>
    <row r="989" spans="1:18" x14ac:dyDescent="0.3">
      <c r="A989" s="1">
        <v>987</v>
      </c>
      <c r="B989">
        <v>0</v>
      </c>
      <c r="C989" t="s">
        <v>679</v>
      </c>
      <c r="D989" t="s">
        <v>132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f t="shared" si="90"/>
        <v>0.4</v>
      </c>
      <c r="M989">
        <f t="shared" si="91"/>
        <v>0</v>
      </c>
      <c r="N989">
        <f t="shared" si="92"/>
        <v>0</v>
      </c>
      <c r="O989">
        <f t="shared" si="93"/>
        <v>0</v>
      </c>
      <c r="P989">
        <f t="shared" si="94"/>
        <v>0</v>
      </c>
      <c r="Q989" t="e">
        <f>VLOOKUP(C989,Sheet2!A:AU,47,0)</f>
        <v>#N/A</v>
      </c>
      <c r="R989">
        <f t="shared" si="95"/>
        <v>0</v>
      </c>
    </row>
    <row r="990" spans="1:18" x14ac:dyDescent="0.3">
      <c r="A990" s="1">
        <v>988</v>
      </c>
      <c r="B990">
        <v>0</v>
      </c>
      <c r="C990" t="s">
        <v>680</v>
      </c>
      <c r="D990" t="s">
        <v>132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f t="shared" si="90"/>
        <v>0.4</v>
      </c>
      <c r="M990">
        <f t="shared" si="91"/>
        <v>0</v>
      </c>
      <c r="N990">
        <f t="shared" si="92"/>
        <v>0</v>
      </c>
      <c r="O990">
        <f t="shared" si="93"/>
        <v>0</v>
      </c>
      <c r="P990">
        <f t="shared" si="94"/>
        <v>0</v>
      </c>
      <c r="Q990" t="e">
        <f>VLOOKUP(C990,Sheet2!A:AU,47,0)</f>
        <v>#N/A</v>
      </c>
      <c r="R990">
        <f t="shared" si="95"/>
        <v>0</v>
      </c>
    </row>
    <row r="991" spans="1:18" x14ac:dyDescent="0.3">
      <c r="A991" s="1">
        <v>989</v>
      </c>
      <c r="B991">
        <v>0</v>
      </c>
      <c r="C991" t="s">
        <v>681</v>
      </c>
      <c r="D991" t="s">
        <v>124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f t="shared" si="90"/>
        <v>0.4</v>
      </c>
      <c r="M991">
        <f t="shared" si="91"/>
        <v>0</v>
      </c>
      <c r="N991">
        <f t="shared" si="92"/>
        <v>0</v>
      </c>
      <c r="O991">
        <f t="shared" si="93"/>
        <v>0</v>
      </c>
      <c r="P991">
        <f t="shared" si="94"/>
        <v>0</v>
      </c>
      <c r="Q991" t="e">
        <f>VLOOKUP(C991,Sheet2!A:AU,47,0)</f>
        <v>#N/A</v>
      </c>
      <c r="R991">
        <f t="shared" si="95"/>
        <v>0</v>
      </c>
    </row>
    <row r="992" spans="1:18" x14ac:dyDescent="0.3">
      <c r="A992" s="1">
        <v>990</v>
      </c>
      <c r="B992">
        <v>0</v>
      </c>
      <c r="C992" t="s">
        <v>682</v>
      </c>
      <c r="D992" t="s">
        <v>124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90"/>
        <v>0.4</v>
      </c>
      <c r="M992">
        <f t="shared" si="91"/>
        <v>0</v>
      </c>
      <c r="N992">
        <f t="shared" si="92"/>
        <v>0</v>
      </c>
      <c r="O992">
        <f t="shared" si="93"/>
        <v>0</v>
      </c>
      <c r="P992">
        <f t="shared" si="94"/>
        <v>0</v>
      </c>
      <c r="Q992" t="e">
        <f>VLOOKUP(C992,Sheet2!A:AU,47,0)</f>
        <v>#N/A</v>
      </c>
      <c r="R992">
        <f t="shared" si="95"/>
        <v>0</v>
      </c>
    </row>
    <row r="993" spans="1:18" x14ac:dyDescent="0.3">
      <c r="A993" s="1">
        <v>991</v>
      </c>
      <c r="B993">
        <v>0</v>
      </c>
      <c r="C993" t="s">
        <v>683</v>
      </c>
      <c r="D993" t="s">
        <v>124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f t="shared" si="90"/>
        <v>0.4</v>
      </c>
      <c r="M993">
        <f t="shared" si="91"/>
        <v>0</v>
      </c>
      <c r="N993">
        <f t="shared" si="92"/>
        <v>0</v>
      </c>
      <c r="O993">
        <f t="shared" si="93"/>
        <v>0</v>
      </c>
      <c r="P993">
        <f t="shared" si="94"/>
        <v>0</v>
      </c>
      <c r="Q993" t="e">
        <f>VLOOKUP(C993,Sheet2!A:AU,47,0)</f>
        <v>#N/A</v>
      </c>
      <c r="R993">
        <f t="shared" si="95"/>
        <v>0</v>
      </c>
    </row>
    <row r="994" spans="1:18" x14ac:dyDescent="0.3">
      <c r="A994" s="1">
        <v>992</v>
      </c>
      <c r="B994">
        <v>0</v>
      </c>
      <c r="C994" t="s">
        <v>684</v>
      </c>
      <c r="D994" t="s">
        <v>124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f t="shared" si="90"/>
        <v>0.4</v>
      </c>
      <c r="M994">
        <f t="shared" si="91"/>
        <v>0</v>
      </c>
      <c r="N994">
        <f t="shared" si="92"/>
        <v>0</v>
      </c>
      <c r="O994">
        <f t="shared" si="93"/>
        <v>0</v>
      </c>
      <c r="P994">
        <f t="shared" si="94"/>
        <v>0</v>
      </c>
      <c r="Q994" t="e">
        <f>VLOOKUP(C994,Sheet2!A:AU,47,0)</f>
        <v>#N/A</v>
      </c>
      <c r="R994">
        <f t="shared" si="95"/>
        <v>0</v>
      </c>
    </row>
    <row r="995" spans="1:18" x14ac:dyDescent="0.3">
      <c r="A995" s="1">
        <v>993</v>
      </c>
      <c r="B995">
        <v>0</v>
      </c>
      <c r="C995" t="s">
        <v>685</v>
      </c>
      <c r="D995" t="s">
        <v>124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f t="shared" si="90"/>
        <v>0.4</v>
      </c>
      <c r="M995">
        <f t="shared" si="91"/>
        <v>0</v>
      </c>
      <c r="N995">
        <f t="shared" si="92"/>
        <v>0</v>
      </c>
      <c r="O995">
        <f t="shared" si="93"/>
        <v>0</v>
      </c>
      <c r="P995">
        <f t="shared" si="94"/>
        <v>0</v>
      </c>
      <c r="Q995" t="e">
        <f>VLOOKUP(C995,Sheet2!A:AU,47,0)</f>
        <v>#N/A</v>
      </c>
      <c r="R995">
        <f t="shared" si="95"/>
        <v>0</v>
      </c>
    </row>
    <row r="996" spans="1:18" x14ac:dyDescent="0.3">
      <c r="A996" s="1">
        <v>994</v>
      </c>
      <c r="B996">
        <v>0</v>
      </c>
      <c r="C996" t="s">
        <v>686</v>
      </c>
      <c r="D996" t="s">
        <v>124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90"/>
        <v>0.4</v>
      </c>
      <c r="M996">
        <f t="shared" si="91"/>
        <v>0</v>
      </c>
      <c r="N996">
        <f t="shared" si="92"/>
        <v>0</v>
      </c>
      <c r="O996">
        <f t="shared" si="93"/>
        <v>0</v>
      </c>
      <c r="P996">
        <f t="shared" si="94"/>
        <v>0</v>
      </c>
      <c r="Q996" t="e">
        <f>VLOOKUP(C996,Sheet2!A:AU,47,0)</f>
        <v>#N/A</v>
      </c>
      <c r="R996">
        <f t="shared" si="95"/>
        <v>0</v>
      </c>
    </row>
    <row r="997" spans="1:18" x14ac:dyDescent="0.3">
      <c r="A997" s="1">
        <v>995</v>
      </c>
      <c r="B997">
        <v>0</v>
      </c>
      <c r="C997" t="s">
        <v>687</v>
      </c>
      <c r="D997" t="s">
        <v>225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f t="shared" si="90"/>
        <v>0.4</v>
      </c>
      <c r="M997">
        <f t="shared" si="91"/>
        <v>0</v>
      </c>
      <c r="N997">
        <f t="shared" si="92"/>
        <v>0</v>
      </c>
      <c r="O997">
        <f t="shared" si="93"/>
        <v>0</v>
      </c>
      <c r="P997">
        <f t="shared" si="94"/>
        <v>0</v>
      </c>
      <c r="Q997" t="e">
        <f>VLOOKUP(C997,Sheet2!A:AU,47,0)</f>
        <v>#N/A</v>
      </c>
      <c r="R997">
        <f t="shared" si="95"/>
        <v>0</v>
      </c>
    </row>
    <row r="998" spans="1:18" x14ac:dyDescent="0.3">
      <c r="A998" s="1">
        <v>996</v>
      </c>
      <c r="B998">
        <v>0</v>
      </c>
      <c r="C998" t="s">
        <v>688</v>
      </c>
      <c r="D998" t="s">
        <v>225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f t="shared" si="90"/>
        <v>0.4</v>
      </c>
      <c r="M998">
        <f t="shared" si="91"/>
        <v>0</v>
      </c>
      <c r="N998">
        <f t="shared" si="92"/>
        <v>0</v>
      </c>
      <c r="O998">
        <f t="shared" si="93"/>
        <v>0</v>
      </c>
      <c r="P998">
        <f t="shared" si="94"/>
        <v>0</v>
      </c>
      <c r="Q998" t="e">
        <f>VLOOKUP(C998,Sheet2!A:AU,47,0)</f>
        <v>#N/A</v>
      </c>
      <c r="R998">
        <f t="shared" si="95"/>
        <v>0</v>
      </c>
    </row>
    <row r="999" spans="1:18" x14ac:dyDescent="0.3">
      <c r="A999" s="1">
        <v>997</v>
      </c>
      <c r="B999">
        <v>0</v>
      </c>
      <c r="C999" t="s">
        <v>689</v>
      </c>
      <c r="D999" t="s">
        <v>225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90"/>
        <v>0.4</v>
      </c>
      <c r="M999">
        <f t="shared" si="91"/>
        <v>0</v>
      </c>
      <c r="N999">
        <f t="shared" si="92"/>
        <v>0</v>
      </c>
      <c r="O999">
        <f t="shared" si="93"/>
        <v>0</v>
      </c>
      <c r="P999">
        <f t="shared" si="94"/>
        <v>0</v>
      </c>
      <c r="Q999" t="e">
        <f>VLOOKUP(C999,Sheet2!A:AU,47,0)</f>
        <v>#N/A</v>
      </c>
      <c r="R999">
        <f t="shared" si="95"/>
        <v>0</v>
      </c>
    </row>
    <row r="1000" spans="1:18" x14ac:dyDescent="0.3">
      <c r="A1000" s="1">
        <v>998</v>
      </c>
      <c r="B1000">
        <v>0</v>
      </c>
      <c r="C1000" t="s">
        <v>690</v>
      </c>
      <c r="D1000" t="s">
        <v>225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f t="shared" si="90"/>
        <v>0.4</v>
      </c>
      <c r="M1000">
        <f t="shared" si="91"/>
        <v>0</v>
      </c>
      <c r="N1000">
        <f t="shared" si="92"/>
        <v>0</v>
      </c>
      <c r="O1000">
        <f t="shared" si="93"/>
        <v>0</v>
      </c>
      <c r="P1000">
        <f t="shared" si="94"/>
        <v>0</v>
      </c>
      <c r="Q1000" t="e">
        <f>VLOOKUP(C1000,Sheet2!A:AU,47,0)</f>
        <v>#N/A</v>
      </c>
      <c r="R1000">
        <f t="shared" si="95"/>
        <v>0</v>
      </c>
    </row>
    <row r="1001" spans="1:18" x14ac:dyDescent="0.3">
      <c r="A1001" s="1">
        <v>999</v>
      </c>
      <c r="B1001">
        <v>0</v>
      </c>
      <c r="C1001" t="s">
        <v>691</v>
      </c>
      <c r="D1001" t="s">
        <v>225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90"/>
        <v>0.4</v>
      </c>
      <c r="M1001">
        <f t="shared" si="91"/>
        <v>0</v>
      </c>
      <c r="N1001">
        <f t="shared" si="92"/>
        <v>0</v>
      </c>
      <c r="O1001">
        <f t="shared" si="93"/>
        <v>0</v>
      </c>
      <c r="P1001">
        <f t="shared" si="94"/>
        <v>0</v>
      </c>
      <c r="Q1001" t="e">
        <f>VLOOKUP(C1001,Sheet2!A:AU,47,0)</f>
        <v>#N/A</v>
      </c>
      <c r="R1001">
        <f t="shared" si="95"/>
        <v>0</v>
      </c>
    </row>
    <row r="1002" spans="1:18" x14ac:dyDescent="0.3">
      <c r="A1002" s="1">
        <v>1000</v>
      </c>
      <c r="B1002">
        <v>0</v>
      </c>
      <c r="C1002" t="s">
        <v>692</v>
      </c>
      <c r="D1002" t="s">
        <v>225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90"/>
        <v>0.4</v>
      </c>
      <c r="M1002">
        <f t="shared" si="91"/>
        <v>0</v>
      </c>
      <c r="N1002">
        <f t="shared" si="92"/>
        <v>0</v>
      </c>
      <c r="O1002">
        <f t="shared" si="93"/>
        <v>0</v>
      </c>
      <c r="P1002">
        <f t="shared" si="94"/>
        <v>0</v>
      </c>
      <c r="Q1002" t="e">
        <f>VLOOKUP(C1002,Sheet2!A:AU,47,0)</f>
        <v>#N/A</v>
      </c>
      <c r="R1002">
        <f t="shared" si="95"/>
        <v>0</v>
      </c>
    </row>
    <row r="1003" spans="1:18" x14ac:dyDescent="0.3">
      <c r="A1003" s="1">
        <v>1001</v>
      </c>
      <c r="B1003">
        <v>0</v>
      </c>
      <c r="C1003" t="s">
        <v>693</v>
      </c>
      <c r="D1003" t="s">
        <v>225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f t="shared" si="90"/>
        <v>0.4</v>
      </c>
      <c r="M1003">
        <f t="shared" si="91"/>
        <v>0</v>
      </c>
      <c r="N1003">
        <f t="shared" si="92"/>
        <v>0</v>
      </c>
      <c r="O1003">
        <f t="shared" si="93"/>
        <v>0</v>
      </c>
      <c r="P1003">
        <f t="shared" si="94"/>
        <v>0</v>
      </c>
      <c r="Q1003" t="e">
        <f>VLOOKUP(C1003,Sheet2!A:AU,47,0)</f>
        <v>#N/A</v>
      </c>
      <c r="R1003">
        <f t="shared" si="95"/>
        <v>0</v>
      </c>
    </row>
    <row r="1004" spans="1:18" x14ac:dyDescent="0.3">
      <c r="A1004" s="1">
        <v>1002</v>
      </c>
      <c r="B1004">
        <v>0</v>
      </c>
      <c r="C1004" t="s">
        <v>694</v>
      </c>
      <c r="D1004" t="s">
        <v>225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f t="shared" si="90"/>
        <v>0.4</v>
      </c>
      <c r="M1004">
        <f t="shared" si="91"/>
        <v>0</v>
      </c>
      <c r="N1004">
        <f t="shared" si="92"/>
        <v>0</v>
      </c>
      <c r="O1004">
        <f t="shared" si="93"/>
        <v>0</v>
      </c>
      <c r="P1004">
        <f t="shared" si="94"/>
        <v>0</v>
      </c>
      <c r="Q1004" t="e">
        <f>VLOOKUP(C1004,Sheet2!A:AU,47,0)</f>
        <v>#N/A</v>
      </c>
      <c r="R1004">
        <f t="shared" si="95"/>
        <v>0</v>
      </c>
    </row>
    <row r="1005" spans="1:18" x14ac:dyDescent="0.3">
      <c r="A1005" s="1">
        <v>1003</v>
      </c>
      <c r="B1005">
        <v>0</v>
      </c>
      <c r="C1005" t="s">
        <v>695</v>
      </c>
      <c r="D1005" t="s">
        <v>225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f t="shared" si="90"/>
        <v>0.4</v>
      </c>
      <c r="M1005">
        <f t="shared" si="91"/>
        <v>0</v>
      </c>
      <c r="N1005">
        <f t="shared" si="92"/>
        <v>0</v>
      </c>
      <c r="O1005">
        <f t="shared" si="93"/>
        <v>0</v>
      </c>
      <c r="P1005">
        <f t="shared" si="94"/>
        <v>0</v>
      </c>
      <c r="Q1005" t="e">
        <f>VLOOKUP(C1005,Sheet2!A:AU,47,0)</f>
        <v>#N/A</v>
      </c>
      <c r="R1005">
        <f t="shared" si="95"/>
        <v>0</v>
      </c>
    </row>
    <row r="1006" spans="1:18" x14ac:dyDescent="0.3">
      <c r="A1006" s="1">
        <v>1004</v>
      </c>
      <c r="B1006">
        <v>0</v>
      </c>
      <c r="C1006" t="s">
        <v>696</v>
      </c>
      <c r="D1006" t="s">
        <v>225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f t="shared" si="90"/>
        <v>0.4</v>
      </c>
      <c r="M1006">
        <f t="shared" si="91"/>
        <v>0</v>
      </c>
      <c r="N1006">
        <f t="shared" si="92"/>
        <v>0</v>
      </c>
      <c r="O1006">
        <f t="shared" si="93"/>
        <v>0</v>
      </c>
      <c r="P1006">
        <f t="shared" si="94"/>
        <v>0</v>
      </c>
      <c r="Q1006" t="e">
        <f>VLOOKUP(C1006,Sheet2!A:AU,47,0)</f>
        <v>#N/A</v>
      </c>
      <c r="R1006">
        <f t="shared" si="95"/>
        <v>0</v>
      </c>
    </row>
    <row r="1007" spans="1:18" x14ac:dyDescent="0.3">
      <c r="A1007" s="1">
        <v>1005</v>
      </c>
      <c r="B1007">
        <v>0</v>
      </c>
      <c r="C1007" t="s">
        <v>697</v>
      </c>
      <c r="D1007" t="s">
        <v>225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f t="shared" si="90"/>
        <v>0.4</v>
      </c>
      <c r="M1007">
        <f t="shared" si="91"/>
        <v>0</v>
      </c>
      <c r="N1007">
        <f t="shared" si="92"/>
        <v>0</v>
      </c>
      <c r="O1007">
        <f t="shared" si="93"/>
        <v>0</v>
      </c>
      <c r="P1007">
        <f t="shared" si="94"/>
        <v>0</v>
      </c>
      <c r="Q1007" t="e">
        <f>VLOOKUP(C1007,Sheet2!A:AU,47,0)</f>
        <v>#N/A</v>
      </c>
      <c r="R1007">
        <f t="shared" si="95"/>
        <v>0</v>
      </c>
    </row>
    <row r="1008" spans="1:18" x14ac:dyDescent="0.3">
      <c r="A1008" s="1">
        <v>1006</v>
      </c>
      <c r="B1008">
        <v>0</v>
      </c>
      <c r="C1008" t="s">
        <v>698</v>
      </c>
      <c r="D1008" t="s">
        <v>225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f t="shared" si="90"/>
        <v>0.4</v>
      </c>
      <c r="M1008">
        <f t="shared" si="91"/>
        <v>0</v>
      </c>
      <c r="N1008">
        <f t="shared" si="92"/>
        <v>0</v>
      </c>
      <c r="O1008">
        <f t="shared" si="93"/>
        <v>0</v>
      </c>
      <c r="P1008">
        <f t="shared" si="94"/>
        <v>0</v>
      </c>
      <c r="Q1008" t="e">
        <f>VLOOKUP(C1008,Sheet2!A:AU,47,0)</f>
        <v>#N/A</v>
      </c>
      <c r="R1008">
        <f t="shared" si="95"/>
        <v>0</v>
      </c>
    </row>
    <row r="1009" spans="1:18" x14ac:dyDescent="0.3">
      <c r="A1009" s="1">
        <v>1007</v>
      </c>
      <c r="B1009">
        <v>0</v>
      </c>
      <c r="C1009" t="s">
        <v>699</v>
      </c>
      <c r="D1009" t="s">
        <v>225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f t="shared" si="90"/>
        <v>0.4</v>
      </c>
      <c r="M1009">
        <f t="shared" si="91"/>
        <v>0</v>
      </c>
      <c r="N1009">
        <f t="shared" si="92"/>
        <v>0</v>
      </c>
      <c r="O1009">
        <f t="shared" si="93"/>
        <v>0</v>
      </c>
      <c r="P1009">
        <f t="shared" si="94"/>
        <v>0</v>
      </c>
      <c r="Q1009" t="e">
        <f>VLOOKUP(C1009,Sheet2!A:AU,47,0)</f>
        <v>#N/A</v>
      </c>
      <c r="R1009">
        <f t="shared" si="95"/>
        <v>0</v>
      </c>
    </row>
    <row r="1010" spans="1:18" x14ac:dyDescent="0.3">
      <c r="A1010" s="1">
        <v>1008</v>
      </c>
      <c r="B1010">
        <v>0</v>
      </c>
      <c r="C1010" t="s">
        <v>344</v>
      </c>
      <c r="D1010" t="s">
        <v>46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f t="shared" si="90"/>
        <v>0.4</v>
      </c>
      <c r="M1010">
        <f t="shared" si="91"/>
        <v>0</v>
      </c>
      <c r="N1010">
        <f t="shared" si="92"/>
        <v>0</v>
      </c>
      <c r="O1010">
        <f t="shared" si="93"/>
        <v>0</v>
      </c>
      <c r="P1010">
        <f t="shared" si="94"/>
        <v>0</v>
      </c>
      <c r="Q1010">
        <f>VLOOKUP(C1010,Sheet2!A:AU,47,0)</f>
        <v>4.7841186376506215</v>
      </c>
      <c r="R1010">
        <f t="shared" si="95"/>
        <v>4.7841186376506215</v>
      </c>
    </row>
    <row r="1011" spans="1:18" x14ac:dyDescent="0.3">
      <c r="A1011" s="1">
        <v>1009</v>
      </c>
      <c r="B1011">
        <v>0</v>
      </c>
      <c r="C1011" t="s">
        <v>135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f t="shared" si="90"/>
        <v>0.4</v>
      </c>
      <c r="M1011">
        <f t="shared" si="91"/>
        <v>0</v>
      </c>
      <c r="N1011">
        <f t="shared" si="92"/>
        <v>0</v>
      </c>
      <c r="O1011">
        <f t="shared" si="93"/>
        <v>0</v>
      </c>
      <c r="P1011">
        <f t="shared" si="94"/>
        <v>0</v>
      </c>
      <c r="Q1011">
        <f>VLOOKUP(C1011,Sheet2!A:AU,47,0)</f>
        <v>1.5675062654934901</v>
      </c>
      <c r="R1011">
        <f t="shared" si="95"/>
        <v>1.5675062654934901</v>
      </c>
    </row>
    <row r="1012" spans="1:18" x14ac:dyDescent="0.3">
      <c r="A1012" s="1">
        <v>1010</v>
      </c>
      <c r="B1012">
        <v>0</v>
      </c>
      <c r="C1012" t="s">
        <v>136</v>
      </c>
      <c r="D1012" t="s">
        <v>46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f t="shared" si="90"/>
        <v>0.4</v>
      </c>
      <c r="M1012">
        <f t="shared" si="91"/>
        <v>0</v>
      </c>
      <c r="N1012">
        <f t="shared" si="92"/>
        <v>0</v>
      </c>
      <c r="O1012">
        <f t="shared" si="93"/>
        <v>0</v>
      </c>
      <c r="P1012">
        <f t="shared" si="94"/>
        <v>0</v>
      </c>
      <c r="Q1012">
        <f>VLOOKUP(C1012,Sheet2!A:AU,47,0)</f>
        <v>0.47732525979474993</v>
      </c>
      <c r="R1012">
        <f t="shared" si="95"/>
        <v>0.47732525979474993</v>
      </c>
    </row>
    <row r="1013" spans="1:18" x14ac:dyDescent="0.3">
      <c r="A1013" s="1">
        <v>1011</v>
      </c>
      <c r="B1013">
        <v>0</v>
      </c>
      <c r="C1013" t="s">
        <v>700</v>
      </c>
      <c r="D1013" t="s">
        <v>46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f t="shared" si="90"/>
        <v>0.4</v>
      </c>
      <c r="M1013">
        <f t="shared" si="91"/>
        <v>0</v>
      </c>
      <c r="N1013">
        <f t="shared" si="92"/>
        <v>0</v>
      </c>
      <c r="O1013">
        <f t="shared" si="93"/>
        <v>0</v>
      </c>
      <c r="P1013">
        <f t="shared" si="94"/>
        <v>0</v>
      </c>
      <c r="Q1013" t="e">
        <f>VLOOKUP(C1013,Sheet2!A:AU,47,0)</f>
        <v>#N/A</v>
      </c>
      <c r="R1013">
        <f t="shared" si="95"/>
        <v>0</v>
      </c>
    </row>
    <row r="1014" spans="1:18" x14ac:dyDescent="0.3">
      <c r="A1014" s="1">
        <v>1012</v>
      </c>
      <c r="B1014">
        <v>0</v>
      </c>
      <c r="C1014" t="s">
        <v>701</v>
      </c>
      <c r="D1014" t="s">
        <v>46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f t="shared" si="90"/>
        <v>0.4</v>
      </c>
      <c r="M1014">
        <f t="shared" si="91"/>
        <v>0</v>
      </c>
      <c r="N1014">
        <f t="shared" si="92"/>
        <v>0</v>
      </c>
      <c r="O1014">
        <f t="shared" si="93"/>
        <v>0</v>
      </c>
      <c r="P1014">
        <f t="shared" si="94"/>
        <v>0</v>
      </c>
      <c r="Q1014" t="e">
        <f>VLOOKUP(C1014,Sheet2!A:AU,47,0)</f>
        <v>#N/A</v>
      </c>
      <c r="R1014">
        <f t="shared" si="95"/>
        <v>0</v>
      </c>
    </row>
    <row r="1015" spans="1:18" x14ac:dyDescent="0.3">
      <c r="A1015" s="1">
        <v>1013</v>
      </c>
      <c r="B1015">
        <v>0</v>
      </c>
      <c r="C1015" t="s">
        <v>702</v>
      </c>
      <c r="D1015" t="s">
        <v>46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f t="shared" si="90"/>
        <v>0.4</v>
      </c>
      <c r="M1015">
        <f t="shared" si="91"/>
        <v>0</v>
      </c>
      <c r="N1015">
        <f t="shared" si="92"/>
        <v>0</v>
      </c>
      <c r="O1015">
        <f t="shared" si="93"/>
        <v>0</v>
      </c>
      <c r="P1015">
        <f t="shared" si="94"/>
        <v>0</v>
      </c>
      <c r="Q1015" t="e">
        <f>VLOOKUP(C1015,Sheet2!A:AU,47,0)</f>
        <v>#N/A</v>
      </c>
      <c r="R1015">
        <f t="shared" si="95"/>
        <v>0</v>
      </c>
    </row>
    <row r="1016" spans="1:18" x14ac:dyDescent="0.3">
      <c r="A1016" s="1">
        <v>1014</v>
      </c>
      <c r="B1016">
        <v>0</v>
      </c>
      <c r="C1016" t="s">
        <v>703</v>
      </c>
      <c r="D1016" t="s">
        <v>46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f t="shared" si="90"/>
        <v>0.4</v>
      </c>
      <c r="M1016">
        <f t="shared" si="91"/>
        <v>0</v>
      </c>
      <c r="N1016">
        <f t="shared" si="92"/>
        <v>0</v>
      </c>
      <c r="O1016">
        <f t="shared" si="93"/>
        <v>0</v>
      </c>
      <c r="P1016">
        <f t="shared" si="94"/>
        <v>0</v>
      </c>
      <c r="Q1016" t="e">
        <f>VLOOKUP(C1016,Sheet2!A:AU,47,0)</f>
        <v>#N/A</v>
      </c>
      <c r="R1016">
        <f t="shared" si="95"/>
        <v>0</v>
      </c>
    </row>
    <row r="1017" spans="1:18" x14ac:dyDescent="0.3">
      <c r="A1017" s="1">
        <v>1015</v>
      </c>
      <c r="B1017">
        <v>0</v>
      </c>
      <c r="C1017" t="s">
        <v>704</v>
      </c>
      <c r="D1017" t="s">
        <v>46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f t="shared" si="90"/>
        <v>0.4</v>
      </c>
      <c r="M1017">
        <f t="shared" si="91"/>
        <v>0</v>
      </c>
      <c r="N1017">
        <f t="shared" si="92"/>
        <v>0</v>
      </c>
      <c r="O1017">
        <f t="shared" si="93"/>
        <v>0</v>
      </c>
      <c r="P1017">
        <f t="shared" si="94"/>
        <v>0</v>
      </c>
      <c r="Q1017" t="e">
        <f>VLOOKUP(C1017,Sheet2!A:AU,47,0)</f>
        <v>#N/A</v>
      </c>
      <c r="R1017">
        <f t="shared" si="95"/>
        <v>0</v>
      </c>
    </row>
    <row r="1018" spans="1:18" x14ac:dyDescent="0.3">
      <c r="A1018" s="1">
        <v>1016</v>
      </c>
      <c r="B1018">
        <v>0</v>
      </c>
      <c r="C1018" t="s">
        <v>705</v>
      </c>
      <c r="D1018" t="s">
        <v>46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f t="shared" si="90"/>
        <v>0.4</v>
      </c>
      <c r="M1018">
        <f t="shared" si="91"/>
        <v>0</v>
      </c>
      <c r="N1018">
        <f t="shared" si="92"/>
        <v>0</v>
      </c>
      <c r="O1018">
        <f t="shared" si="93"/>
        <v>0</v>
      </c>
      <c r="P1018">
        <f t="shared" si="94"/>
        <v>0</v>
      </c>
      <c r="Q1018" t="e">
        <f>VLOOKUP(C1018,Sheet2!A:AU,47,0)</f>
        <v>#N/A</v>
      </c>
      <c r="R1018">
        <f t="shared" si="95"/>
        <v>0</v>
      </c>
    </row>
    <row r="1019" spans="1:18" x14ac:dyDescent="0.3">
      <c r="A1019" s="1">
        <v>1017</v>
      </c>
      <c r="B1019">
        <v>0</v>
      </c>
      <c r="C1019" t="s">
        <v>706</v>
      </c>
      <c r="D1019" t="s">
        <v>46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f t="shared" si="90"/>
        <v>0.4</v>
      </c>
      <c r="M1019">
        <f t="shared" si="91"/>
        <v>0</v>
      </c>
      <c r="N1019">
        <f t="shared" si="92"/>
        <v>0</v>
      </c>
      <c r="O1019">
        <f t="shared" si="93"/>
        <v>0</v>
      </c>
      <c r="P1019">
        <f t="shared" si="94"/>
        <v>0</v>
      </c>
      <c r="Q1019" t="e">
        <f>VLOOKUP(C1019,Sheet2!A:AU,47,0)</f>
        <v>#N/A</v>
      </c>
      <c r="R1019">
        <f t="shared" si="95"/>
        <v>0</v>
      </c>
    </row>
    <row r="1020" spans="1:18" x14ac:dyDescent="0.3">
      <c r="A1020" s="1">
        <v>1018</v>
      </c>
      <c r="B1020">
        <v>0</v>
      </c>
      <c r="C1020" t="s">
        <v>707</v>
      </c>
      <c r="D1020" t="s">
        <v>46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f t="shared" si="90"/>
        <v>0.4</v>
      </c>
      <c r="M1020">
        <f t="shared" si="91"/>
        <v>0</v>
      </c>
      <c r="N1020">
        <f t="shared" si="92"/>
        <v>0</v>
      </c>
      <c r="O1020">
        <f t="shared" si="93"/>
        <v>0</v>
      </c>
      <c r="P1020">
        <f t="shared" si="94"/>
        <v>0</v>
      </c>
      <c r="Q1020" t="e">
        <f>VLOOKUP(C1020,Sheet2!A:AU,47,0)</f>
        <v>#N/A</v>
      </c>
      <c r="R1020">
        <f t="shared" si="95"/>
        <v>0</v>
      </c>
    </row>
    <row r="1021" spans="1:18" x14ac:dyDescent="0.3">
      <c r="A1021" s="1">
        <v>1019</v>
      </c>
      <c r="B1021">
        <v>0</v>
      </c>
      <c r="C1021" t="s">
        <v>708</v>
      </c>
      <c r="D1021" t="s">
        <v>46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f t="shared" si="90"/>
        <v>0.4</v>
      </c>
      <c r="M1021">
        <f t="shared" si="91"/>
        <v>0</v>
      </c>
      <c r="N1021">
        <f t="shared" si="92"/>
        <v>0</v>
      </c>
      <c r="O1021">
        <f t="shared" si="93"/>
        <v>0</v>
      </c>
      <c r="P1021">
        <f t="shared" si="94"/>
        <v>0</v>
      </c>
      <c r="Q1021" t="e">
        <f>VLOOKUP(C1021,Sheet2!A:AU,47,0)</f>
        <v>#N/A</v>
      </c>
      <c r="R1021">
        <f t="shared" si="95"/>
        <v>0</v>
      </c>
    </row>
    <row r="1022" spans="1:18" x14ac:dyDescent="0.3">
      <c r="A1022" s="1">
        <v>1020</v>
      </c>
      <c r="B1022">
        <v>0</v>
      </c>
      <c r="C1022" t="s">
        <v>709</v>
      </c>
      <c r="D1022" t="s">
        <v>46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f t="shared" si="90"/>
        <v>0.4</v>
      </c>
      <c r="M1022">
        <f t="shared" si="91"/>
        <v>0</v>
      </c>
      <c r="N1022">
        <f t="shared" si="92"/>
        <v>0</v>
      </c>
      <c r="O1022">
        <f t="shared" si="93"/>
        <v>0</v>
      </c>
      <c r="P1022">
        <f t="shared" si="94"/>
        <v>0</v>
      </c>
      <c r="Q1022" t="e">
        <f>VLOOKUP(C1022,Sheet2!A:AU,47,0)</f>
        <v>#N/A</v>
      </c>
      <c r="R1022">
        <f t="shared" si="95"/>
        <v>0</v>
      </c>
    </row>
    <row r="1023" spans="1:18" x14ac:dyDescent="0.3">
      <c r="A1023" s="1">
        <v>1021</v>
      </c>
      <c r="B1023">
        <v>0</v>
      </c>
      <c r="C1023" t="s">
        <v>710</v>
      </c>
      <c r="D1023" t="s">
        <v>46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f t="shared" si="90"/>
        <v>0.4</v>
      </c>
      <c r="M1023">
        <f t="shared" si="91"/>
        <v>0</v>
      </c>
      <c r="N1023">
        <f t="shared" si="92"/>
        <v>0</v>
      </c>
      <c r="O1023">
        <f t="shared" si="93"/>
        <v>0</v>
      </c>
      <c r="P1023">
        <f t="shared" si="94"/>
        <v>0</v>
      </c>
      <c r="Q1023" t="e">
        <f>VLOOKUP(C1023,Sheet2!A:AU,47,0)</f>
        <v>#N/A</v>
      </c>
      <c r="R1023">
        <f t="shared" si="95"/>
        <v>0</v>
      </c>
    </row>
    <row r="1024" spans="1:18" x14ac:dyDescent="0.3">
      <c r="A1024" s="1">
        <v>1022</v>
      </c>
      <c r="B1024">
        <v>0</v>
      </c>
      <c r="C1024" t="s">
        <v>711</v>
      </c>
      <c r="D1024" t="s">
        <v>46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f t="shared" si="90"/>
        <v>0.4</v>
      </c>
      <c r="M1024">
        <f t="shared" si="91"/>
        <v>0</v>
      </c>
      <c r="N1024">
        <f t="shared" si="92"/>
        <v>0</v>
      </c>
      <c r="O1024">
        <f t="shared" si="93"/>
        <v>0</v>
      </c>
      <c r="P1024">
        <f t="shared" si="94"/>
        <v>0</v>
      </c>
      <c r="Q1024" t="e">
        <f>VLOOKUP(C1024,Sheet2!A:AU,47,0)</f>
        <v>#N/A</v>
      </c>
      <c r="R1024">
        <f t="shared" si="95"/>
        <v>0</v>
      </c>
    </row>
    <row r="1025" spans="1:18" x14ac:dyDescent="0.3">
      <c r="A1025" s="1">
        <v>1023</v>
      </c>
      <c r="B1025">
        <v>0</v>
      </c>
      <c r="C1025" t="s">
        <v>712</v>
      </c>
      <c r="D1025" t="s">
        <v>46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f t="shared" si="90"/>
        <v>0.4</v>
      </c>
      <c r="M1025">
        <f t="shared" si="91"/>
        <v>0</v>
      </c>
      <c r="N1025">
        <f t="shared" si="92"/>
        <v>0</v>
      </c>
      <c r="O1025">
        <f t="shared" si="93"/>
        <v>0</v>
      </c>
      <c r="P1025">
        <f t="shared" si="94"/>
        <v>0</v>
      </c>
      <c r="Q1025" t="e">
        <f>VLOOKUP(C1025,Sheet2!A:AU,47,0)</f>
        <v>#N/A</v>
      </c>
      <c r="R1025">
        <f t="shared" si="95"/>
        <v>0</v>
      </c>
    </row>
    <row r="1026" spans="1:18" x14ac:dyDescent="0.3">
      <c r="A1026" s="1">
        <v>1024</v>
      </c>
      <c r="B1026">
        <v>0</v>
      </c>
      <c r="C1026" t="s">
        <v>713</v>
      </c>
      <c r="D1026" t="s">
        <v>46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f t="shared" si="90"/>
        <v>0.4</v>
      </c>
      <c r="M1026">
        <f t="shared" si="91"/>
        <v>0</v>
      </c>
      <c r="N1026">
        <f t="shared" si="92"/>
        <v>0</v>
      </c>
      <c r="O1026">
        <f t="shared" si="93"/>
        <v>0</v>
      </c>
      <c r="P1026">
        <f t="shared" si="94"/>
        <v>0</v>
      </c>
      <c r="Q1026" t="e">
        <f>VLOOKUP(C1026,Sheet2!A:AU,47,0)</f>
        <v>#N/A</v>
      </c>
      <c r="R1026">
        <f t="shared" si="95"/>
        <v>0</v>
      </c>
    </row>
    <row r="1027" spans="1:18" x14ac:dyDescent="0.3">
      <c r="A1027" s="1">
        <v>1025</v>
      </c>
      <c r="B1027">
        <v>0</v>
      </c>
      <c r="C1027" t="s">
        <v>714</v>
      </c>
      <c r="D1027" t="s">
        <v>46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f t="shared" ref="L1027:L1090" si="96">MAX(H:H)</f>
        <v>0.4</v>
      </c>
      <c r="M1027">
        <f t="shared" ref="M1027:M1090" si="97">MIN(H:H)</f>
        <v>0</v>
      </c>
      <c r="N1027">
        <f t="shared" ref="N1027:N1090" si="98">(H1027-M1027)/(L1027-M1027)</f>
        <v>0</v>
      </c>
      <c r="O1027">
        <f t="shared" ref="O1027:O1090" si="99">N1027*0.0442</f>
        <v>0</v>
      </c>
      <c r="P1027">
        <f t="shared" ref="P1027:P1090" si="100">O1027*100</f>
        <v>0</v>
      </c>
      <c r="Q1027" t="e">
        <f>VLOOKUP(C1027,Sheet2!A:AU,47,0)</f>
        <v>#N/A</v>
      </c>
      <c r="R1027">
        <f t="shared" ref="R1027:R1090" si="101">IFERROR((P1027+Q1027),0)</f>
        <v>0</v>
      </c>
    </row>
    <row r="1028" spans="1:18" x14ac:dyDescent="0.3">
      <c r="A1028" s="1">
        <v>1026</v>
      </c>
      <c r="B1028">
        <v>0</v>
      </c>
      <c r="C1028" t="s">
        <v>715</v>
      </c>
      <c r="D1028" t="s">
        <v>46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f t="shared" si="96"/>
        <v>0.4</v>
      </c>
      <c r="M1028">
        <f t="shared" si="97"/>
        <v>0</v>
      </c>
      <c r="N1028">
        <f t="shared" si="98"/>
        <v>0</v>
      </c>
      <c r="O1028">
        <f t="shared" si="99"/>
        <v>0</v>
      </c>
      <c r="P1028">
        <f t="shared" si="100"/>
        <v>0</v>
      </c>
      <c r="Q1028" t="e">
        <f>VLOOKUP(C1028,Sheet2!A:AU,47,0)</f>
        <v>#N/A</v>
      </c>
      <c r="R1028">
        <f t="shared" si="101"/>
        <v>0</v>
      </c>
    </row>
    <row r="1029" spans="1:18" x14ac:dyDescent="0.3">
      <c r="A1029" s="1">
        <v>1027</v>
      </c>
      <c r="B1029">
        <v>0</v>
      </c>
      <c r="C1029" t="s">
        <v>716</v>
      </c>
      <c r="D1029" t="s">
        <v>50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f t="shared" si="96"/>
        <v>0.4</v>
      </c>
      <c r="M1029">
        <f t="shared" si="97"/>
        <v>0</v>
      </c>
      <c r="N1029">
        <f t="shared" si="98"/>
        <v>0</v>
      </c>
      <c r="O1029">
        <f t="shared" si="99"/>
        <v>0</v>
      </c>
      <c r="P1029">
        <f t="shared" si="100"/>
        <v>0</v>
      </c>
      <c r="Q1029" t="e">
        <f>VLOOKUP(C1029,Sheet2!A:AU,47,0)</f>
        <v>#N/A</v>
      </c>
      <c r="R1029">
        <f t="shared" si="101"/>
        <v>0</v>
      </c>
    </row>
    <row r="1030" spans="1:18" x14ac:dyDescent="0.3">
      <c r="A1030" s="1">
        <v>1028</v>
      </c>
      <c r="B1030">
        <v>0</v>
      </c>
      <c r="C1030" t="s">
        <v>717</v>
      </c>
      <c r="D1030" t="s">
        <v>50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f t="shared" si="96"/>
        <v>0.4</v>
      </c>
      <c r="M1030">
        <f t="shared" si="97"/>
        <v>0</v>
      </c>
      <c r="N1030">
        <f t="shared" si="98"/>
        <v>0</v>
      </c>
      <c r="O1030">
        <f t="shared" si="99"/>
        <v>0</v>
      </c>
      <c r="P1030">
        <f t="shared" si="100"/>
        <v>0</v>
      </c>
      <c r="Q1030" t="e">
        <f>VLOOKUP(C1030,Sheet2!A:AU,47,0)</f>
        <v>#N/A</v>
      </c>
      <c r="R1030">
        <f t="shared" si="101"/>
        <v>0</v>
      </c>
    </row>
    <row r="1031" spans="1:18" x14ac:dyDescent="0.3">
      <c r="A1031" s="1">
        <v>1029</v>
      </c>
      <c r="B1031">
        <v>0</v>
      </c>
      <c r="C1031" t="s">
        <v>718</v>
      </c>
      <c r="D1031" t="s">
        <v>50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f t="shared" si="96"/>
        <v>0.4</v>
      </c>
      <c r="M1031">
        <f t="shared" si="97"/>
        <v>0</v>
      </c>
      <c r="N1031">
        <f t="shared" si="98"/>
        <v>0</v>
      </c>
      <c r="O1031">
        <f t="shared" si="99"/>
        <v>0</v>
      </c>
      <c r="P1031">
        <f t="shared" si="100"/>
        <v>0</v>
      </c>
      <c r="Q1031" t="e">
        <f>VLOOKUP(C1031,Sheet2!A:AU,47,0)</f>
        <v>#N/A</v>
      </c>
      <c r="R1031">
        <f t="shared" si="101"/>
        <v>0</v>
      </c>
    </row>
    <row r="1032" spans="1:18" x14ac:dyDescent="0.3">
      <c r="A1032" s="1">
        <v>1030</v>
      </c>
      <c r="B1032">
        <v>0</v>
      </c>
      <c r="C1032" t="s">
        <v>719</v>
      </c>
      <c r="D1032" t="s">
        <v>50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f t="shared" si="96"/>
        <v>0.4</v>
      </c>
      <c r="M1032">
        <f t="shared" si="97"/>
        <v>0</v>
      </c>
      <c r="N1032">
        <f t="shared" si="98"/>
        <v>0</v>
      </c>
      <c r="O1032">
        <f t="shared" si="99"/>
        <v>0</v>
      </c>
      <c r="P1032">
        <f t="shared" si="100"/>
        <v>0</v>
      </c>
      <c r="Q1032" t="e">
        <f>VLOOKUP(C1032,Sheet2!A:AU,47,0)</f>
        <v>#N/A</v>
      </c>
      <c r="R1032">
        <f t="shared" si="101"/>
        <v>0</v>
      </c>
    </row>
    <row r="1033" spans="1:18" x14ac:dyDescent="0.3">
      <c r="A1033" s="1">
        <v>1031</v>
      </c>
      <c r="B1033">
        <v>0</v>
      </c>
      <c r="C1033" t="s">
        <v>720</v>
      </c>
      <c r="D1033" t="s">
        <v>50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f t="shared" si="96"/>
        <v>0.4</v>
      </c>
      <c r="M1033">
        <f t="shared" si="97"/>
        <v>0</v>
      </c>
      <c r="N1033">
        <f t="shared" si="98"/>
        <v>0</v>
      </c>
      <c r="O1033">
        <f t="shared" si="99"/>
        <v>0</v>
      </c>
      <c r="P1033">
        <f t="shared" si="100"/>
        <v>0</v>
      </c>
      <c r="Q1033" t="e">
        <f>VLOOKUP(C1033,Sheet2!A:AU,47,0)</f>
        <v>#N/A</v>
      </c>
      <c r="R1033">
        <f t="shared" si="101"/>
        <v>0</v>
      </c>
    </row>
    <row r="1034" spans="1:18" x14ac:dyDescent="0.3">
      <c r="A1034" s="1">
        <v>1032</v>
      </c>
      <c r="B1034">
        <v>0</v>
      </c>
      <c r="C1034" t="s">
        <v>721</v>
      </c>
      <c r="D1034" t="s">
        <v>50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f t="shared" si="96"/>
        <v>0.4</v>
      </c>
      <c r="M1034">
        <f t="shared" si="97"/>
        <v>0</v>
      </c>
      <c r="N1034">
        <f t="shared" si="98"/>
        <v>0</v>
      </c>
      <c r="O1034">
        <f t="shared" si="99"/>
        <v>0</v>
      </c>
      <c r="P1034">
        <f t="shared" si="100"/>
        <v>0</v>
      </c>
      <c r="Q1034" t="e">
        <f>VLOOKUP(C1034,Sheet2!A:AU,47,0)</f>
        <v>#N/A</v>
      </c>
      <c r="R1034">
        <f t="shared" si="101"/>
        <v>0</v>
      </c>
    </row>
    <row r="1035" spans="1:18" x14ac:dyDescent="0.3">
      <c r="A1035" s="1">
        <v>1033</v>
      </c>
      <c r="B1035">
        <v>0</v>
      </c>
      <c r="C1035" t="s">
        <v>722</v>
      </c>
      <c r="D1035" t="s">
        <v>50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f t="shared" si="96"/>
        <v>0.4</v>
      </c>
      <c r="M1035">
        <f t="shared" si="97"/>
        <v>0</v>
      </c>
      <c r="N1035">
        <f t="shared" si="98"/>
        <v>0</v>
      </c>
      <c r="O1035">
        <f t="shared" si="99"/>
        <v>0</v>
      </c>
      <c r="P1035">
        <f t="shared" si="100"/>
        <v>0</v>
      </c>
      <c r="Q1035" t="e">
        <f>VLOOKUP(C1035,Sheet2!A:AU,47,0)</f>
        <v>#N/A</v>
      </c>
      <c r="R1035">
        <f t="shared" si="101"/>
        <v>0</v>
      </c>
    </row>
    <row r="1036" spans="1:18" x14ac:dyDescent="0.3">
      <c r="A1036" s="1">
        <v>1034</v>
      </c>
      <c r="B1036">
        <v>0</v>
      </c>
      <c r="C1036" t="s">
        <v>723</v>
      </c>
      <c r="D1036" t="s">
        <v>50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f t="shared" si="96"/>
        <v>0.4</v>
      </c>
      <c r="M1036">
        <f t="shared" si="97"/>
        <v>0</v>
      </c>
      <c r="N1036">
        <f t="shared" si="98"/>
        <v>0</v>
      </c>
      <c r="O1036">
        <f t="shared" si="99"/>
        <v>0</v>
      </c>
      <c r="P1036">
        <f t="shared" si="100"/>
        <v>0</v>
      </c>
      <c r="Q1036" t="e">
        <f>VLOOKUP(C1036,Sheet2!A:AU,47,0)</f>
        <v>#N/A</v>
      </c>
      <c r="R1036">
        <f t="shared" si="101"/>
        <v>0</v>
      </c>
    </row>
    <row r="1037" spans="1:18" x14ac:dyDescent="0.3">
      <c r="A1037" s="1">
        <v>1035</v>
      </c>
      <c r="B1037">
        <v>0</v>
      </c>
      <c r="C1037" t="s">
        <v>724</v>
      </c>
      <c r="D1037" t="s">
        <v>50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f t="shared" si="96"/>
        <v>0.4</v>
      </c>
      <c r="M1037">
        <f t="shared" si="97"/>
        <v>0</v>
      </c>
      <c r="N1037">
        <f t="shared" si="98"/>
        <v>0</v>
      </c>
      <c r="O1037">
        <f t="shared" si="99"/>
        <v>0</v>
      </c>
      <c r="P1037">
        <f t="shared" si="100"/>
        <v>0</v>
      </c>
      <c r="Q1037" t="e">
        <f>VLOOKUP(C1037,Sheet2!A:AU,47,0)</f>
        <v>#N/A</v>
      </c>
      <c r="R1037">
        <f t="shared" si="101"/>
        <v>0</v>
      </c>
    </row>
    <row r="1038" spans="1:18" x14ac:dyDescent="0.3">
      <c r="A1038" s="1">
        <v>1036</v>
      </c>
      <c r="B1038">
        <v>0</v>
      </c>
      <c r="C1038" t="s">
        <v>725</v>
      </c>
      <c r="D1038" t="s">
        <v>50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f t="shared" si="96"/>
        <v>0.4</v>
      </c>
      <c r="M1038">
        <f t="shared" si="97"/>
        <v>0</v>
      </c>
      <c r="N1038">
        <f t="shared" si="98"/>
        <v>0</v>
      </c>
      <c r="O1038">
        <f t="shared" si="99"/>
        <v>0</v>
      </c>
      <c r="P1038">
        <f t="shared" si="100"/>
        <v>0</v>
      </c>
      <c r="Q1038" t="e">
        <f>VLOOKUP(C1038,Sheet2!A:AU,47,0)</f>
        <v>#N/A</v>
      </c>
      <c r="R1038">
        <f t="shared" si="101"/>
        <v>0</v>
      </c>
    </row>
    <row r="1039" spans="1:18" x14ac:dyDescent="0.3">
      <c r="A1039" s="1">
        <v>1037</v>
      </c>
      <c r="B1039">
        <v>0</v>
      </c>
      <c r="C1039" t="s">
        <v>726</v>
      </c>
      <c r="D1039" t="s">
        <v>50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f t="shared" si="96"/>
        <v>0.4</v>
      </c>
      <c r="M1039">
        <f t="shared" si="97"/>
        <v>0</v>
      </c>
      <c r="N1039">
        <f t="shared" si="98"/>
        <v>0</v>
      </c>
      <c r="O1039">
        <f t="shared" si="99"/>
        <v>0</v>
      </c>
      <c r="P1039">
        <f t="shared" si="100"/>
        <v>0</v>
      </c>
      <c r="Q1039" t="e">
        <f>VLOOKUP(C1039,Sheet2!A:AU,47,0)</f>
        <v>#N/A</v>
      </c>
      <c r="R1039">
        <f t="shared" si="101"/>
        <v>0</v>
      </c>
    </row>
    <row r="1040" spans="1:18" x14ac:dyDescent="0.3">
      <c r="A1040" s="1">
        <v>1038</v>
      </c>
      <c r="B1040">
        <v>0</v>
      </c>
      <c r="C1040" t="s">
        <v>727</v>
      </c>
      <c r="D1040" t="s">
        <v>50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f t="shared" si="96"/>
        <v>0.4</v>
      </c>
      <c r="M1040">
        <f t="shared" si="97"/>
        <v>0</v>
      </c>
      <c r="N1040">
        <f t="shared" si="98"/>
        <v>0</v>
      </c>
      <c r="O1040">
        <f t="shared" si="99"/>
        <v>0</v>
      </c>
      <c r="P1040">
        <f t="shared" si="100"/>
        <v>0</v>
      </c>
      <c r="Q1040" t="e">
        <f>VLOOKUP(C1040,Sheet2!A:AU,47,0)</f>
        <v>#N/A</v>
      </c>
      <c r="R1040">
        <f t="shared" si="101"/>
        <v>0</v>
      </c>
    </row>
    <row r="1041" spans="1:18" x14ac:dyDescent="0.3">
      <c r="A1041" s="1">
        <v>1039</v>
      </c>
      <c r="B1041">
        <v>0</v>
      </c>
      <c r="C1041" t="s">
        <v>728</v>
      </c>
      <c r="D1041" t="s">
        <v>50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f t="shared" si="96"/>
        <v>0.4</v>
      </c>
      <c r="M1041">
        <f t="shared" si="97"/>
        <v>0</v>
      </c>
      <c r="N1041">
        <f t="shared" si="98"/>
        <v>0</v>
      </c>
      <c r="O1041">
        <f t="shared" si="99"/>
        <v>0</v>
      </c>
      <c r="P1041">
        <f t="shared" si="100"/>
        <v>0</v>
      </c>
      <c r="Q1041" t="e">
        <f>VLOOKUP(C1041,Sheet2!A:AU,47,0)</f>
        <v>#N/A</v>
      </c>
      <c r="R1041">
        <f t="shared" si="101"/>
        <v>0</v>
      </c>
    </row>
    <row r="1042" spans="1:18" x14ac:dyDescent="0.3">
      <c r="A1042" s="1">
        <v>1040</v>
      </c>
      <c r="B1042">
        <v>0</v>
      </c>
      <c r="C1042" t="s">
        <v>729</v>
      </c>
      <c r="D1042" t="s">
        <v>50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f t="shared" si="96"/>
        <v>0.4</v>
      </c>
      <c r="M1042">
        <f t="shared" si="97"/>
        <v>0</v>
      </c>
      <c r="N1042">
        <f t="shared" si="98"/>
        <v>0</v>
      </c>
      <c r="O1042">
        <f t="shared" si="99"/>
        <v>0</v>
      </c>
      <c r="P1042">
        <f t="shared" si="100"/>
        <v>0</v>
      </c>
      <c r="Q1042" t="e">
        <f>VLOOKUP(C1042,Sheet2!A:AU,47,0)</f>
        <v>#N/A</v>
      </c>
      <c r="R1042">
        <f t="shared" si="101"/>
        <v>0</v>
      </c>
    </row>
    <row r="1043" spans="1:18" x14ac:dyDescent="0.3">
      <c r="A1043" s="1">
        <v>1041</v>
      </c>
      <c r="B1043">
        <v>0</v>
      </c>
      <c r="C1043" t="s">
        <v>730</v>
      </c>
      <c r="D1043" t="s">
        <v>50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f t="shared" si="96"/>
        <v>0.4</v>
      </c>
      <c r="M1043">
        <f t="shared" si="97"/>
        <v>0</v>
      </c>
      <c r="N1043">
        <f t="shared" si="98"/>
        <v>0</v>
      </c>
      <c r="O1043">
        <f t="shared" si="99"/>
        <v>0</v>
      </c>
      <c r="P1043">
        <f t="shared" si="100"/>
        <v>0</v>
      </c>
      <c r="Q1043" t="e">
        <f>VLOOKUP(C1043,Sheet2!A:AU,47,0)</f>
        <v>#N/A</v>
      </c>
      <c r="R1043">
        <f t="shared" si="101"/>
        <v>0</v>
      </c>
    </row>
    <row r="1044" spans="1:18" x14ac:dyDescent="0.3">
      <c r="A1044" s="1">
        <v>1042</v>
      </c>
      <c r="B1044">
        <v>0</v>
      </c>
      <c r="C1044" t="s">
        <v>731</v>
      </c>
      <c r="D1044" t="s">
        <v>50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f t="shared" si="96"/>
        <v>0.4</v>
      </c>
      <c r="M1044">
        <f t="shared" si="97"/>
        <v>0</v>
      </c>
      <c r="N1044">
        <f t="shared" si="98"/>
        <v>0</v>
      </c>
      <c r="O1044">
        <f t="shared" si="99"/>
        <v>0</v>
      </c>
      <c r="P1044">
        <f t="shared" si="100"/>
        <v>0</v>
      </c>
      <c r="Q1044" t="e">
        <f>VLOOKUP(C1044,Sheet2!A:AU,47,0)</f>
        <v>#N/A</v>
      </c>
      <c r="R1044">
        <f t="shared" si="101"/>
        <v>0</v>
      </c>
    </row>
    <row r="1045" spans="1:18" x14ac:dyDescent="0.3">
      <c r="A1045" s="1">
        <v>1043</v>
      </c>
      <c r="B1045">
        <v>0</v>
      </c>
      <c r="C1045" t="s">
        <v>732</v>
      </c>
      <c r="D1045" t="s">
        <v>39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f t="shared" si="96"/>
        <v>0.4</v>
      </c>
      <c r="M1045">
        <f t="shared" si="97"/>
        <v>0</v>
      </c>
      <c r="N1045">
        <f t="shared" si="98"/>
        <v>0</v>
      </c>
      <c r="O1045">
        <f t="shared" si="99"/>
        <v>0</v>
      </c>
      <c r="P1045">
        <f t="shared" si="100"/>
        <v>0</v>
      </c>
      <c r="Q1045" t="e">
        <f>VLOOKUP(C1045,Sheet2!A:AU,47,0)</f>
        <v>#N/A</v>
      </c>
      <c r="R1045">
        <f t="shared" si="101"/>
        <v>0</v>
      </c>
    </row>
    <row r="1046" spans="1:18" x14ac:dyDescent="0.3">
      <c r="A1046" s="1">
        <v>1044</v>
      </c>
      <c r="B1046">
        <v>0</v>
      </c>
      <c r="C1046" t="s">
        <v>733</v>
      </c>
      <c r="D1046" t="s">
        <v>39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f t="shared" si="96"/>
        <v>0.4</v>
      </c>
      <c r="M1046">
        <f t="shared" si="97"/>
        <v>0</v>
      </c>
      <c r="N1046">
        <f t="shared" si="98"/>
        <v>0</v>
      </c>
      <c r="O1046">
        <f t="shared" si="99"/>
        <v>0</v>
      </c>
      <c r="P1046">
        <f t="shared" si="100"/>
        <v>0</v>
      </c>
      <c r="Q1046" t="e">
        <f>VLOOKUP(C1046,Sheet2!A:AU,47,0)</f>
        <v>#N/A</v>
      </c>
      <c r="R1046">
        <f t="shared" si="101"/>
        <v>0</v>
      </c>
    </row>
    <row r="1047" spans="1:18" x14ac:dyDescent="0.3">
      <c r="A1047" s="1">
        <v>1045</v>
      </c>
      <c r="B1047">
        <v>0</v>
      </c>
      <c r="C1047" t="s">
        <v>734</v>
      </c>
      <c r="D1047" t="s">
        <v>39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f t="shared" si="96"/>
        <v>0.4</v>
      </c>
      <c r="M1047">
        <f t="shared" si="97"/>
        <v>0</v>
      </c>
      <c r="N1047">
        <f t="shared" si="98"/>
        <v>0</v>
      </c>
      <c r="O1047">
        <f t="shared" si="99"/>
        <v>0</v>
      </c>
      <c r="P1047">
        <f t="shared" si="100"/>
        <v>0</v>
      </c>
      <c r="Q1047" t="e">
        <f>VLOOKUP(C1047,Sheet2!A:AU,47,0)</f>
        <v>#N/A</v>
      </c>
      <c r="R1047">
        <f t="shared" si="101"/>
        <v>0</v>
      </c>
    </row>
    <row r="1048" spans="1:18" x14ac:dyDescent="0.3">
      <c r="A1048" s="1">
        <v>1046</v>
      </c>
      <c r="B1048">
        <v>0</v>
      </c>
      <c r="C1048" t="s">
        <v>735</v>
      </c>
      <c r="D1048" t="s">
        <v>39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f t="shared" si="96"/>
        <v>0.4</v>
      </c>
      <c r="M1048">
        <f t="shared" si="97"/>
        <v>0</v>
      </c>
      <c r="N1048">
        <f t="shared" si="98"/>
        <v>0</v>
      </c>
      <c r="O1048">
        <f t="shared" si="99"/>
        <v>0</v>
      </c>
      <c r="P1048">
        <f t="shared" si="100"/>
        <v>0</v>
      </c>
      <c r="Q1048" t="e">
        <f>VLOOKUP(C1048,Sheet2!A:AU,47,0)</f>
        <v>#N/A</v>
      </c>
      <c r="R1048">
        <f t="shared" si="101"/>
        <v>0</v>
      </c>
    </row>
    <row r="1049" spans="1:18" x14ac:dyDescent="0.3">
      <c r="A1049" s="1">
        <v>1047</v>
      </c>
      <c r="B1049">
        <v>0</v>
      </c>
      <c r="C1049" t="s">
        <v>736</v>
      </c>
      <c r="D1049" t="s">
        <v>39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f t="shared" si="96"/>
        <v>0.4</v>
      </c>
      <c r="M1049">
        <f t="shared" si="97"/>
        <v>0</v>
      </c>
      <c r="N1049">
        <f t="shared" si="98"/>
        <v>0</v>
      </c>
      <c r="O1049">
        <f t="shared" si="99"/>
        <v>0</v>
      </c>
      <c r="P1049">
        <f t="shared" si="100"/>
        <v>0</v>
      </c>
      <c r="Q1049" t="e">
        <f>VLOOKUP(C1049,Sheet2!A:AU,47,0)</f>
        <v>#N/A</v>
      </c>
      <c r="R1049">
        <f t="shared" si="101"/>
        <v>0</v>
      </c>
    </row>
    <row r="1050" spans="1:18" x14ac:dyDescent="0.3">
      <c r="A1050" s="1">
        <v>1048</v>
      </c>
      <c r="B1050">
        <v>0</v>
      </c>
      <c r="C1050" t="s">
        <v>737</v>
      </c>
      <c r="D1050" t="s">
        <v>143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f t="shared" si="96"/>
        <v>0.4</v>
      </c>
      <c r="M1050">
        <f t="shared" si="97"/>
        <v>0</v>
      </c>
      <c r="N1050">
        <f t="shared" si="98"/>
        <v>0</v>
      </c>
      <c r="O1050">
        <f t="shared" si="99"/>
        <v>0</v>
      </c>
      <c r="P1050">
        <f t="shared" si="100"/>
        <v>0</v>
      </c>
      <c r="Q1050" t="e">
        <f>VLOOKUP(C1050,Sheet2!A:AU,47,0)</f>
        <v>#N/A</v>
      </c>
      <c r="R1050">
        <f t="shared" si="101"/>
        <v>0</v>
      </c>
    </row>
    <row r="1051" spans="1:18" x14ac:dyDescent="0.3">
      <c r="A1051" s="1">
        <v>1049</v>
      </c>
      <c r="B1051">
        <v>0</v>
      </c>
      <c r="C1051" t="s">
        <v>738</v>
      </c>
      <c r="D1051" t="s">
        <v>143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f t="shared" si="96"/>
        <v>0.4</v>
      </c>
      <c r="M1051">
        <f t="shared" si="97"/>
        <v>0</v>
      </c>
      <c r="N1051">
        <f t="shared" si="98"/>
        <v>0</v>
      </c>
      <c r="O1051">
        <f t="shared" si="99"/>
        <v>0</v>
      </c>
      <c r="P1051">
        <f t="shared" si="100"/>
        <v>0</v>
      </c>
      <c r="Q1051" t="e">
        <f>VLOOKUP(C1051,Sheet2!A:AU,47,0)</f>
        <v>#N/A</v>
      </c>
      <c r="R1051">
        <f t="shared" si="101"/>
        <v>0</v>
      </c>
    </row>
    <row r="1052" spans="1:18" x14ac:dyDescent="0.3">
      <c r="A1052" s="1">
        <v>1050</v>
      </c>
      <c r="B1052">
        <v>0</v>
      </c>
      <c r="C1052" t="s">
        <v>739</v>
      </c>
      <c r="D1052" t="s">
        <v>143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f t="shared" si="96"/>
        <v>0.4</v>
      </c>
      <c r="M1052">
        <f t="shared" si="97"/>
        <v>0</v>
      </c>
      <c r="N1052">
        <f t="shared" si="98"/>
        <v>0</v>
      </c>
      <c r="O1052">
        <f t="shared" si="99"/>
        <v>0</v>
      </c>
      <c r="P1052">
        <f t="shared" si="100"/>
        <v>0</v>
      </c>
      <c r="Q1052" t="e">
        <f>VLOOKUP(C1052,Sheet2!A:AU,47,0)</f>
        <v>#N/A</v>
      </c>
      <c r="R1052">
        <f t="shared" si="101"/>
        <v>0</v>
      </c>
    </row>
    <row r="1053" spans="1:18" x14ac:dyDescent="0.3">
      <c r="A1053" s="1">
        <v>1051</v>
      </c>
      <c r="B1053">
        <v>0</v>
      </c>
      <c r="C1053" t="s">
        <v>725</v>
      </c>
      <c r="D1053" t="s">
        <v>143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f t="shared" si="96"/>
        <v>0.4</v>
      </c>
      <c r="M1053">
        <f t="shared" si="97"/>
        <v>0</v>
      </c>
      <c r="N1053">
        <f t="shared" si="98"/>
        <v>0</v>
      </c>
      <c r="O1053">
        <f t="shared" si="99"/>
        <v>0</v>
      </c>
      <c r="P1053">
        <f t="shared" si="100"/>
        <v>0</v>
      </c>
      <c r="Q1053" t="e">
        <f>VLOOKUP(C1053,Sheet2!A:AU,47,0)</f>
        <v>#N/A</v>
      </c>
      <c r="R1053">
        <f t="shared" si="101"/>
        <v>0</v>
      </c>
    </row>
    <row r="1054" spans="1:18" x14ac:dyDescent="0.3">
      <c r="A1054" s="1">
        <v>1052</v>
      </c>
      <c r="B1054">
        <v>0</v>
      </c>
      <c r="C1054" t="s">
        <v>355</v>
      </c>
      <c r="D1054" t="s">
        <v>143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f t="shared" si="96"/>
        <v>0.4</v>
      </c>
      <c r="M1054">
        <f t="shared" si="97"/>
        <v>0</v>
      </c>
      <c r="N1054">
        <f t="shared" si="98"/>
        <v>0</v>
      </c>
      <c r="O1054">
        <f t="shared" si="99"/>
        <v>0</v>
      </c>
      <c r="P1054">
        <f t="shared" si="100"/>
        <v>0</v>
      </c>
      <c r="Q1054">
        <f>VLOOKUP(C1054,Sheet2!A:AU,47,0)</f>
        <v>1.0040229087178389</v>
      </c>
      <c r="R1054">
        <f t="shared" si="101"/>
        <v>1.0040229087178389</v>
      </c>
    </row>
    <row r="1055" spans="1:18" x14ac:dyDescent="0.3">
      <c r="A1055" s="1">
        <v>1053</v>
      </c>
      <c r="B1055">
        <v>0</v>
      </c>
      <c r="C1055" t="s">
        <v>740</v>
      </c>
      <c r="D1055" t="s">
        <v>143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f t="shared" si="96"/>
        <v>0.4</v>
      </c>
      <c r="M1055">
        <f t="shared" si="97"/>
        <v>0</v>
      </c>
      <c r="N1055">
        <f t="shared" si="98"/>
        <v>0</v>
      </c>
      <c r="O1055">
        <f t="shared" si="99"/>
        <v>0</v>
      </c>
      <c r="P1055">
        <f t="shared" si="100"/>
        <v>0</v>
      </c>
      <c r="Q1055" t="e">
        <f>VLOOKUP(C1055,Sheet2!A:AU,47,0)</f>
        <v>#N/A</v>
      </c>
      <c r="R1055">
        <f t="shared" si="101"/>
        <v>0</v>
      </c>
    </row>
    <row r="1056" spans="1:18" x14ac:dyDescent="0.3">
      <c r="A1056" s="1">
        <v>1054</v>
      </c>
      <c r="B1056">
        <v>0</v>
      </c>
      <c r="C1056" t="s">
        <v>741</v>
      </c>
      <c r="D1056" t="s">
        <v>143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f t="shared" si="96"/>
        <v>0.4</v>
      </c>
      <c r="M1056">
        <f t="shared" si="97"/>
        <v>0</v>
      </c>
      <c r="N1056">
        <f t="shared" si="98"/>
        <v>0</v>
      </c>
      <c r="O1056">
        <f t="shared" si="99"/>
        <v>0</v>
      </c>
      <c r="P1056">
        <f t="shared" si="100"/>
        <v>0</v>
      </c>
      <c r="Q1056" t="e">
        <f>VLOOKUP(C1056,Sheet2!A:AU,47,0)</f>
        <v>#N/A</v>
      </c>
      <c r="R1056">
        <f t="shared" si="101"/>
        <v>0</v>
      </c>
    </row>
    <row r="1057" spans="1:18" x14ac:dyDescent="0.3">
      <c r="A1057" s="1">
        <v>1055</v>
      </c>
      <c r="B1057">
        <v>0</v>
      </c>
      <c r="C1057" t="s">
        <v>485</v>
      </c>
      <c r="D1057" t="s">
        <v>111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f t="shared" si="96"/>
        <v>0.4</v>
      </c>
      <c r="M1057">
        <f t="shared" si="97"/>
        <v>0</v>
      </c>
      <c r="N1057">
        <f t="shared" si="98"/>
        <v>0</v>
      </c>
      <c r="O1057">
        <f t="shared" si="99"/>
        <v>0</v>
      </c>
      <c r="P1057">
        <f t="shared" si="100"/>
        <v>0</v>
      </c>
      <c r="Q1057">
        <f>VLOOKUP(C1057,Sheet2!A:AU,47,0)</f>
        <v>4.0294784597542357</v>
      </c>
      <c r="R1057">
        <f t="shared" si="101"/>
        <v>4.0294784597542357</v>
      </c>
    </row>
    <row r="1058" spans="1:18" x14ac:dyDescent="0.3">
      <c r="A1058" s="1">
        <v>1056</v>
      </c>
      <c r="B1058">
        <v>0</v>
      </c>
      <c r="C1058" t="s">
        <v>742</v>
      </c>
      <c r="D1058" t="s">
        <v>111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f t="shared" si="96"/>
        <v>0.4</v>
      </c>
      <c r="M1058">
        <f t="shared" si="97"/>
        <v>0</v>
      </c>
      <c r="N1058">
        <f t="shared" si="98"/>
        <v>0</v>
      </c>
      <c r="O1058">
        <f t="shared" si="99"/>
        <v>0</v>
      </c>
      <c r="P1058">
        <f t="shared" si="100"/>
        <v>0</v>
      </c>
      <c r="Q1058" t="e">
        <f>VLOOKUP(C1058,Sheet2!A:AU,47,0)</f>
        <v>#N/A</v>
      </c>
      <c r="R1058">
        <f t="shared" si="101"/>
        <v>0</v>
      </c>
    </row>
    <row r="1059" spans="1:18" x14ac:dyDescent="0.3">
      <c r="A1059" s="1">
        <v>1057</v>
      </c>
      <c r="B1059">
        <v>0</v>
      </c>
      <c r="C1059" t="s">
        <v>743</v>
      </c>
      <c r="D1059" t="s">
        <v>111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f t="shared" si="96"/>
        <v>0.4</v>
      </c>
      <c r="M1059">
        <f t="shared" si="97"/>
        <v>0</v>
      </c>
      <c r="N1059">
        <f t="shared" si="98"/>
        <v>0</v>
      </c>
      <c r="O1059">
        <f t="shared" si="99"/>
        <v>0</v>
      </c>
      <c r="P1059">
        <f t="shared" si="100"/>
        <v>0</v>
      </c>
      <c r="Q1059" t="e">
        <f>VLOOKUP(C1059,Sheet2!A:AU,47,0)</f>
        <v>#N/A</v>
      </c>
      <c r="R1059">
        <f t="shared" si="101"/>
        <v>0</v>
      </c>
    </row>
    <row r="1060" spans="1:18" x14ac:dyDescent="0.3">
      <c r="A1060" s="1">
        <v>1058</v>
      </c>
      <c r="B1060">
        <v>0</v>
      </c>
      <c r="C1060" t="s">
        <v>744</v>
      </c>
      <c r="D1060" t="s">
        <v>97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f t="shared" si="96"/>
        <v>0.4</v>
      </c>
      <c r="M1060">
        <f t="shared" si="97"/>
        <v>0</v>
      </c>
      <c r="N1060">
        <f t="shared" si="98"/>
        <v>0</v>
      </c>
      <c r="O1060">
        <f t="shared" si="99"/>
        <v>0</v>
      </c>
      <c r="P1060">
        <f t="shared" si="100"/>
        <v>0</v>
      </c>
      <c r="Q1060" t="e">
        <f>VLOOKUP(C1060,Sheet2!A:AU,47,0)</f>
        <v>#N/A</v>
      </c>
      <c r="R1060">
        <f t="shared" si="101"/>
        <v>0</v>
      </c>
    </row>
    <row r="1061" spans="1:18" x14ac:dyDescent="0.3">
      <c r="A1061" s="1">
        <v>1059</v>
      </c>
      <c r="B1061">
        <v>0</v>
      </c>
      <c r="C1061" t="s">
        <v>745</v>
      </c>
      <c r="D1061" t="s">
        <v>97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f t="shared" si="96"/>
        <v>0.4</v>
      </c>
      <c r="M1061">
        <f t="shared" si="97"/>
        <v>0</v>
      </c>
      <c r="N1061">
        <f t="shared" si="98"/>
        <v>0</v>
      </c>
      <c r="O1061">
        <f t="shared" si="99"/>
        <v>0</v>
      </c>
      <c r="P1061">
        <f t="shared" si="100"/>
        <v>0</v>
      </c>
      <c r="Q1061" t="e">
        <f>VLOOKUP(C1061,Sheet2!A:AU,47,0)</f>
        <v>#N/A</v>
      </c>
      <c r="R1061">
        <f t="shared" si="101"/>
        <v>0</v>
      </c>
    </row>
    <row r="1062" spans="1:18" x14ac:dyDescent="0.3">
      <c r="A1062" s="1">
        <v>1060</v>
      </c>
      <c r="B1062">
        <v>0</v>
      </c>
      <c r="C1062" t="s">
        <v>746</v>
      </c>
      <c r="D1062" t="s">
        <v>97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f t="shared" si="96"/>
        <v>0.4</v>
      </c>
      <c r="M1062">
        <f t="shared" si="97"/>
        <v>0</v>
      </c>
      <c r="N1062">
        <f t="shared" si="98"/>
        <v>0</v>
      </c>
      <c r="O1062">
        <f t="shared" si="99"/>
        <v>0</v>
      </c>
      <c r="P1062">
        <f t="shared" si="100"/>
        <v>0</v>
      </c>
      <c r="Q1062" t="e">
        <f>VLOOKUP(C1062,Sheet2!A:AU,47,0)</f>
        <v>#N/A</v>
      </c>
      <c r="R1062">
        <f t="shared" si="101"/>
        <v>0</v>
      </c>
    </row>
    <row r="1063" spans="1:18" x14ac:dyDescent="0.3">
      <c r="A1063" s="1">
        <v>1061</v>
      </c>
      <c r="B1063">
        <v>0</v>
      </c>
      <c r="C1063" t="s">
        <v>747</v>
      </c>
      <c r="D1063" t="s">
        <v>97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f t="shared" si="96"/>
        <v>0.4</v>
      </c>
      <c r="M1063">
        <f t="shared" si="97"/>
        <v>0</v>
      </c>
      <c r="N1063">
        <f t="shared" si="98"/>
        <v>0</v>
      </c>
      <c r="O1063">
        <f t="shared" si="99"/>
        <v>0</v>
      </c>
      <c r="P1063">
        <f t="shared" si="100"/>
        <v>0</v>
      </c>
      <c r="Q1063" t="e">
        <f>VLOOKUP(C1063,Sheet2!A:AU,47,0)</f>
        <v>#N/A</v>
      </c>
      <c r="R1063">
        <f t="shared" si="101"/>
        <v>0</v>
      </c>
    </row>
    <row r="1064" spans="1:18" x14ac:dyDescent="0.3">
      <c r="A1064" s="1">
        <v>1062</v>
      </c>
      <c r="B1064">
        <v>0</v>
      </c>
      <c r="C1064" t="s">
        <v>748</v>
      </c>
      <c r="D1064" t="s">
        <v>97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f t="shared" si="96"/>
        <v>0.4</v>
      </c>
      <c r="M1064">
        <f t="shared" si="97"/>
        <v>0</v>
      </c>
      <c r="N1064">
        <f t="shared" si="98"/>
        <v>0</v>
      </c>
      <c r="O1064">
        <f t="shared" si="99"/>
        <v>0</v>
      </c>
      <c r="P1064">
        <f t="shared" si="100"/>
        <v>0</v>
      </c>
      <c r="Q1064" t="e">
        <f>VLOOKUP(C1064,Sheet2!A:AU,47,0)</f>
        <v>#N/A</v>
      </c>
      <c r="R1064">
        <f t="shared" si="101"/>
        <v>0</v>
      </c>
    </row>
    <row r="1065" spans="1:18" x14ac:dyDescent="0.3">
      <c r="A1065" s="1">
        <v>1063</v>
      </c>
      <c r="B1065">
        <v>0</v>
      </c>
      <c r="C1065" t="s">
        <v>749</v>
      </c>
      <c r="D1065" t="s">
        <v>97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f t="shared" si="96"/>
        <v>0.4</v>
      </c>
      <c r="M1065">
        <f t="shared" si="97"/>
        <v>0</v>
      </c>
      <c r="N1065">
        <f t="shared" si="98"/>
        <v>0</v>
      </c>
      <c r="O1065">
        <f t="shared" si="99"/>
        <v>0</v>
      </c>
      <c r="P1065">
        <f t="shared" si="100"/>
        <v>0</v>
      </c>
      <c r="Q1065" t="e">
        <f>VLOOKUP(C1065,Sheet2!A:AU,47,0)</f>
        <v>#N/A</v>
      </c>
      <c r="R1065">
        <f t="shared" si="101"/>
        <v>0</v>
      </c>
    </row>
    <row r="1066" spans="1:18" x14ac:dyDescent="0.3">
      <c r="A1066" s="1">
        <v>1064</v>
      </c>
      <c r="B1066">
        <v>0</v>
      </c>
      <c r="C1066" t="s">
        <v>750</v>
      </c>
      <c r="D1066" t="s">
        <v>97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f t="shared" si="96"/>
        <v>0.4</v>
      </c>
      <c r="M1066">
        <f t="shared" si="97"/>
        <v>0</v>
      </c>
      <c r="N1066">
        <f t="shared" si="98"/>
        <v>0</v>
      </c>
      <c r="O1066">
        <f t="shared" si="99"/>
        <v>0</v>
      </c>
      <c r="P1066">
        <f t="shared" si="100"/>
        <v>0</v>
      </c>
      <c r="Q1066" t="e">
        <f>VLOOKUP(C1066,Sheet2!A:AU,47,0)</f>
        <v>#N/A</v>
      </c>
      <c r="R1066">
        <f t="shared" si="101"/>
        <v>0</v>
      </c>
    </row>
    <row r="1067" spans="1:18" x14ac:dyDescent="0.3">
      <c r="A1067" s="1">
        <v>1065</v>
      </c>
      <c r="B1067">
        <v>0</v>
      </c>
      <c r="C1067" t="s">
        <v>751</v>
      </c>
      <c r="D1067" t="s">
        <v>97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f t="shared" si="96"/>
        <v>0.4</v>
      </c>
      <c r="M1067">
        <f t="shared" si="97"/>
        <v>0</v>
      </c>
      <c r="N1067">
        <f t="shared" si="98"/>
        <v>0</v>
      </c>
      <c r="O1067">
        <f t="shared" si="99"/>
        <v>0</v>
      </c>
      <c r="P1067">
        <f t="shared" si="100"/>
        <v>0</v>
      </c>
      <c r="Q1067" t="e">
        <f>VLOOKUP(C1067,Sheet2!A:AU,47,0)</f>
        <v>#N/A</v>
      </c>
      <c r="R1067">
        <f t="shared" si="101"/>
        <v>0</v>
      </c>
    </row>
    <row r="1068" spans="1:18" x14ac:dyDescent="0.3">
      <c r="A1068" s="1">
        <v>1066</v>
      </c>
      <c r="B1068">
        <v>0</v>
      </c>
      <c r="C1068" t="s">
        <v>752</v>
      </c>
      <c r="D1068" t="s">
        <v>97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f t="shared" si="96"/>
        <v>0.4</v>
      </c>
      <c r="M1068">
        <f t="shared" si="97"/>
        <v>0</v>
      </c>
      <c r="N1068">
        <f t="shared" si="98"/>
        <v>0</v>
      </c>
      <c r="O1068">
        <f t="shared" si="99"/>
        <v>0</v>
      </c>
      <c r="P1068">
        <f t="shared" si="100"/>
        <v>0</v>
      </c>
      <c r="Q1068" t="e">
        <f>VLOOKUP(C1068,Sheet2!A:AU,47,0)</f>
        <v>#N/A</v>
      </c>
      <c r="R1068">
        <f t="shared" si="101"/>
        <v>0</v>
      </c>
    </row>
    <row r="1069" spans="1:18" x14ac:dyDescent="0.3">
      <c r="A1069" s="1">
        <v>1067</v>
      </c>
      <c r="B1069">
        <v>0</v>
      </c>
      <c r="C1069" t="s">
        <v>753</v>
      </c>
      <c r="D1069" t="s">
        <v>97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f t="shared" si="96"/>
        <v>0.4</v>
      </c>
      <c r="M1069">
        <f t="shared" si="97"/>
        <v>0</v>
      </c>
      <c r="N1069">
        <f t="shared" si="98"/>
        <v>0</v>
      </c>
      <c r="O1069">
        <f t="shared" si="99"/>
        <v>0</v>
      </c>
      <c r="P1069">
        <f t="shared" si="100"/>
        <v>0</v>
      </c>
      <c r="Q1069" t="e">
        <f>VLOOKUP(C1069,Sheet2!A:AU,47,0)</f>
        <v>#N/A</v>
      </c>
      <c r="R1069">
        <f t="shared" si="101"/>
        <v>0</v>
      </c>
    </row>
    <row r="1070" spans="1:18" x14ac:dyDescent="0.3">
      <c r="A1070" s="1">
        <v>1068</v>
      </c>
      <c r="B1070">
        <v>0</v>
      </c>
      <c r="C1070" t="s">
        <v>754</v>
      </c>
      <c r="D1070" t="s">
        <v>97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f t="shared" si="96"/>
        <v>0.4</v>
      </c>
      <c r="M1070">
        <f t="shared" si="97"/>
        <v>0</v>
      </c>
      <c r="N1070">
        <f t="shared" si="98"/>
        <v>0</v>
      </c>
      <c r="O1070">
        <f t="shared" si="99"/>
        <v>0</v>
      </c>
      <c r="P1070">
        <f t="shared" si="100"/>
        <v>0</v>
      </c>
      <c r="Q1070" t="e">
        <f>VLOOKUP(C1070,Sheet2!A:AU,47,0)</f>
        <v>#N/A</v>
      </c>
      <c r="R1070">
        <f t="shared" si="101"/>
        <v>0</v>
      </c>
    </row>
    <row r="1071" spans="1:18" x14ac:dyDescent="0.3">
      <c r="A1071" s="1">
        <v>1069</v>
      </c>
      <c r="B1071">
        <v>0</v>
      </c>
      <c r="C1071" t="s">
        <v>755</v>
      </c>
      <c r="D1071" t="s">
        <v>97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f t="shared" si="96"/>
        <v>0.4</v>
      </c>
      <c r="M1071">
        <f t="shared" si="97"/>
        <v>0</v>
      </c>
      <c r="N1071">
        <f t="shared" si="98"/>
        <v>0</v>
      </c>
      <c r="O1071">
        <f t="shared" si="99"/>
        <v>0</v>
      </c>
      <c r="P1071">
        <f t="shared" si="100"/>
        <v>0</v>
      </c>
      <c r="Q1071" t="e">
        <f>VLOOKUP(C1071,Sheet2!A:AU,47,0)</f>
        <v>#N/A</v>
      </c>
      <c r="R1071">
        <f t="shared" si="101"/>
        <v>0</v>
      </c>
    </row>
    <row r="1072" spans="1:18" x14ac:dyDescent="0.3">
      <c r="A1072" s="1">
        <v>1070</v>
      </c>
      <c r="B1072">
        <v>0</v>
      </c>
      <c r="C1072" t="s">
        <v>756</v>
      </c>
      <c r="D1072" t="s">
        <v>97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f t="shared" si="96"/>
        <v>0.4</v>
      </c>
      <c r="M1072">
        <f t="shared" si="97"/>
        <v>0</v>
      </c>
      <c r="N1072">
        <f t="shared" si="98"/>
        <v>0</v>
      </c>
      <c r="O1072">
        <f t="shared" si="99"/>
        <v>0</v>
      </c>
      <c r="P1072">
        <f t="shared" si="100"/>
        <v>0</v>
      </c>
      <c r="Q1072" t="e">
        <f>VLOOKUP(C1072,Sheet2!A:AU,47,0)</f>
        <v>#N/A</v>
      </c>
      <c r="R1072">
        <f t="shared" si="101"/>
        <v>0</v>
      </c>
    </row>
    <row r="1073" spans="1:18" x14ac:dyDescent="0.3">
      <c r="A1073" s="1">
        <v>1071</v>
      </c>
      <c r="B1073">
        <v>0</v>
      </c>
      <c r="C1073" t="s">
        <v>757</v>
      </c>
      <c r="D1073" t="s">
        <v>222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f t="shared" si="96"/>
        <v>0.4</v>
      </c>
      <c r="M1073">
        <f t="shared" si="97"/>
        <v>0</v>
      </c>
      <c r="N1073">
        <f t="shared" si="98"/>
        <v>0</v>
      </c>
      <c r="O1073">
        <f t="shared" si="99"/>
        <v>0</v>
      </c>
      <c r="P1073">
        <f t="shared" si="100"/>
        <v>0</v>
      </c>
      <c r="Q1073" t="e">
        <f>VLOOKUP(C1073,Sheet2!A:AU,47,0)</f>
        <v>#N/A</v>
      </c>
      <c r="R1073">
        <f t="shared" si="101"/>
        <v>0</v>
      </c>
    </row>
    <row r="1074" spans="1:18" x14ac:dyDescent="0.3">
      <c r="A1074" s="1">
        <v>1072</v>
      </c>
      <c r="B1074">
        <v>0</v>
      </c>
      <c r="C1074" t="s">
        <v>758</v>
      </c>
      <c r="D1074" t="s">
        <v>222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f t="shared" si="96"/>
        <v>0.4</v>
      </c>
      <c r="M1074">
        <f t="shared" si="97"/>
        <v>0</v>
      </c>
      <c r="N1074">
        <f t="shared" si="98"/>
        <v>0</v>
      </c>
      <c r="O1074">
        <f t="shared" si="99"/>
        <v>0</v>
      </c>
      <c r="P1074">
        <f t="shared" si="100"/>
        <v>0</v>
      </c>
      <c r="Q1074" t="e">
        <f>VLOOKUP(C1074,Sheet2!A:AU,47,0)</f>
        <v>#N/A</v>
      </c>
      <c r="R1074">
        <f t="shared" si="101"/>
        <v>0</v>
      </c>
    </row>
    <row r="1075" spans="1:18" x14ac:dyDescent="0.3">
      <c r="A1075" s="1">
        <v>1073</v>
      </c>
      <c r="B1075">
        <v>0</v>
      </c>
      <c r="C1075" t="s">
        <v>759</v>
      </c>
      <c r="D1075" t="s">
        <v>222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f t="shared" si="96"/>
        <v>0.4</v>
      </c>
      <c r="M1075">
        <f t="shared" si="97"/>
        <v>0</v>
      </c>
      <c r="N1075">
        <f t="shared" si="98"/>
        <v>0</v>
      </c>
      <c r="O1075">
        <f t="shared" si="99"/>
        <v>0</v>
      </c>
      <c r="P1075">
        <f t="shared" si="100"/>
        <v>0</v>
      </c>
      <c r="Q1075" t="e">
        <f>VLOOKUP(C1075,Sheet2!A:AU,47,0)</f>
        <v>#N/A</v>
      </c>
      <c r="R1075">
        <f t="shared" si="101"/>
        <v>0</v>
      </c>
    </row>
    <row r="1076" spans="1:18" x14ac:dyDescent="0.3">
      <c r="A1076" s="1">
        <v>1074</v>
      </c>
      <c r="B1076">
        <v>0</v>
      </c>
      <c r="C1076" t="s">
        <v>760</v>
      </c>
      <c r="D1076" t="s">
        <v>222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f t="shared" si="96"/>
        <v>0.4</v>
      </c>
      <c r="M1076">
        <f t="shared" si="97"/>
        <v>0</v>
      </c>
      <c r="N1076">
        <f t="shared" si="98"/>
        <v>0</v>
      </c>
      <c r="O1076">
        <f t="shared" si="99"/>
        <v>0</v>
      </c>
      <c r="P1076">
        <f t="shared" si="100"/>
        <v>0</v>
      </c>
      <c r="Q1076" t="e">
        <f>VLOOKUP(C1076,Sheet2!A:AU,47,0)</f>
        <v>#N/A</v>
      </c>
      <c r="R1076">
        <f t="shared" si="101"/>
        <v>0</v>
      </c>
    </row>
    <row r="1077" spans="1:18" x14ac:dyDescent="0.3">
      <c r="A1077" s="1">
        <v>1075</v>
      </c>
      <c r="B1077">
        <v>0</v>
      </c>
      <c r="C1077" t="s">
        <v>761</v>
      </c>
      <c r="D1077" t="s">
        <v>222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f t="shared" si="96"/>
        <v>0.4</v>
      </c>
      <c r="M1077">
        <f t="shared" si="97"/>
        <v>0</v>
      </c>
      <c r="N1077">
        <f t="shared" si="98"/>
        <v>0</v>
      </c>
      <c r="O1077">
        <f t="shared" si="99"/>
        <v>0</v>
      </c>
      <c r="P1077">
        <f t="shared" si="100"/>
        <v>0</v>
      </c>
      <c r="Q1077" t="e">
        <f>VLOOKUP(C1077,Sheet2!A:AU,47,0)</f>
        <v>#N/A</v>
      </c>
      <c r="R1077">
        <f t="shared" si="101"/>
        <v>0</v>
      </c>
    </row>
    <row r="1078" spans="1:18" x14ac:dyDescent="0.3">
      <c r="A1078" s="1">
        <v>1076</v>
      </c>
      <c r="B1078">
        <v>0</v>
      </c>
      <c r="C1078" t="s">
        <v>762</v>
      </c>
      <c r="D1078" t="s">
        <v>77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f t="shared" si="96"/>
        <v>0.4</v>
      </c>
      <c r="M1078">
        <f t="shared" si="97"/>
        <v>0</v>
      </c>
      <c r="N1078">
        <f t="shared" si="98"/>
        <v>0</v>
      </c>
      <c r="O1078">
        <f t="shared" si="99"/>
        <v>0</v>
      </c>
      <c r="P1078">
        <f t="shared" si="100"/>
        <v>0</v>
      </c>
      <c r="Q1078" t="e">
        <f>VLOOKUP(C1078,Sheet2!A:AU,47,0)</f>
        <v>#N/A</v>
      </c>
      <c r="R1078">
        <f t="shared" si="101"/>
        <v>0</v>
      </c>
    </row>
    <row r="1079" spans="1:18" x14ac:dyDescent="0.3">
      <c r="A1079" s="1">
        <v>1077</v>
      </c>
      <c r="B1079">
        <v>0</v>
      </c>
      <c r="C1079" t="s">
        <v>763</v>
      </c>
      <c r="D1079" t="s">
        <v>77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f t="shared" si="96"/>
        <v>0.4</v>
      </c>
      <c r="M1079">
        <f t="shared" si="97"/>
        <v>0</v>
      </c>
      <c r="N1079">
        <f t="shared" si="98"/>
        <v>0</v>
      </c>
      <c r="O1079">
        <f t="shared" si="99"/>
        <v>0</v>
      </c>
      <c r="P1079">
        <f t="shared" si="100"/>
        <v>0</v>
      </c>
      <c r="Q1079" t="e">
        <f>VLOOKUP(C1079,Sheet2!A:AU,47,0)</f>
        <v>#N/A</v>
      </c>
      <c r="R1079">
        <f t="shared" si="101"/>
        <v>0</v>
      </c>
    </row>
    <row r="1080" spans="1:18" x14ac:dyDescent="0.3">
      <c r="A1080" s="1">
        <v>1078</v>
      </c>
      <c r="B1080">
        <v>0</v>
      </c>
      <c r="C1080" t="s">
        <v>764</v>
      </c>
      <c r="D1080" t="s">
        <v>77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f t="shared" si="96"/>
        <v>0.4</v>
      </c>
      <c r="M1080">
        <f t="shared" si="97"/>
        <v>0</v>
      </c>
      <c r="N1080">
        <f t="shared" si="98"/>
        <v>0</v>
      </c>
      <c r="O1080">
        <f t="shared" si="99"/>
        <v>0</v>
      </c>
      <c r="P1080">
        <f t="shared" si="100"/>
        <v>0</v>
      </c>
      <c r="Q1080" t="e">
        <f>VLOOKUP(C1080,Sheet2!A:AU,47,0)</f>
        <v>#N/A</v>
      </c>
      <c r="R1080">
        <f t="shared" si="101"/>
        <v>0</v>
      </c>
    </row>
    <row r="1081" spans="1:18" x14ac:dyDescent="0.3">
      <c r="A1081" s="1">
        <v>1079</v>
      </c>
      <c r="B1081">
        <v>0</v>
      </c>
      <c r="C1081" t="s">
        <v>765</v>
      </c>
      <c r="D1081" t="s">
        <v>77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f t="shared" si="96"/>
        <v>0.4</v>
      </c>
      <c r="M1081">
        <f t="shared" si="97"/>
        <v>0</v>
      </c>
      <c r="N1081">
        <f t="shared" si="98"/>
        <v>0</v>
      </c>
      <c r="O1081">
        <f t="shared" si="99"/>
        <v>0</v>
      </c>
      <c r="P1081">
        <f t="shared" si="100"/>
        <v>0</v>
      </c>
      <c r="Q1081" t="e">
        <f>VLOOKUP(C1081,Sheet2!A:AU,47,0)</f>
        <v>#N/A</v>
      </c>
      <c r="R1081">
        <f t="shared" si="101"/>
        <v>0</v>
      </c>
    </row>
    <row r="1082" spans="1:18" x14ac:dyDescent="0.3">
      <c r="A1082" s="1">
        <v>1080</v>
      </c>
      <c r="B1082">
        <v>0</v>
      </c>
      <c r="C1082" t="s">
        <v>766</v>
      </c>
      <c r="D1082" t="s">
        <v>77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f t="shared" si="96"/>
        <v>0.4</v>
      </c>
      <c r="M1082">
        <f t="shared" si="97"/>
        <v>0</v>
      </c>
      <c r="N1082">
        <f t="shared" si="98"/>
        <v>0</v>
      </c>
      <c r="O1082">
        <f t="shared" si="99"/>
        <v>0</v>
      </c>
      <c r="P1082">
        <f t="shared" si="100"/>
        <v>0</v>
      </c>
      <c r="Q1082" t="e">
        <f>VLOOKUP(C1082,Sheet2!A:AU,47,0)</f>
        <v>#N/A</v>
      </c>
      <c r="R1082">
        <f t="shared" si="101"/>
        <v>0</v>
      </c>
    </row>
    <row r="1083" spans="1:18" x14ac:dyDescent="0.3">
      <c r="A1083" s="1">
        <v>1081</v>
      </c>
      <c r="B1083">
        <v>0</v>
      </c>
      <c r="C1083" t="s">
        <v>767</v>
      </c>
      <c r="D1083" t="s">
        <v>77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f t="shared" si="96"/>
        <v>0.4</v>
      </c>
      <c r="M1083">
        <f t="shared" si="97"/>
        <v>0</v>
      </c>
      <c r="N1083">
        <f t="shared" si="98"/>
        <v>0</v>
      </c>
      <c r="O1083">
        <f t="shared" si="99"/>
        <v>0</v>
      </c>
      <c r="P1083">
        <f t="shared" si="100"/>
        <v>0</v>
      </c>
      <c r="Q1083" t="e">
        <f>VLOOKUP(C1083,Sheet2!A:AU,47,0)</f>
        <v>#N/A</v>
      </c>
      <c r="R1083">
        <f t="shared" si="101"/>
        <v>0</v>
      </c>
    </row>
    <row r="1084" spans="1:18" x14ac:dyDescent="0.3">
      <c r="A1084" s="1">
        <v>1082</v>
      </c>
      <c r="B1084">
        <v>0</v>
      </c>
      <c r="C1084" t="s">
        <v>768</v>
      </c>
      <c r="D1084" t="s">
        <v>77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f t="shared" si="96"/>
        <v>0.4</v>
      </c>
      <c r="M1084">
        <f t="shared" si="97"/>
        <v>0</v>
      </c>
      <c r="N1084">
        <f t="shared" si="98"/>
        <v>0</v>
      </c>
      <c r="O1084">
        <f t="shared" si="99"/>
        <v>0</v>
      </c>
      <c r="P1084">
        <f t="shared" si="100"/>
        <v>0</v>
      </c>
      <c r="Q1084" t="e">
        <f>VLOOKUP(C1084,Sheet2!A:AU,47,0)</f>
        <v>#N/A</v>
      </c>
      <c r="R1084">
        <f t="shared" si="101"/>
        <v>0</v>
      </c>
    </row>
    <row r="1085" spans="1:18" x14ac:dyDescent="0.3">
      <c r="A1085" s="1">
        <v>1083</v>
      </c>
      <c r="B1085">
        <v>0</v>
      </c>
      <c r="C1085" t="s">
        <v>769</v>
      </c>
      <c r="D1085" t="s">
        <v>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f t="shared" si="96"/>
        <v>0.4</v>
      </c>
      <c r="M1085">
        <f t="shared" si="97"/>
        <v>0</v>
      </c>
      <c r="N1085">
        <f t="shared" si="98"/>
        <v>0</v>
      </c>
      <c r="O1085">
        <f t="shared" si="99"/>
        <v>0</v>
      </c>
      <c r="P1085">
        <f t="shared" si="100"/>
        <v>0</v>
      </c>
      <c r="Q1085" t="e">
        <f>VLOOKUP(C1085,Sheet2!A:AU,47,0)</f>
        <v>#N/A</v>
      </c>
      <c r="R1085">
        <f t="shared" si="101"/>
        <v>0</v>
      </c>
    </row>
    <row r="1086" spans="1:18" x14ac:dyDescent="0.3">
      <c r="A1086" s="1">
        <v>1084</v>
      </c>
      <c r="B1086">
        <v>0</v>
      </c>
      <c r="C1086" t="s">
        <v>770</v>
      </c>
      <c r="D1086" t="s">
        <v>77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f t="shared" si="96"/>
        <v>0.4</v>
      </c>
      <c r="M1086">
        <f t="shared" si="97"/>
        <v>0</v>
      </c>
      <c r="N1086">
        <f t="shared" si="98"/>
        <v>0</v>
      </c>
      <c r="O1086">
        <f t="shared" si="99"/>
        <v>0</v>
      </c>
      <c r="P1086">
        <f t="shared" si="100"/>
        <v>0</v>
      </c>
      <c r="Q1086" t="e">
        <f>VLOOKUP(C1086,Sheet2!A:AU,47,0)</f>
        <v>#N/A</v>
      </c>
      <c r="R1086">
        <f t="shared" si="101"/>
        <v>0</v>
      </c>
    </row>
    <row r="1087" spans="1:18" x14ac:dyDescent="0.3">
      <c r="A1087" s="1">
        <v>1085</v>
      </c>
      <c r="B1087">
        <v>0</v>
      </c>
      <c r="C1087" t="s">
        <v>771</v>
      </c>
      <c r="D1087" t="s">
        <v>77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f t="shared" si="96"/>
        <v>0.4</v>
      </c>
      <c r="M1087">
        <f t="shared" si="97"/>
        <v>0</v>
      </c>
      <c r="N1087">
        <f t="shared" si="98"/>
        <v>0</v>
      </c>
      <c r="O1087">
        <f t="shared" si="99"/>
        <v>0</v>
      </c>
      <c r="P1087">
        <f t="shared" si="100"/>
        <v>0</v>
      </c>
      <c r="Q1087" t="e">
        <f>VLOOKUP(C1087,Sheet2!A:AU,47,0)</f>
        <v>#N/A</v>
      </c>
      <c r="R1087">
        <f t="shared" si="101"/>
        <v>0</v>
      </c>
    </row>
    <row r="1088" spans="1:18" x14ac:dyDescent="0.3">
      <c r="A1088" s="1">
        <v>1086</v>
      </c>
      <c r="B1088">
        <v>0</v>
      </c>
      <c r="C1088" t="s">
        <v>772</v>
      </c>
      <c r="D1088" t="s">
        <v>164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f t="shared" si="96"/>
        <v>0.4</v>
      </c>
      <c r="M1088">
        <f t="shared" si="97"/>
        <v>0</v>
      </c>
      <c r="N1088">
        <f t="shared" si="98"/>
        <v>0</v>
      </c>
      <c r="O1088">
        <f t="shared" si="99"/>
        <v>0</v>
      </c>
      <c r="P1088">
        <f t="shared" si="100"/>
        <v>0</v>
      </c>
      <c r="Q1088" t="e">
        <f>VLOOKUP(C1088,Sheet2!A:AU,47,0)</f>
        <v>#N/A</v>
      </c>
      <c r="R1088">
        <f t="shared" si="101"/>
        <v>0</v>
      </c>
    </row>
    <row r="1089" spans="1:18" x14ac:dyDescent="0.3">
      <c r="A1089" s="1">
        <v>1087</v>
      </c>
      <c r="B1089">
        <v>0</v>
      </c>
      <c r="C1089" t="s">
        <v>773</v>
      </c>
      <c r="D1089" t="s">
        <v>164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f t="shared" si="96"/>
        <v>0.4</v>
      </c>
      <c r="M1089">
        <f t="shared" si="97"/>
        <v>0</v>
      </c>
      <c r="N1089">
        <f t="shared" si="98"/>
        <v>0</v>
      </c>
      <c r="O1089">
        <f t="shared" si="99"/>
        <v>0</v>
      </c>
      <c r="P1089">
        <f t="shared" si="100"/>
        <v>0</v>
      </c>
      <c r="Q1089" t="e">
        <f>VLOOKUP(C1089,Sheet2!A:AU,47,0)</f>
        <v>#N/A</v>
      </c>
      <c r="R1089">
        <f t="shared" si="101"/>
        <v>0</v>
      </c>
    </row>
    <row r="1090" spans="1:18" x14ac:dyDescent="0.3">
      <c r="A1090" s="1">
        <v>1088</v>
      </c>
      <c r="B1090">
        <v>0</v>
      </c>
      <c r="C1090" t="s">
        <v>774</v>
      </c>
      <c r="D1090" t="s">
        <v>164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f t="shared" si="96"/>
        <v>0.4</v>
      </c>
      <c r="M1090">
        <f t="shared" si="97"/>
        <v>0</v>
      </c>
      <c r="N1090">
        <f t="shared" si="98"/>
        <v>0</v>
      </c>
      <c r="O1090">
        <f t="shared" si="99"/>
        <v>0</v>
      </c>
      <c r="P1090">
        <f t="shared" si="100"/>
        <v>0</v>
      </c>
      <c r="Q1090" t="e">
        <f>VLOOKUP(C1090,Sheet2!A:AU,47,0)</f>
        <v>#N/A</v>
      </c>
      <c r="R1090">
        <f t="shared" si="101"/>
        <v>0</v>
      </c>
    </row>
    <row r="1091" spans="1:18" x14ac:dyDescent="0.3">
      <c r="A1091" s="1">
        <v>1089</v>
      </c>
      <c r="B1091">
        <v>0</v>
      </c>
      <c r="C1091" t="s">
        <v>775</v>
      </c>
      <c r="D1091" t="s">
        <v>164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f t="shared" ref="L1091:L1154" si="102">MAX(H:H)</f>
        <v>0.4</v>
      </c>
      <c r="M1091">
        <f t="shared" ref="M1091:M1154" si="103">MIN(H:H)</f>
        <v>0</v>
      </c>
      <c r="N1091">
        <f t="shared" ref="N1091:N1154" si="104">(H1091-M1091)/(L1091-M1091)</f>
        <v>0</v>
      </c>
      <c r="O1091">
        <f t="shared" ref="O1091:O1154" si="105">N1091*0.0442</f>
        <v>0</v>
      </c>
      <c r="P1091">
        <f t="shared" ref="P1091:P1154" si="106">O1091*100</f>
        <v>0</v>
      </c>
      <c r="Q1091" t="e">
        <f>VLOOKUP(C1091,Sheet2!A:AU,47,0)</f>
        <v>#N/A</v>
      </c>
      <c r="R1091">
        <f t="shared" ref="R1091:R1154" si="107">IFERROR((P1091+Q1091),0)</f>
        <v>0</v>
      </c>
    </row>
    <row r="1092" spans="1:18" x14ac:dyDescent="0.3">
      <c r="A1092" s="1">
        <v>1090</v>
      </c>
      <c r="B1092">
        <v>0</v>
      </c>
      <c r="C1092" t="s">
        <v>776</v>
      </c>
      <c r="D1092" t="s">
        <v>164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f t="shared" si="102"/>
        <v>0.4</v>
      </c>
      <c r="M1092">
        <f t="shared" si="103"/>
        <v>0</v>
      </c>
      <c r="N1092">
        <f t="shared" si="104"/>
        <v>0</v>
      </c>
      <c r="O1092">
        <f t="shared" si="105"/>
        <v>0</v>
      </c>
      <c r="P1092">
        <f t="shared" si="106"/>
        <v>0</v>
      </c>
      <c r="Q1092" t="e">
        <f>VLOOKUP(C1092,Sheet2!A:AU,47,0)</f>
        <v>#N/A</v>
      </c>
      <c r="R1092">
        <f t="shared" si="107"/>
        <v>0</v>
      </c>
    </row>
    <row r="1093" spans="1:18" x14ac:dyDescent="0.3">
      <c r="A1093" s="1">
        <v>1091</v>
      </c>
      <c r="B1093">
        <v>0</v>
      </c>
      <c r="C1093" t="s">
        <v>777</v>
      </c>
      <c r="D1093" t="s">
        <v>164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f t="shared" si="102"/>
        <v>0.4</v>
      </c>
      <c r="M1093">
        <f t="shared" si="103"/>
        <v>0</v>
      </c>
      <c r="N1093">
        <f t="shared" si="104"/>
        <v>0</v>
      </c>
      <c r="O1093">
        <f t="shared" si="105"/>
        <v>0</v>
      </c>
      <c r="P1093">
        <f t="shared" si="106"/>
        <v>0</v>
      </c>
      <c r="Q1093" t="e">
        <f>VLOOKUP(C1093,Sheet2!A:AU,47,0)</f>
        <v>#N/A</v>
      </c>
      <c r="R1093">
        <f t="shared" si="107"/>
        <v>0</v>
      </c>
    </row>
    <row r="1094" spans="1:18" x14ac:dyDescent="0.3">
      <c r="A1094" s="1">
        <v>1092</v>
      </c>
      <c r="B1094">
        <v>0</v>
      </c>
      <c r="C1094" t="s">
        <v>778</v>
      </c>
      <c r="D1094" t="s">
        <v>164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f t="shared" si="102"/>
        <v>0.4</v>
      </c>
      <c r="M1094">
        <f t="shared" si="103"/>
        <v>0</v>
      </c>
      <c r="N1094">
        <f t="shared" si="104"/>
        <v>0</v>
      </c>
      <c r="O1094">
        <f t="shared" si="105"/>
        <v>0</v>
      </c>
      <c r="P1094">
        <f t="shared" si="106"/>
        <v>0</v>
      </c>
      <c r="Q1094" t="e">
        <f>VLOOKUP(C1094,Sheet2!A:AU,47,0)</f>
        <v>#N/A</v>
      </c>
      <c r="R1094">
        <f t="shared" si="107"/>
        <v>0</v>
      </c>
    </row>
    <row r="1095" spans="1:18" x14ac:dyDescent="0.3">
      <c r="A1095" s="1">
        <v>1093</v>
      </c>
      <c r="B1095">
        <v>0</v>
      </c>
      <c r="C1095" t="s">
        <v>779</v>
      </c>
      <c r="D1095" t="s">
        <v>164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f t="shared" si="102"/>
        <v>0.4</v>
      </c>
      <c r="M1095">
        <f t="shared" si="103"/>
        <v>0</v>
      </c>
      <c r="N1095">
        <f t="shared" si="104"/>
        <v>0</v>
      </c>
      <c r="O1095">
        <f t="shared" si="105"/>
        <v>0</v>
      </c>
      <c r="P1095">
        <f t="shared" si="106"/>
        <v>0</v>
      </c>
      <c r="Q1095" t="e">
        <f>VLOOKUP(C1095,Sheet2!A:AU,47,0)</f>
        <v>#N/A</v>
      </c>
      <c r="R1095">
        <f t="shared" si="107"/>
        <v>0</v>
      </c>
    </row>
    <row r="1096" spans="1:18" x14ac:dyDescent="0.3">
      <c r="A1096" s="1">
        <v>1094</v>
      </c>
      <c r="B1096">
        <v>0</v>
      </c>
      <c r="C1096" t="s">
        <v>780</v>
      </c>
      <c r="D1096" t="s">
        <v>164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f t="shared" si="102"/>
        <v>0.4</v>
      </c>
      <c r="M1096">
        <f t="shared" si="103"/>
        <v>0</v>
      </c>
      <c r="N1096">
        <f t="shared" si="104"/>
        <v>0</v>
      </c>
      <c r="O1096">
        <f t="shared" si="105"/>
        <v>0</v>
      </c>
      <c r="P1096">
        <f t="shared" si="106"/>
        <v>0</v>
      </c>
      <c r="Q1096" t="e">
        <f>VLOOKUP(C1096,Sheet2!A:AU,47,0)</f>
        <v>#N/A</v>
      </c>
      <c r="R1096">
        <f t="shared" si="107"/>
        <v>0</v>
      </c>
    </row>
    <row r="1097" spans="1:18" x14ac:dyDescent="0.3">
      <c r="A1097" s="1">
        <v>1095</v>
      </c>
      <c r="B1097">
        <v>0</v>
      </c>
      <c r="C1097" t="s">
        <v>781</v>
      </c>
      <c r="D1097" t="s">
        <v>85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f t="shared" si="102"/>
        <v>0.4</v>
      </c>
      <c r="M1097">
        <f t="shared" si="103"/>
        <v>0</v>
      </c>
      <c r="N1097">
        <f t="shared" si="104"/>
        <v>0</v>
      </c>
      <c r="O1097">
        <f t="shared" si="105"/>
        <v>0</v>
      </c>
      <c r="P1097">
        <f t="shared" si="106"/>
        <v>0</v>
      </c>
      <c r="Q1097" t="e">
        <f>VLOOKUP(C1097,Sheet2!A:AU,47,0)</f>
        <v>#N/A</v>
      </c>
      <c r="R1097">
        <f t="shared" si="107"/>
        <v>0</v>
      </c>
    </row>
    <row r="1098" spans="1:18" x14ac:dyDescent="0.3">
      <c r="A1098" s="1">
        <v>1096</v>
      </c>
      <c r="B1098">
        <v>0</v>
      </c>
      <c r="C1098" t="s">
        <v>782</v>
      </c>
      <c r="D1098" t="s">
        <v>85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f t="shared" si="102"/>
        <v>0.4</v>
      </c>
      <c r="M1098">
        <f t="shared" si="103"/>
        <v>0</v>
      </c>
      <c r="N1098">
        <f t="shared" si="104"/>
        <v>0</v>
      </c>
      <c r="O1098">
        <f t="shared" si="105"/>
        <v>0</v>
      </c>
      <c r="P1098">
        <f t="shared" si="106"/>
        <v>0</v>
      </c>
      <c r="Q1098" t="e">
        <f>VLOOKUP(C1098,Sheet2!A:AU,47,0)</f>
        <v>#N/A</v>
      </c>
      <c r="R1098">
        <f t="shared" si="107"/>
        <v>0</v>
      </c>
    </row>
    <row r="1099" spans="1:18" x14ac:dyDescent="0.3">
      <c r="A1099" s="1">
        <v>1097</v>
      </c>
      <c r="B1099">
        <v>0</v>
      </c>
      <c r="C1099" t="s">
        <v>783</v>
      </c>
      <c r="D1099" t="s">
        <v>79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f t="shared" si="102"/>
        <v>0.4</v>
      </c>
      <c r="M1099">
        <f t="shared" si="103"/>
        <v>0</v>
      </c>
      <c r="N1099">
        <f t="shared" si="104"/>
        <v>0</v>
      </c>
      <c r="O1099">
        <f t="shared" si="105"/>
        <v>0</v>
      </c>
      <c r="P1099">
        <f t="shared" si="106"/>
        <v>0</v>
      </c>
      <c r="Q1099" t="e">
        <f>VLOOKUP(C1099,Sheet2!A:AU,47,0)</f>
        <v>#N/A</v>
      </c>
      <c r="R1099">
        <f t="shared" si="107"/>
        <v>0</v>
      </c>
    </row>
    <row r="1100" spans="1:18" x14ac:dyDescent="0.3">
      <c r="A1100" s="1">
        <v>1098</v>
      </c>
      <c r="B1100">
        <v>0</v>
      </c>
      <c r="C1100" t="s">
        <v>784</v>
      </c>
      <c r="D1100" t="s">
        <v>79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f t="shared" si="102"/>
        <v>0.4</v>
      </c>
      <c r="M1100">
        <f t="shared" si="103"/>
        <v>0</v>
      </c>
      <c r="N1100">
        <f t="shared" si="104"/>
        <v>0</v>
      </c>
      <c r="O1100">
        <f t="shared" si="105"/>
        <v>0</v>
      </c>
      <c r="P1100">
        <f t="shared" si="106"/>
        <v>0</v>
      </c>
      <c r="Q1100" t="e">
        <f>VLOOKUP(C1100,Sheet2!A:AU,47,0)</f>
        <v>#N/A</v>
      </c>
      <c r="R1100">
        <f t="shared" si="107"/>
        <v>0</v>
      </c>
    </row>
    <row r="1101" spans="1:18" x14ac:dyDescent="0.3">
      <c r="A1101" s="1">
        <v>1099</v>
      </c>
      <c r="B1101">
        <v>0</v>
      </c>
      <c r="C1101" t="s">
        <v>785</v>
      </c>
      <c r="D1101" t="s">
        <v>79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f t="shared" si="102"/>
        <v>0.4</v>
      </c>
      <c r="M1101">
        <f t="shared" si="103"/>
        <v>0</v>
      </c>
      <c r="N1101">
        <f t="shared" si="104"/>
        <v>0</v>
      </c>
      <c r="O1101">
        <f t="shared" si="105"/>
        <v>0</v>
      </c>
      <c r="P1101">
        <f t="shared" si="106"/>
        <v>0</v>
      </c>
      <c r="Q1101" t="e">
        <f>VLOOKUP(C1101,Sheet2!A:AU,47,0)</f>
        <v>#N/A</v>
      </c>
      <c r="R1101">
        <f t="shared" si="107"/>
        <v>0</v>
      </c>
    </row>
    <row r="1102" spans="1:18" x14ac:dyDescent="0.3">
      <c r="A1102" s="1">
        <v>1100</v>
      </c>
      <c r="B1102">
        <v>0</v>
      </c>
      <c r="C1102" t="s">
        <v>786</v>
      </c>
      <c r="D1102" t="s">
        <v>79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f t="shared" si="102"/>
        <v>0.4</v>
      </c>
      <c r="M1102">
        <f t="shared" si="103"/>
        <v>0</v>
      </c>
      <c r="N1102">
        <f t="shared" si="104"/>
        <v>0</v>
      </c>
      <c r="O1102">
        <f t="shared" si="105"/>
        <v>0</v>
      </c>
      <c r="P1102">
        <f t="shared" si="106"/>
        <v>0</v>
      </c>
      <c r="Q1102" t="e">
        <f>VLOOKUP(C1102,Sheet2!A:AU,47,0)</f>
        <v>#N/A</v>
      </c>
      <c r="R1102">
        <f t="shared" si="107"/>
        <v>0</v>
      </c>
    </row>
    <row r="1103" spans="1:18" x14ac:dyDescent="0.3">
      <c r="A1103" s="1">
        <v>1101</v>
      </c>
      <c r="B1103">
        <v>0</v>
      </c>
      <c r="C1103" t="s">
        <v>787</v>
      </c>
      <c r="D1103" t="s">
        <v>79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f t="shared" si="102"/>
        <v>0.4</v>
      </c>
      <c r="M1103">
        <f t="shared" si="103"/>
        <v>0</v>
      </c>
      <c r="N1103">
        <f t="shared" si="104"/>
        <v>0</v>
      </c>
      <c r="O1103">
        <f t="shared" si="105"/>
        <v>0</v>
      </c>
      <c r="P1103">
        <f t="shared" si="106"/>
        <v>0</v>
      </c>
      <c r="Q1103" t="e">
        <f>VLOOKUP(C1103,Sheet2!A:AU,47,0)</f>
        <v>#N/A</v>
      </c>
      <c r="R1103">
        <f t="shared" si="107"/>
        <v>0</v>
      </c>
    </row>
    <row r="1104" spans="1:18" x14ac:dyDescent="0.3">
      <c r="A1104" s="1">
        <v>1102</v>
      </c>
      <c r="B1104">
        <v>0</v>
      </c>
      <c r="C1104" t="s">
        <v>788</v>
      </c>
      <c r="D1104" t="s">
        <v>79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f t="shared" si="102"/>
        <v>0.4</v>
      </c>
      <c r="M1104">
        <f t="shared" si="103"/>
        <v>0</v>
      </c>
      <c r="N1104">
        <f t="shared" si="104"/>
        <v>0</v>
      </c>
      <c r="O1104">
        <f t="shared" si="105"/>
        <v>0</v>
      </c>
      <c r="P1104">
        <f t="shared" si="106"/>
        <v>0</v>
      </c>
      <c r="Q1104" t="e">
        <f>VLOOKUP(C1104,Sheet2!A:AU,47,0)</f>
        <v>#N/A</v>
      </c>
      <c r="R1104">
        <f t="shared" si="107"/>
        <v>0</v>
      </c>
    </row>
    <row r="1105" spans="1:18" x14ac:dyDescent="0.3">
      <c r="A1105" s="1">
        <v>1103</v>
      </c>
      <c r="B1105">
        <v>0</v>
      </c>
      <c r="C1105" t="s">
        <v>789</v>
      </c>
      <c r="D1105" t="s">
        <v>79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f t="shared" si="102"/>
        <v>0.4</v>
      </c>
      <c r="M1105">
        <f t="shared" si="103"/>
        <v>0</v>
      </c>
      <c r="N1105">
        <f t="shared" si="104"/>
        <v>0</v>
      </c>
      <c r="O1105">
        <f t="shared" si="105"/>
        <v>0</v>
      </c>
      <c r="P1105">
        <f t="shared" si="106"/>
        <v>0</v>
      </c>
      <c r="Q1105" t="e">
        <f>VLOOKUP(C1105,Sheet2!A:AU,47,0)</f>
        <v>#N/A</v>
      </c>
      <c r="R1105">
        <f t="shared" si="107"/>
        <v>0</v>
      </c>
    </row>
    <row r="1106" spans="1:18" x14ac:dyDescent="0.3">
      <c r="A1106" s="1">
        <v>1104</v>
      </c>
      <c r="B1106">
        <v>0</v>
      </c>
      <c r="C1106" t="s">
        <v>790</v>
      </c>
      <c r="D1106" t="s">
        <v>66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f t="shared" si="102"/>
        <v>0.4</v>
      </c>
      <c r="M1106">
        <f t="shared" si="103"/>
        <v>0</v>
      </c>
      <c r="N1106">
        <f t="shared" si="104"/>
        <v>0</v>
      </c>
      <c r="O1106">
        <f t="shared" si="105"/>
        <v>0</v>
      </c>
      <c r="P1106">
        <f t="shared" si="106"/>
        <v>0</v>
      </c>
      <c r="Q1106" t="e">
        <f>VLOOKUP(C1106,Sheet2!A:AU,47,0)</f>
        <v>#N/A</v>
      </c>
      <c r="R1106">
        <f t="shared" si="107"/>
        <v>0</v>
      </c>
    </row>
    <row r="1107" spans="1:18" x14ac:dyDescent="0.3">
      <c r="A1107" s="1">
        <v>1105</v>
      </c>
      <c r="B1107">
        <v>0</v>
      </c>
      <c r="C1107" t="s">
        <v>791</v>
      </c>
      <c r="D1107" t="s">
        <v>66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f t="shared" si="102"/>
        <v>0.4</v>
      </c>
      <c r="M1107">
        <f t="shared" si="103"/>
        <v>0</v>
      </c>
      <c r="N1107">
        <f t="shared" si="104"/>
        <v>0</v>
      </c>
      <c r="O1107">
        <f t="shared" si="105"/>
        <v>0</v>
      </c>
      <c r="P1107">
        <f t="shared" si="106"/>
        <v>0</v>
      </c>
      <c r="Q1107" t="e">
        <f>VLOOKUP(C1107,Sheet2!A:AU,47,0)</f>
        <v>#N/A</v>
      </c>
      <c r="R1107">
        <f t="shared" si="107"/>
        <v>0</v>
      </c>
    </row>
    <row r="1108" spans="1:18" x14ac:dyDescent="0.3">
      <c r="A1108" s="1">
        <v>1106</v>
      </c>
      <c r="B1108">
        <v>0</v>
      </c>
      <c r="C1108" t="s">
        <v>792</v>
      </c>
      <c r="D1108" t="s">
        <v>66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f t="shared" si="102"/>
        <v>0.4</v>
      </c>
      <c r="M1108">
        <f t="shared" si="103"/>
        <v>0</v>
      </c>
      <c r="N1108">
        <f t="shared" si="104"/>
        <v>0</v>
      </c>
      <c r="O1108">
        <f t="shared" si="105"/>
        <v>0</v>
      </c>
      <c r="P1108">
        <f t="shared" si="106"/>
        <v>0</v>
      </c>
      <c r="Q1108" t="e">
        <f>VLOOKUP(C1108,Sheet2!A:AU,47,0)</f>
        <v>#N/A</v>
      </c>
      <c r="R1108">
        <f t="shared" si="107"/>
        <v>0</v>
      </c>
    </row>
    <row r="1109" spans="1:18" x14ac:dyDescent="0.3">
      <c r="A1109" s="1">
        <v>1107</v>
      </c>
      <c r="B1109">
        <v>0</v>
      </c>
      <c r="C1109" t="s">
        <v>793</v>
      </c>
      <c r="D1109" t="s">
        <v>66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f t="shared" si="102"/>
        <v>0.4</v>
      </c>
      <c r="M1109">
        <f t="shared" si="103"/>
        <v>0</v>
      </c>
      <c r="N1109">
        <f t="shared" si="104"/>
        <v>0</v>
      </c>
      <c r="O1109">
        <f t="shared" si="105"/>
        <v>0</v>
      </c>
      <c r="P1109">
        <f t="shared" si="106"/>
        <v>0</v>
      </c>
      <c r="Q1109" t="e">
        <f>VLOOKUP(C1109,Sheet2!A:AU,47,0)</f>
        <v>#N/A</v>
      </c>
      <c r="R1109">
        <f t="shared" si="107"/>
        <v>0</v>
      </c>
    </row>
    <row r="1110" spans="1:18" x14ac:dyDescent="0.3">
      <c r="A1110" s="1">
        <v>1108</v>
      </c>
      <c r="B1110">
        <v>0</v>
      </c>
      <c r="C1110" t="s">
        <v>794</v>
      </c>
      <c r="D1110" t="s">
        <v>66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f t="shared" si="102"/>
        <v>0.4</v>
      </c>
      <c r="M1110">
        <f t="shared" si="103"/>
        <v>0</v>
      </c>
      <c r="N1110">
        <f t="shared" si="104"/>
        <v>0</v>
      </c>
      <c r="O1110">
        <f t="shared" si="105"/>
        <v>0</v>
      </c>
      <c r="P1110">
        <f t="shared" si="106"/>
        <v>0</v>
      </c>
      <c r="Q1110" t="e">
        <f>VLOOKUP(C1110,Sheet2!A:AU,47,0)</f>
        <v>#N/A</v>
      </c>
      <c r="R1110">
        <f t="shared" si="107"/>
        <v>0</v>
      </c>
    </row>
    <row r="1111" spans="1:18" x14ac:dyDescent="0.3">
      <c r="A1111" s="1">
        <v>1109</v>
      </c>
      <c r="B1111">
        <v>0</v>
      </c>
      <c r="C1111" t="s">
        <v>795</v>
      </c>
      <c r="D1111" t="s">
        <v>66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f t="shared" si="102"/>
        <v>0.4</v>
      </c>
      <c r="M1111">
        <f t="shared" si="103"/>
        <v>0</v>
      </c>
      <c r="N1111">
        <f t="shared" si="104"/>
        <v>0</v>
      </c>
      <c r="O1111">
        <f t="shared" si="105"/>
        <v>0</v>
      </c>
      <c r="P1111">
        <f t="shared" si="106"/>
        <v>0</v>
      </c>
      <c r="Q1111" t="e">
        <f>VLOOKUP(C1111,Sheet2!A:AU,47,0)</f>
        <v>#N/A</v>
      </c>
      <c r="R1111">
        <f t="shared" si="107"/>
        <v>0</v>
      </c>
    </row>
    <row r="1112" spans="1:18" x14ac:dyDescent="0.3">
      <c r="A1112" s="1">
        <v>1110</v>
      </c>
      <c r="B1112">
        <v>0</v>
      </c>
      <c r="C1112" t="s">
        <v>796</v>
      </c>
      <c r="D1112" t="s">
        <v>66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f t="shared" si="102"/>
        <v>0.4</v>
      </c>
      <c r="M1112">
        <f t="shared" si="103"/>
        <v>0</v>
      </c>
      <c r="N1112">
        <f t="shared" si="104"/>
        <v>0</v>
      </c>
      <c r="O1112">
        <f t="shared" si="105"/>
        <v>0</v>
      </c>
      <c r="P1112">
        <f t="shared" si="106"/>
        <v>0</v>
      </c>
      <c r="Q1112" t="e">
        <f>VLOOKUP(C1112,Sheet2!A:AU,47,0)</f>
        <v>#N/A</v>
      </c>
      <c r="R1112">
        <f t="shared" si="107"/>
        <v>0</v>
      </c>
    </row>
    <row r="1113" spans="1:18" x14ac:dyDescent="0.3">
      <c r="A1113" s="1">
        <v>1111</v>
      </c>
      <c r="B1113">
        <v>0</v>
      </c>
      <c r="C1113" t="s">
        <v>797</v>
      </c>
      <c r="D1113" t="s">
        <v>66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f t="shared" si="102"/>
        <v>0.4</v>
      </c>
      <c r="M1113">
        <f t="shared" si="103"/>
        <v>0</v>
      </c>
      <c r="N1113">
        <f t="shared" si="104"/>
        <v>0</v>
      </c>
      <c r="O1113">
        <f t="shared" si="105"/>
        <v>0</v>
      </c>
      <c r="P1113">
        <f t="shared" si="106"/>
        <v>0</v>
      </c>
      <c r="Q1113" t="e">
        <f>VLOOKUP(C1113,Sheet2!A:AU,47,0)</f>
        <v>#N/A</v>
      </c>
      <c r="R1113">
        <f t="shared" si="107"/>
        <v>0</v>
      </c>
    </row>
    <row r="1114" spans="1:18" x14ac:dyDescent="0.3">
      <c r="A1114" s="1">
        <v>1112</v>
      </c>
      <c r="B1114">
        <v>0</v>
      </c>
      <c r="C1114" t="s">
        <v>798</v>
      </c>
      <c r="D1114" t="s">
        <v>66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f t="shared" si="102"/>
        <v>0.4</v>
      </c>
      <c r="M1114">
        <f t="shared" si="103"/>
        <v>0</v>
      </c>
      <c r="N1114">
        <f t="shared" si="104"/>
        <v>0</v>
      </c>
      <c r="O1114">
        <f t="shared" si="105"/>
        <v>0</v>
      </c>
      <c r="P1114">
        <f t="shared" si="106"/>
        <v>0</v>
      </c>
      <c r="Q1114" t="e">
        <f>VLOOKUP(C1114,Sheet2!A:AU,47,0)</f>
        <v>#N/A</v>
      </c>
      <c r="R1114">
        <f t="shared" si="107"/>
        <v>0</v>
      </c>
    </row>
    <row r="1115" spans="1:18" x14ac:dyDescent="0.3">
      <c r="A1115" s="1">
        <v>1113</v>
      </c>
      <c r="B1115">
        <v>0</v>
      </c>
      <c r="C1115" t="s">
        <v>799</v>
      </c>
      <c r="D1115" t="s">
        <v>66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f t="shared" si="102"/>
        <v>0.4</v>
      </c>
      <c r="M1115">
        <f t="shared" si="103"/>
        <v>0</v>
      </c>
      <c r="N1115">
        <f t="shared" si="104"/>
        <v>0</v>
      </c>
      <c r="O1115">
        <f t="shared" si="105"/>
        <v>0</v>
      </c>
      <c r="P1115">
        <f t="shared" si="106"/>
        <v>0</v>
      </c>
      <c r="Q1115" t="e">
        <f>VLOOKUP(C1115,Sheet2!A:AU,47,0)</f>
        <v>#N/A</v>
      </c>
      <c r="R1115">
        <f t="shared" si="107"/>
        <v>0</v>
      </c>
    </row>
    <row r="1116" spans="1:18" x14ac:dyDescent="0.3">
      <c r="A1116" s="1">
        <v>1114</v>
      </c>
      <c r="B1116">
        <v>0</v>
      </c>
      <c r="C1116" t="s">
        <v>800</v>
      </c>
      <c r="D1116" t="s">
        <v>66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f t="shared" si="102"/>
        <v>0.4</v>
      </c>
      <c r="M1116">
        <f t="shared" si="103"/>
        <v>0</v>
      </c>
      <c r="N1116">
        <f t="shared" si="104"/>
        <v>0</v>
      </c>
      <c r="O1116">
        <f t="shared" si="105"/>
        <v>0</v>
      </c>
      <c r="P1116">
        <f t="shared" si="106"/>
        <v>0</v>
      </c>
      <c r="Q1116" t="e">
        <f>VLOOKUP(C1116,Sheet2!A:AU,47,0)</f>
        <v>#N/A</v>
      </c>
      <c r="R1116">
        <f t="shared" si="107"/>
        <v>0</v>
      </c>
    </row>
    <row r="1117" spans="1:18" x14ac:dyDescent="0.3">
      <c r="A1117" s="1">
        <v>1115</v>
      </c>
      <c r="B1117">
        <v>0</v>
      </c>
      <c r="C1117" t="s">
        <v>801</v>
      </c>
      <c r="D1117" t="s">
        <v>64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f t="shared" si="102"/>
        <v>0.4</v>
      </c>
      <c r="M1117">
        <f t="shared" si="103"/>
        <v>0</v>
      </c>
      <c r="N1117">
        <f t="shared" si="104"/>
        <v>0</v>
      </c>
      <c r="O1117">
        <f t="shared" si="105"/>
        <v>0</v>
      </c>
      <c r="P1117">
        <f t="shared" si="106"/>
        <v>0</v>
      </c>
      <c r="Q1117" t="e">
        <f>VLOOKUP(C1117,Sheet2!A:AU,47,0)</f>
        <v>#N/A</v>
      </c>
      <c r="R1117">
        <f t="shared" si="107"/>
        <v>0</v>
      </c>
    </row>
    <row r="1118" spans="1:18" x14ac:dyDescent="0.3">
      <c r="A1118" s="1">
        <v>1116</v>
      </c>
      <c r="B1118">
        <v>0</v>
      </c>
      <c r="C1118" t="s">
        <v>802</v>
      </c>
      <c r="D1118" t="s">
        <v>64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f t="shared" si="102"/>
        <v>0.4</v>
      </c>
      <c r="M1118">
        <f t="shared" si="103"/>
        <v>0</v>
      </c>
      <c r="N1118">
        <f t="shared" si="104"/>
        <v>0</v>
      </c>
      <c r="O1118">
        <f t="shared" si="105"/>
        <v>0</v>
      </c>
      <c r="P1118">
        <f t="shared" si="106"/>
        <v>0</v>
      </c>
      <c r="Q1118" t="e">
        <f>VLOOKUP(C1118,Sheet2!A:AU,47,0)</f>
        <v>#N/A</v>
      </c>
      <c r="R1118">
        <f t="shared" si="107"/>
        <v>0</v>
      </c>
    </row>
    <row r="1119" spans="1:18" x14ac:dyDescent="0.3">
      <c r="A1119" s="1">
        <v>1117</v>
      </c>
      <c r="B1119">
        <v>0</v>
      </c>
      <c r="C1119" t="s">
        <v>803</v>
      </c>
      <c r="D1119" t="s">
        <v>64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f t="shared" si="102"/>
        <v>0.4</v>
      </c>
      <c r="M1119">
        <f t="shared" si="103"/>
        <v>0</v>
      </c>
      <c r="N1119">
        <f t="shared" si="104"/>
        <v>0</v>
      </c>
      <c r="O1119">
        <f t="shared" si="105"/>
        <v>0</v>
      </c>
      <c r="P1119">
        <f t="shared" si="106"/>
        <v>0</v>
      </c>
      <c r="Q1119" t="e">
        <f>VLOOKUP(C1119,Sheet2!A:AU,47,0)</f>
        <v>#N/A</v>
      </c>
      <c r="R1119">
        <f t="shared" si="107"/>
        <v>0</v>
      </c>
    </row>
    <row r="1120" spans="1:18" x14ac:dyDescent="0.3">
      <c r="A1120" s="1">
        <v>1118</v>
      </c>
      <c r="B1120">
        <v>0</v>
      </c>
      <c r="C1120" t="s">
        <v>804</v>
      </c>
      <c r="D1120" t="s">
        <v>64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f t="shared" si="102"/>
        <v>0.4</v>
      </c>
      <c r="M1120">
        <f t="shared" si="103"/>
        <v>0</v>
      </c>
      <c r="N1120">
        <f t="shared" si="104"/>
        <v>0</v>
      </c>
      <c r="O1120">
        <f t="shared" si="105"/>
        <v>0</v>
      </c>
      <c r="P1120">
        <f t="shared" si="106"/>
        <v>0</v>
      </c>
      <c r="Q1120" t="e">
        <f>VLOOKUP(C1120,Sheet2!A:AU,47,0)</f>
        <v>#N/A</v>
      </c>
      <c r="R1120">
        <f t="shared" si="107"/>
        <v>0</v>
      </c>
    </row>
    <row r="1121" spans="1:18" x14ac:dyDescent="0.3">
      <c r="A1121" s="1">
        <v>1119</v>
      </c>
      <c r="B1121">
        <v>0</v>
      </c>
      <c r="C1121" t="s">
        <v>805</v>
      </c>
      <c r="D1121" t="s">
        <v>64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f t="shared" si="102"/>
        <v>0.4</v>
      </c>
      <c r="M1121">
        <f t="shared" si="103"/>
        <v>0</v>
      </c>
      <c r="N1121">
        <f t="shared" si="104"/>
        <v>0</v>
      </c>
      <c r="O1121">
        <f t="shared" si="105"/>
        <v>0</v>
      </c>
      <c r="P1121">
        <f t="shared" si="106"/>
        <v>0</v>
      </c>
      <c r="Q1121" t="e">
        <f>VLOOKUP(C1121,Sheet2!A:AU,47,0)</f>
        <v>#N/A</v>
      </c>
      <c r="R1121">
        <f t="shared" si="107"/>
        <v>0</v>
      </c>
    </row>
    <row r="1122" spans="1:18" x14ac:dyDescent="0.3">
      <c r="A1122" s="1">
        <v>1120</v>
      </c>
      <c r="B1122">
        <v>0</v>
      </c>
      <c r="C1122" t="s">
        <v>806</v>
      </c>
      <c r="D1122" t="s">
        <v>64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f t="shared" si="102"/>
        <v>0.4</v>
      </c>
      <c r="M1122">
        <f t="shared" si="103"/>
        <v>0</v>
      </c>
      <c r="N1122">
        <f t="shared" si="104"/>
        <v>0</v>
      </c>
      <c r="O1122">
        <f t="shared" si="105"/>
        <v>0</v>
      </c>
      <c r="P1122">
        <f t="shared" si="106"/>
        <v>0</v>
      </c>
      <c r="Q1122" t="e">
        <f>VLOOKUP(C1122,Sheet2!A:AU,47,0)</f>
        <v>#N/A</v>
      </c>
      <c r="R1122">
        <f t="shared" si="107"/>
        <v>0</v>
      </c>
    </row>
    <row r="1123" spans="1:18" x14ac:dyDescent="0.3">
      <c r="A1123" s="1">
        <v>1121</v>
      </c>
      <c r="B1123">
        <v>0</v>
      </c>
      <c r="C1123" t="s">
        <v>807</v>
      </c>
      <c r="D1123" t="s">
        <v>64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f t="shared" si="102"/>
        <v>0.4</v>
      </c>
      <c r="M1123">
        <f t="shared" si="103"/>
        <v>0</v>
      </c>
      <c r="N1123">
        <f t="shared" si="104"/>
        <v>0</v>
      </c>
      <c r="O1123">
        <f t="shared" si="105"/>
        <v>0</v>
      </c>
      <c r="P1123">
        <f t="shared" si="106"/>
        <v>0</v>
      </c>
      <c r="Q1123" t="e">
        <f>VLOOKUP(C1123,Sheet2!A:AU,47,0)</f>
        <v>#N/A</v>
      </c>
      <c r="R1123">
        <f t="shared" si="107"/>
        <v>0</v>
      </c>
    </row>
    <row r="1124" spans="1:18" x14ac:dyDescent="0.3">
      <c r="A1124" s="1">
        <v>1122</v>
      </c>
      <c r="B1124">
        <v>0</v>
      </c>
      <c r="C1124" t="s">
        <v>808</v>
      </c>
      <c r="D1124" t="s">
        <v>23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f t="shared" si="102"/>
        <v>0.4</v>
      </c>
      <c r="M1124">
        <f t="shared" si="103"/>
        <v>0</v>
      </c>
      <c r="N1124">
        <f t="shared" si="104"/>
        <v>0</v>
      </c>
      <c r="O1124">
        <f t="shared" si="105"/>
        <v>0</v>
      </c>
      <c r="P1124">
        <f t="shared" si="106"/>
        <v>0</v>
      </c>
      <c r="Q1124" t="e">
        <f>VLOOKUP(C1124,Sheet2!A:AU,47,0)</f>
        <v>#N/A</v>
      </c>
      <c r="R1124">
        <f t="shared" si="107"/>
        <v>0</v>
      </c>
    </row>
    <row r="1125" spans="1:18" x14ac:dyDescent="0.3">
      <c r="A1125" s="1">
        <v>1123</v>
      </c>
      <c r="B1125">
        <v>0</v>
      </c>
      <c r="C1125" t="s">
        <v>809</v>
      </c>
      <c r="D1125" t="s">
        <v>23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f t="shared" si="102"/>
        <v>0.4</v>
      </c>
      <c r="M1125">
        <f t="shared" si="103"/>
        <v>0</v>
      </c>
      <c r="N1125">
        <f t="shared" si="104"/>
        <v>0</v>
      </c>
      <c r="O1125">
        <f t="shared" si="105"/>
        <v>0</v>
      </c>
      <c r="P1125">
        <f t="shared" si="106"/>
        <v>0</v>
      </c>
      <c r="Q1125" t="e">
        <f>VLOOKUP(C1125,Sheet2!A:AU,47,0)</f>
        <v>#N/A</v>
      </c>
      <c r="R1125">
        <f t="shared" si="107"/>
        <v>0</v>
      </c>
    </row>
    <row r="1126" spans="1:18" x14ac:dyDescent="0.3">
      <c r="A1126" s="1">
        <v>1124</v>
      </c>
      <c r="B1126">
        <v>0</v>
      </c>
      <c r="C1126" t="s">
        <v>810</v>
      </c>
      <c r="D1126" t="s">
        <v>23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f t="shared" si="102"/>
        <v>0.4</v>
      </c>
      <c r="M1126">
        <f t="shared" si="103"/>
        <v>0</v>
      </c>
      <c r="N1126">
        <f t="shared" si="104"/>
        <v>0</v>
      </c>
      <c r="O1126">
        <f t="shared" si="105"/>
        <v>0</v>
      </c>
      <c r="P1126">
        <f t="shared" si="106"/>
        <v>0</v>
      </c>
      <c r="Q1126" t="e">
        <f>VLOOKUP(C1126,Sheet2!A:AU,47,0)</f>
        <v>#N/A</v>
      </c>
      <c r="R1126">
        <f t="shared" si="107"/>
        <v>0</v>
      </c>
    </row>
    <row r="1127" spans="1:18" x14ac:dyDescent="0.3">
      <c r="A1127" s="1">
        <v>1125</v>
      </c>
      <c r="B1127">
        <v>0</v>
      </c>
      <c r="C1127" t="s">
        <v>811</v>
      </c>
      <c r="D1127" t="s">
        <v>23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f t="shared" si="102"/>
        <v>0.4</v>
      </c>
      <c r="M1127">
        <f t="shared" si="103"/>
        <v>0</v>
      </c>
      <c r="N1127">
        <f t="shared" si="104"/>
        <v>0</v>
      </c>
      <c r="O1127">
        <f t="shared" si="105"/>
        <v>0</v>
      </c>
      <c r="P1127">
        <f t="shared" si="106"/>
        <v>0</v>
      </c>
      <c r="Q1127" t="e">
        <f>VLOOKUP(C1127,Sheet2!A:AU,47,0)</f>
        <v>#N/A</v>
      </c>
      <c r="R1127">
        <f t="shared" si="107"/>
        <v>0</v>
      </c>
    </row>
    <row r="1128" spans="1:18" x14ac:dyDescent="0.3">
      <c r="A1128" s="1">
        <v>1126</v>
      </c>
      <c r="B1128">
        <v>0</v>
      </c>
      <c r="C1128" t="s">
        <v>812</v>
      </c>
      <c r="D1128" t="s">
        <v>23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f t="shared" si="102"/>
        <v>0.4</v>
      </c>
      <c r="M1128">
        <f t="shared" si="103"/>
        <v>0</v>
      </c>
      <c r="N1128">
        <f t="shared" si="104"/>
        <v>0</v>
      </c>
      <c r="O1128">
        <f t="shared" si="105"/>
        <v>0</v>
      </c>
      <c r="P1128">
        <f t="shared" si="106"/>
        <v>0</v>
      </c>
      <c r="Q1128" t="e">
        <f>VLOOKUP(C1128,Sheet2!A:AU,47,0)</f>
        <v>#N/A</v>
      </c>
      <c r="R1128">
        <f t="shared" si="107"/>
        <v>0</v>
      </c>
    </row>
    <row r="1129" spans="1:18" x14ac:dyDescent="0.3">
      <c r="A1129" s="1">
        <v>1127</v>
      </c>
      <c r="B1129">
        <v>0</v>
      </c>
      <c r="C1129" t="s">
        <v>813</v>
      </c>
      <c r="D1129" t="s">
        <v>109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f t="shared" si="102"/>
        <v>0.4</v>
      </c>
      <c r="M1129">
        <f t="shared" si="103"/>
        <v>0</v>
      </c>
      <c r="N1129">
        <f t="shared" si="104"/>
        <v>0</v>
      </c>
      <c r="O1129">
        <f t="shared" si="105"/>
        <v>0</v>
      </c>
      <c r="P1129">
        <f t="shared" si="106"/>
        <v>0</v>
      </c>
      <c r="Q1129" t="e">
        <f>VLOOKUP(C1129,Sheet2!A:AU,47,0)</f>
        <v>#N/A</v>
      </c>
      <c r="R1129">
        <f t="shared" si="107"/>
        <v>0</v>
      </c>
    </row>
    <row r="1130" spans="1:18" x14ac:dyDescent="0.3">
      <c r="A1130" s="1">
        <v>1128</v>
      </c>
      <c r="B1130">
        <v>0</v>
      </c>
      <c r="C1130" t="s">
        <v>814</v>
      </c>
      <c r="D1130" t="s">
        <v>109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f t="shared" si="102"/>
        <v>0.4</v>
      </c>
      <c r="M1130">
        <f t="shared" si="103"/>
        <v>0</v>
      </c>
      <c r="N1130">
        <f t="shared" si="104"/>
        <v>0</v>
      </c>
      <c r="O1130">
        <f t="shared" si="105"/>
        <v>0</v>
      </c>
      <c r="P1130">
        <f t="shared" si="106"/>
        <v>0</v>
      </c>
      <c r="Q1130" t="e">
        <f>VLOOKUP(C1130,Sheet2!A:AU,47,0)</f>
        <v>#N/A</v>
      </c>
      <c r="R1130">
        <f t="shared" si="107"/>
        <v>0</v>
      </c>
    </row>
    <row r="1131" spans="1:18" x14ac:dyDescent="0.3">
      <c r="A1131" s="1">
        <v>1129</v>
      </c>
      <c r="B1131">
        <v>0</v>
      </c>
      <c r="C1131" t="s">
        <v>815</v>
      </c>
      <c r="D1131" t="s">
        <v>109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f t="shared" si="102"/>
        <v>0.4</v>
      </c>
      <c r="M1131">
        <f t="shared" si="103"/>
        <v>0</v>
      </c>
      <c r="N1131">
        <f t="shared" si="104"/>
        <v>0</v>
      </c>
      <c r="O1131">
        <f t="shared" si="105"/>
        <v>0</v>
      </c>
      <c r="P1131">
        <f t="shared" si="106"/>
        <v>0</v>
      </c>
      <c r="Q1131" t="e">
        <f>VLOOKUP(C1131,Sheet2!A:AU,47,0)</f>
        <v>#N/A</v>
      </c>
      <c r="R1131">
        <f t="shared" si="107"/>
        <v>0</v>
      </c>
    </row>
    <row r="1132" spans="1:18" x14ac:dyDescent="0.3">
      <c r="A1132" s="1">
        <v>1130</v>
      </c>
      <c r="B1132">
        <v>0</v>
      </c>
      <c r="C1132" t="s">
        <v>816</v>
      </c>
      <c r="D1132" t="s">
        <v>109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f t="shared" si="102"/>
        <v>0.4</v>
      </c>
      <c r="M1132">
        <f t="shared" si="103"/>
        <v>0</v>
      </c>
      <c r="N1132">
        <f t="shared" si="104"/>
        <v>0</v>
      </c>
      <c r="O1132">
        <f t="shared" si="105"/>
        <v>0</v>
      </c>
      <c r="P1132">
        <f t="shared" si="106"/>
        <v>0</v>
      </c>
      <c r="Q1132" t="e">
        <f>VLOOKUP(C1132,Sheet2!A:AU,47,0)</f>
        <v>#N/A</v>
      </c>
      <c r="R1132">
        <f t="shared" si="107"/>
        <v>0</v>
      </c>
    </row>
    <row r="1133" spans="1:18" x14ac:dyDescent="0.3">
      <c r="A1133" s="1">
        <v>1131</v>
      </c>
      <c r="B1133">
        <v>0</v>
      </c>
      <c r="C1133" t="s">
        <v>817</v>
      </c>
      <c r="D1133" t="s">
        <v>160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f t="shared" si="102"/>
        <v>0.4</v>
      </c>
      <c r="M1133">
        <f t="shared" si="103"/>
        <v>0</v>
      </c>
      <c r="N1133">
        <f t="shared" si="104"/>
        <v>0</v>
      </c>
      <c r="O1133">
        <f t="shared" si="105"/>
        <v>0</v>
      </c>
      <c r="P1133">
        <f t="shared" si="106"/>
        <v>0</v>
      </c>
      <c r="Q1133" t="e">
        <f>VLOOKUP(C1133,Sheet2!A:AU,47,0)</f>
        <v>#N/A</v>
      </c>
      <c r="R1133">
        <f t="shared" si="107"/>
        <v>0</v>
      </c>
    </row>
    <row r="1134" spans="1:18" x14ac:dyDescent="0.3">
      <c r="A1134" s="1">
        <v>1132</v>
      </c>
      <c r="B1134">
        <v>0</v>
      </c>
      <c r="C1134" t="s">
        <v>818</v>
      </c>
      <c r="D1134" t="s">
        <v>160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f t="shared" si="102"/>
        <v>0.4</v>
      </c>
      <c r="M1134">
        <f t="shared" si="103"/>
        <v>0</v>
      </c>
      <c r="N1134">
        <f t="shared" si="104"/>
        <v>0</v>
      </c>
      <c r="O1134">
        <f t="shared" si="105"/>
        <v>0</v>
      </c>
      <c r="P1134">
        <f t="shared" si="106"/>
        <v>0</v>
      </c>
      <c r="Q1134" t="e">
        <f>VLOOKUP(C1134,Sheet2!A:AU,47,0)</f>
        <v>#N/A</v>
      </c>
      <c r="R1134">
        <f t="shared" si="107"/>
        <v>0</v>
      </c>
    </row>
    <row r="1135" spans="1:18" x14ac:dyDescent="0.3">
      <c r="A1135" s="1">
        <v>1133</v>
      </c>
      <c r="B1135">
        <v>0</v>
      </c>
      <c r="C1135" t="s">
        <v>819</v>
      </c>
      <c r="D1135" t="s">
        <v>160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f t="shared" si="102"/>
        <v>0.4</v>
      </c>
      <c r="M1135">
        <f t="shared" si="103"/>
        <v>0</v>
      </c>
      <c r="N1135">
        <f t="shared" si="104"/>
        <v>0</v>
      </c>
      <c r="O1135">
        <f t="shared" si="105"/>
        <v>0</v>
      </c>
      <c r="P1135">
        <f t="shared" si="106"/>
        <v>0</v>
      </c>
      <c r="Q1135" t="e">
        <f>VLOOKUP(C1135,Sheet2!A:AU,47,0)</f>
        <v>#N/A</v>
      </c>
      <c r="R1135">
        <f t="shared" si="107"/>
        <v>0</v>
      </c>
    </row>
    <row r="1136" spans="1:18" x14ac:dyDescent="0.3">
      <c r="A1136" s="1">
        <v>1134</v>
      </c>
      <c r="B1136">
        <v>0</v>
      </c>
      <c r="C1136" t="s">
        <v>820</v>
      </c>
      <c r="D1136" t="s">
        <v>160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f t="shared" si="102"/>
        <v>0.4</v>
      </c>
      <c r="M1136">
        <f t="shared" si="103"/>
        <v>0</v>
      </c>
      <c r="N1136">
        <f t="shared" si="104"/>
        <v>0</v>
      </c>
      <c r="O1136">
        <f t="shared" si="105"/>
        <v>0</v>
      </c>
      <c r="P1136">
        <f t="shared" si="106"/>
        <v>0</v>
      </c>
      <c r="Q1136" t="e">
        <f>VLOOKUP(C1136,Sheet2!A:AU,47,0)</f>
        <v>#N/A</v>
      </c>
      <c r="R1136">
        <f t="shared" si="107"/>
        <v>0</v>
      </c>
    </row>
    <row r="1137" spans="1:18" x14ac:dyDescent="0.3">
      <c r="A1137" s="1">
        <v>1135</v>
      </c>
      <c r="B1137">
        <v>0</v>
      </c>
      <c r="C1137" t="s">
        <v>725</v>
      </c>
      <c r="D1137" t="s">
        <v>160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f t="shared" si="102"/>
        <v>0.4</v>
      </c>
      <c r="M1137">
        <f t="shared" si="103"/>
        <v>0</v>
      </c>
      <c r="N1137">
        <f t="shared" si="104"/>
        <v>0</v>
      </c>
      <c r="O1137">
        <f t="shared" si="105"/>
        <v>0</v>
      </c>
      <c r="P1137">
        <f t="shared" si="106"/>
        <v>0</v>
      </c>
      <c r="Q1137" t="e">
        <f>VLOOKUP(C1137,Sheet2!A:AU,47,0)</f>
        <v>#N/A</v>
      </c>
      <c r="R1137">
        <f t="shared" si="107"/>
        <v>0</v>
      </c>
    </row>
    <row r="1138" spans="1:18" x14ac:dyDescent="0.3">
      <c r="A1138" s="1">
        <v>1136</v>
      </c>
      <c r="B1138">
        <v>0</v>
      </c>
      <c r="C1138" t="s">
        <v>821</v>
      </c>
      <c r="D1138" t="s">
        <v>160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f t="shared" si="102"/>
        <v>0.4</v>
      </c>
      <c r="M1138">
        <f t="shared" si="103"/>
        <v>0</v>
      </c>
      <c r="N1138">
        <f t="shared" si="104"/>
        <v>0</v>
      </c>
      <c r="O1138">
        <f t="shared" si="105"/>
        <v>0</v>
      </c>
      <c r="P1138">
        <f t="shared" si="106"/>
        <v>0</v>
      </c>
      <c r="Q1138" t="e">
        <f>VLOOKUP(C1138,Sheet2!A:AU,47,0)</f>
        <v>#N/A</v>
      </c>
      <c r="R1138">
        <f t="shared" si="107"/>
        <v>0</v>
      </c>
    </row>
    <row r="1139" spans="1:18" x14ac:dyDescent="0.3">
      <c r="A1139" s="1">
        <v>1137</v>
      </c>
      <c r="B1139">
        <v>0</v>
      </c>
      <c r="C1139" t="s">
        <v>822</v>
      </c>
      <c r="D1139" t="s">
        <v>160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f t="shared" si="102"/>
        <v>0.4</v>
      </c>
      <c r="M1139">
        <f t="shared" si="103"/>
        <v>0</v>
      </c>
      <c r="N1139">
        <f t="shared" si="104"/>
        <v>0</v>
      </c>
      <c r="O1139">
        <f t="shared" si="105"/>
        <v>0</v>
      </c>
      <c r="P1139">
        <f t="shared" si="106"/>
        <v>0</v>
      </c>
      <c r="Q1139" t="e">
        <f>VLOOKUP(C1139,Sheet2!A:AU,47,0)</f>
        <v>#N/A</v>
      </c>
      <c r="R1139">
        <f t="shared" si="107"/>
        <v>0</v>
      </c>
    </row>
    <row r="1140" spans="1:18" x14ac:dyDescent="0.3">
      <c r="A1140" s="1">
        <v>1138</v>
      </c>
      <c r="B1140">
        <v>0</v>
      </c>
      <c r="C1140" t="s">
        <v>823</v>
      </c>
      <c r="D1140" t="s">
        <v>160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f t="shared" si="102"/>
        <v>0.4</v>
      </c>
      <c r="M1140">
        <f t="shared" si="103"/>
        <v>0</v>
      </c>
      <c r="N1140">
        <f t="shared" si="104"/>
        <v>0</v>
      </c>
      <c r="O1140">
        <f t="shared" si="105"/>
        <v>0</v>
      </c>
      <c r="P1140">
        <f t="shared" si="106"/>
        <v>0</v>
      </c>
      <c r="Q1140" t="e">
        <f>VLOOKUP(C1140,Sheet2!A:AU,47,0)</f>
        <v>#N/A</v>
      </c>
      <c r="R1140">
        <f t="shared" si="107"/>
        <v>0</v>
      </c>
    </row>
    <row r="1141" spans="1:18" x14ac:dyDescent="0.3">
      <c r="A1141" s="1">
        <v>1139</v>
      </c>
      <c r="B1141">
        <v>0</v>
      </c>
      <c r="C1141" t="s">
        <v>824</v>
      </c>
      <c r="D1141" t="s">
        <v>182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f t="shared" si="102"/>
        <v>0.4</v>
      </c>
      <c r="M1141">
        <f t="shared" si="103"/>
        <v>0</v>
      </c>
      <c r="N1141">
        <f t="shared" si="104"/>
        <v>0</v>
      </c>
      <c r="O1141">
        <f t="shared" si="105"/>
        <v>0</v>
      </c>
      <c r="P1141">
        <f t="shared" si="106"/>
        <v>0</v>
      </c>
      <c r="Q1141" t="e">
        <f>VLOOKUP(C1141,Sheet2!A:AU,47,0)</f>
        <v>#N/A</v>
      </c>
      <c r="R1141">
        <f t="shared" si="107"/>
        <v>0</v>
      </c>
    </row>
    <row r="1142" spans="1:18" x14ac:dyDescent="0.3">
      <c r="A1142" s="1">
        <v>1140</v>
      </c>
      <c r="B1142">
        <v>0</v>
      </c>
      <c r="C1142" t="s">
        <v>825</v>
      </c>
      <c r="D1142" t="s">
        <v>182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f t="shared" si="102"/>
        <v>0.4</v>
      </c>
      <c r="M1142">
        <f t="shared" si="103"/>
        <v>0</v>
      </c>
      <c r="N1142">
        <f t="shared" si="104"/>
        <v>0</v>
      </c>
      <c r="O1142">
        <f t="shared" si="105"/>
        <v>0</v>
      </c>
      <c r="P1142">
        <f t="shared" si="106"/>
        <v>0</v>
      </c>
      <c r="Q1142" t="e">
        <f>VLOOKUP(C1142,Sheet2!A:AU,47,0)</f>
        <v>#N/A</v>
      </c>
      <c r="R1142">
        <f t="shared" si="107"/>
        <v>0</v>
      </c>
    </row>
    <row r="1143" spans="1:18" x14ac:dyDescent="0.3">
      <c r="A1143" s="1">
        <v>1141</v>
      </c>
      <c r="B1143">
        <v>0</v>
      </c>
      <c r="C1143" t="s">
        <v>826</v>
      </c>
      <c r="D1143" t="s">
        <v>182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f t="shared" si="102"/>
        <v>0.4</v>
      </c>
      <c r="M1143">
        <f t="shared" si="103"/>
        <v>0</v>
      </c>
      <c r="N1143">
        <f t="shared" si="104"/>
        <v>0</v>
      </c>
      <c r="O1143">
        <f t="shared" si="105"/>
        <v>0</v>
      </c>
      <c r="P1143">
        <f t="shared" si="106"/>
        <v>0</v>
      </c>
      <c r="Q1143" t="e">
        <f>VLOOKUP(C1143,Sheet2!A:AU,47,0)</f>
        <v>#N/A</v>
      </c>
      <c r="R1143">
        <f t="shared" si="107"/>
        <v>0</v>
      </c>
    </row>
    <row r="1144" spans="1:18" x14ac:dyDescent="0.3">
      <c r="A1144" s="1">
        <v>1142</v>
      </c>
      <c r="B1144">
        <v>0</v>
      </c>
      <c r="C1144" t="s">
        <v>827</v>
      </c>
      <c r="D1144" t="s">
        <v>182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f t="shared" si="102"/>
        <v>0.4</v>
      </c>
      <c r="M1144">
        <f t="shared" si="103"/>
        <v>0</v>
      </c>
      <c r="N1144">
        <f t="shared" si="104"/>
        <v>0</v>
      </c>
      <c r="O1144">
        <f t="shared" si="105"/>
        <v>0</v>
      </c>
      <c r="P1144">
        <f t="shared" si="106"/>
        <v>0</v>
      </c>
      <c r="Q1144" t="e">
        <f>VLOOKUP(C1144,Sheet2!A:AU,47,0)</f>
        <v>#N/A</v>
      </c>
      <c r="R1144">
        <f t="shared" si="107"/>
        <v>0</v>
      </c>
    </row>
    <row r="1145" spans="1:18" x14ac:dyDescent="0.3">
      <c r="A1145" s="1">
        <v>1143</v>
      </c>
      <c r="B1145">
        <v>0</v>
      </c>
      <c r="C1145" t="s">
        <v>828</v>
      </c>
      <c r="D1145" t="s">
        <v>89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f t="shared" si="102"/>
        <v>0.4</v>
      </c>
      <c r="M1145">
        <f t="shared" si="103"/>
        <v>0</v>
      </c>
      <c r="N1145">
        <f t="shared" si="104"/>
        <v>0</v>
      </c>
      <c r="O1145">
        <f t="shared" si="105"/>
        <v>0</v>
      </c>
      <c r="P1145">
        <f t="shared" si="106"/>
        <v>0</v>
      </c>
      <c r="Q1145" t="e">
        <f>VLOOKUP(C1145,Sheet2!A:AU,47,0)</f>
        <v>#N/A</v>
      </c>
      <c r="R1145">
        <f t="shared" si="107"/>
        <v>0</v>
      </c>
    </row>
    <row r="1146" spans="1:18" x14ac:dyDescent="0.3">
      <c r="A1146" s="1">
        <v>1144</v>
      </c>
      <c r="B1146">
        <v>0</v>
      </c>
      <c r="C1146" t="s">
        <v>829</v>
      </c>
      <c r="D1146" t="s">
        <v>89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f t="shared" si="102"/>
        <v>0.4</v>
      </c>
      <c r="M1146">
        <f t="shared" si="103"/>
        <v>0</v>
      </c>
      <c r="N1146">
        <f t="shared" si="104"/>
        <v>0</v>
      </c>
      <c r="O1146">
        <f t="shared" si="105"/>
        <v>0</v>
      </c>
      <c r="P1146">
        <f t="shared" si="106"/>
        <v>0</v>
      </c>
      <c r="Q1146" t="e">
        <f>VLOOKUP(C1146,Sheet2!A:AU,47,0)</f>
        <v>#N/A</v>
      </c>
      <c r="R1146">
        <f t="shared" si="107"/>
        <v>0</v>
      </c>
    </row>
    <row r="1147" spans="1:18" x14ac:dyDescent="0.3">
      <c r="A1147" s="1">
        <v>1145</v>
      </c>
      <c r="B1147">
        <v>0</v>
      </c>
      <c r="C1147" t="s">
        <v>830</v>
      </c>
      <c r="D1147" t="s">
        <v>89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f t="shared" si="102"/>
        <v>0.4</v>
      </c>
      <c r="M1147">
        <f t="shared" si="103"/>
        <v>0</v>
      </c>
      <c r="N1147">
        <f t="shared" si="104"/>
        <v>0</v>
      </c>
      <c r="O1147">
        <f t="shared" si="105"/>
        <v>0</v>
      </c>
      <c r="P1147">
        <f t="shared" si="106"/>
        <v>0</v>
      </c>
      <c r="Q1147" t="e">
        <f>VLOOKUP(C1147,Sheet2!A:AU,47,0)</f>
        <v>#N/A</v>
      </c>
      <c r="R1147">
        <f t="shared" si="107"/>
        <v>0</v>
      </c>
    </row>
    <row r="1148" spans="1:18" x14ac:dyDescent="0.3">
      <c r="A1148" s="1">
        <v>1146</v>
      </c>
      <c r="B1148">
        <v>0</v>
      </c>
      <c r="C1148" t="s">
        <v>831</v>
      </c>
      <c r="D1148" t="s">
        <v>89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f t="shared" si="102"/>
        <v>0.4</v>
      </c>
      <c r="M1148">
        <f t="shared" si="103"/>
        <v>0</v>
      </c>
      <c r="N1148">
        <f t="shared" si="104"/>
        <v>0</v>
      </c>
      <c r="O1148">
        <f t="shared" si="105"/>
        <v>0</v>
      </c>
      <c r="P1148">
        <f t="shared" si="106"/>
        <v>0</v>
      </c>
      <c r="Q1148" t="e">
        <f>VLOOKUP(C1148,Sheet2!A:AU,47,0)</f>
        <v>#N/A</v>
      </c>
      <c r="R1148">
        <f t="shared" si="107"/>
        <v>0</v>
      </c>
    </row>
    <row r="1149" spans="1:18" x14ac:dyDescent="0.3">
      <c r="A1149" s="1">
        <v>1147</v>
      </c>
      <c r="B1149">
        <v>0</v>
      </c>
      <c r="C1149" t="s">
        <v>832</v>
      </c>
      <c r="D1149" t="s">
        <v>89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f t="shared" si="102"/>
        <v>0.4</v>
      </c>
      <c r="M1149">
        <f t="shared" si="103"/>
        <v>0</v>
      </c>
      <c r="N1149">
        <f t="shared" si="104"/>
        <v>0</v>
      </c>
      <c r="O1149">
        <f t="shared" si="105"/>
        <v>0</v>
      </c>
      <c r="P1149">
        <f t="shared" si="106"/>
        <v>0</v>
      </c>
      <c r="Q1149" t="e">
        <f>VLOOKUP(C1149,Sheet2!A:AU,47,0)</f>
        <v>#N/A</v>
      </c>
      <c r="R1149">
        <f t="shared" si="107"/>
        <v>0</v>
      </c>
    </row>
    <row r="1150" spans="1:18" x14ac:dyDescent="0.3">
      <c r="A1150" s="1">
        <v>1148</v>
      </c>
      <c r="B1150">
        <v>0</v>
      </c>
      <c r="C1150" t="s">
        <v>833</v>
      </c>
      <c r="D1150" t="s">
        <v>286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f t="shared" si="102"/>
        <v>0.4</v>
      </c>
      <c r="M1150">
        <f t="shared" si="103"/>
        <v>0</v>
      </c>
      <c r="N1150">
        <f t="shared" si="104"/>
        <v>0</v>
      </c>
      <c r="O1150">
        <f t="shared" si="105"/>
        <v>0</v>
      </c>
      <c r="P1150">
        <f t="shared" si="106"/>
        <v>0</v>
      </c>
      <c r="Q1150" t="e">
        <f>VLOOKUP(C1150,Sheet2!A:AU,47,0)</f>
        <v>#N/A</v>
      </c>
      <c r="R1150">
        <f t="shared" si="107"/>
        <v>0</v>
      </c>
    </row>
    <row r="1151" spans="1:18" x14ac:dyDescent="0.3">
      <c r="A1151" s="1">
        <v>1149</v>
      </c>
      <c r="B1151">
        <v>0</v>
      </c>
      <c r="C1151" t="s">
        <v>834</v>
      </c>
      <c r="D1151" t="s">
        <v>286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f t="shared" si="102"/>
        <v>0.4</v>
      </c>
      <c r="M1151">
        <f t="shared" si="103"/>
        <v>0</v>
      </c>
      <c r="N1151">
        <f t="shared" si="104"/>
        <v>0</v>
      </c>
      <c r="O1151">
        <f t="shared" si="105"/>
        <v>0</v>
      </c>
      <c r="P1151">
        <f t="shared" si="106"/>
        <v>0</v>
      </c>
      <c r="Q1151" t="e">
        <f>VLOOKUP(C1151,Sheet2!A:AU,47,0)</f>
        <v>#N/A</v>
      </c>
      <c r="R1151">
        <f t="shared" si="107"/>
        <v>0</v>
      </c>
    </row>
    <row r="1152" spans="1:18" x14ac:dyDescent="0.3">
      <c r="A1152" s="1">
        <v>1150</v>
      </c>
      <c r="B1152">
        <v>0</v>
      </c>
      <c r="C1152" t="s">
        <v>835</v>
      </c>
      <c r="D1152" t="s">
        <v>286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f t="shared" si="102"/>
        <v>0.4</v>
      </c>
      <c r="M1152">
        <f t="shared" si="103"/>
        <v>0</v>
      </c>
      <c r="N1152">
        <f t="shared" si="104"/>
        <v>0</v>
      </c>
      <c r="O1152">
        <f t="shared" si="105"/>
        <v>0</v>
      </c>
      <c r="P1152">
        <f t="shared" si="106"/>
        <v>0</v>
      </c>
      <c r="Q1152" t="e">
        <f>VLOOKUP(C1152,Sheet2!A:AU,47,0)</f>
        <v>#N/A</v>
      </c>
      <c r="R1152">
        <f t="shared" si="107"/>
        <v>0</v>
      </c>
    </row>
    <row r="1153" spans="1:18" x14ac:dyDescent="0.3">
      <c r="A1153" s="1">
        <v>1151</v>
      </c>
      <c r="B1153">
        <v>0</v>
      </c>
      <c r="C1153" t="s">
        <v>836</v>
      </c>
      <c r="D1153" t="s">
        <v>286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f t="shared" si="102"/>
        <v>0.4</v>
      </c>
      <c r="M1153">
        <f t="shared" si="103"/>
        <v>0</v>
      </c>
      <c r="N1153">
        <f t="shared" si="104"/>
        <v>0</v>
      </c>
      <c r="O1153">
        <f t="shared" si="105"/>
        <v>0</v>
      </c>
      <c r="P1153">
        <f t="shared" si="106"/>
        <v>0</v>
      </c>
      <c r="Q1153" t="e">
        <f>VLOOKUP(C1153,Sheet2!A:AU,47,0)</f>
        <v>#N/A</v>
      </c>
      <c r="R1153">
        <f t="shared" si="107"/>
        <v>0</v>
      </c>
    </row>
    <row r="1154" spans="1:18" x14ac:dyDescent="0.3">
      <c r="A1154" s="1">
        <v>1152</v>
      </c>
      <c r="B1154">
        <v>0</v>
      </c>
      <c r="C1154" t="s">
        <v>837</v>
      </c>
      <c r="D1154" t="s">
        <v>286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f t="shared" si="102"/>
        <v>0.4</v>
      </c>
      <c r="M1154">
        <f t="shared" si="103"/>
        <v>0</v>
      </c>
      <c r="N1154">
        <f t="shared" si="104"/>
        <v>0</v>
      </c>
      <c r="O1154">
        <f t="shared" si="105"/>
        <v>0</v>
      </c>
      <c r="P1154">
        <f t="shared" si="106"/>
        <v>0</v>
      </c>
      <c r="Q1154" t="e">
        <f>VLOOKUP(C1154,Sheet2!A:AU,47,0)</f>
        <v>#N/A</v>
      </c>
      <c r="R1154">
        <f t="shared" si="107"/>
        <v>0</v>
      </c>
    </row>
    <row r="1155" spans="1:18" x14ac:dyDescent="0.3">
      <c r="A1155" s="1">
        <v>1153</v>
      </c>
      <c r="B1155">
        <v>0</v>
      </c>
      <c r="C1155" t="s">
        <v>838</v>
      </c>
      <c r="D1155" t="s">
        <v>286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f t="shared" ref="L1155:L1218" si="108">MAX(H:H)</f>
        <v>0.4</v>
      </c>
      <c r="M1155">
        <f t="shared" ref="M1155:M1218" si="109">MIN(H:H)</f>
        <v>0</v>
      </c>
      <c r="N1155">
        <f t="shared" ref="N1155:N1218" si="110">(H1155-M1155)/(L1155-M1155)</f>
        <v>0</v>
      </c>
      <c r="O1155">
        <f t="shared" ref="O1155:O1218" si="111">N1155*0.0442</f>
        <v>0</v>
      </c>
      <c r="P1155">
        <f t="shared" ref="P1155:P1218" si="112">O1155*100</f>
        <v>0</v>
      </c>
      <c r="Q1155" t="e">
        <f>VLOOKUP(C1155,Sheet2!A:AU,47,0)</f>
        <v>#N/A</v>
      </c>
      <c r="R1155">
        <f t="shared" ref="R1155:R1218" si="113">IFERROR((P1155+Q1155),0)</f>
        <v>0</v>
      </c>
    </row>
    <row r="1156" spans="1:18" x14ac:dyDescent="0.3">
      <c r="A1156" s="1">
        <v>1154</v>
      </c>
      <c r="B1156">
        <v>0</v>
      </c>
      <c r="C1156" t="s">
        <v>839</v>
      </c>
      <c r="D1156" t="s">
        <v>286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f t="shared" si="108"/>
        <v>0.4</v>
      </c>
      <c r="M1156">
        <f t="shared" si="109"/>
        <v>0</v>
      </c>
      <c r="N1156">
        <f t="shared" si="110"/>
        <v>0</v>
      </c>
      <c r="O1156">
        <f t="shared" si="111"/>
        <v>0</v>
      </c>
      <c r="P1156">
        <f t="shared" si="112"/>
        <v>0</v>
      </c>
      <c r="Q1156" t="e">
        <f>VLOOKUP(C1156,Sheet2!A:AU,47,0)</f>
        <v>#N/A</v>
      </c>
      <c r="R1156">
        <f t="shared" si="113"/>
        <v>0</v>
      </c>
    </row>
    <row r="1157" spans="1:18" x14ac:dyDescent="0.3">
      <c r="A1157" s="1">
        <v>1155</v>
      </c>
      <c r="B1157">
        <v>0</v>
      </c>
      <c r="C1157" t="s">
        <v>840</v>
      </c>
      <c r="D1157" t="s">
        <v>91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f t="shared" si="108"/>
        <v>0.4</v>
      </c>
      <c r="M1157">
        <f t="shared" si="109"/>
        <v>0</v>
      </c>
      <c r="N1157">
        <f t="shared" si="110"/>
        <v>0</v>
      </c>
      <c r="O1157">
        <f t="shared" si="111"/>
        <v>0</v>
      </c>
      <c r="P1157">
        <f t="shared" si="112"/>
        <v>0</v>
      </c>
      <c r="Q1157" t="e">
        <f>VLOOKUP(C1157,Sheet2!A:AU,47,0)</f>
        <v>#N/A</v>
      </c>
      <c r="R1157">
        <f t="shared" si="113"/>
        <v>0</v>
      </c>
    </row>
    <row r="1158" spans="1:18" x14ac:dyDescent="0.3">
      <c r="A1158" s="1">
        <v>1156</v>
      </c>
      <c r="B1158">
        <v>0</v>
      </c>
      <c r="C1158" t="s">
        <v>841</v>
      </c>
      <c r="D1158" t="s">
        <v>91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f t="shared" si="108"/>
        <v>0.4</v>
      </c>
      <c r="M1158">
        <f t="shared" si="109"/>
        <v>0</v>
      </c>
      <c r="N1158">
        <f t="shared" si="110"/>
        <v>0</v>
      </c>
      <c r="O1158">
        <f t="shared" si="111"/>
        <v>0</v>
      </c>
      <c r="P1158">
        <f t="shared" si="112"/>
        <v>0</v>
      </c>
      <c r="Q1158" t="e">
        <f>VLOOKUP(C1158,Sheet2!A:AU,47,0)</f>
        <v>#N/A</v>
      </c>
      <c r="R1158">
        <f t="shared" si="113"/>
        <v>0</v>
      </c>
    </row>
    <row r="1159" spans="1:18" x14ac:dyDescent="0.3">
      <c r="A1159" s="1">
        <v>1157</v>
      </c>
      <c r="B1159">
        <v>0</v>
      </c>
      <c r="C1159" t="s">
        <v>842</v>
      </c>
      <c r="D1159" t="s">
        <v>91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f t="shared" si="108"/>
        <v>0.4</v>
      </c>
      <c r="M1159">
        <f t="shared" si="109"/>
        <v>0</v>
      </c>
      <c r="N1159">
        <f t="shared" si="110"/>
        <v>0</v>
      </c>
      <c r="O1159">
        <f t="shared" si="111"/>
        <v>0</v>
      </c>
      <c r="P1159">
        <f t="shared" si="112"/>
        <v>0</v>
      </c>
      <c r="Q1159" t="e">
        <f>VLOOKUP(C1159,Sheet2!A:AU,47,0)</f>
        <v>#N/A</v>
      </c>
      <c r="R1159">
        <f t="shared" si="113"/>
        <v>0</v>
      </c>
    </row>
    <row r="1160" spans="1:18" x14ac:dyDescent="0.3">
      <c r="A1160" s="1">
        <v>1158</v>
      </c>
      <c r="B1160">
        <v>0</v>
      </c>
      <c r="C1160" t="s">
        <v>843</v>
      </c>
      <c r="D1160" t="s">
        <v>91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f t="shared" si="108"/>
        <v>0.4</v>
      </c>
      <c r="M1160">
        <f t="shared" si="109"/>
        <v>0</v>
      </c>
      <c r="N1160">
        <f t="shared" si="110"/>
        <v>0</v>
      </c>
      <c r="O1160">
        <f t="shared" si="111"/>
        <v>0</v>
      </c>
      <c r="P1160">
        <f t="shared" si="112"/>
        <v>0</v>
      </c>
      <c r="Q1160" t="e">
        <f>VLOOKUP(C1160,Sheet2!A:AU,47,0)</f>
        <v>#N/A</v>
      </c>
      <c r="R1160">
        <f t="shared" si="113"/>
        <v>0</v>
      </c>
    </row>
    <row r="1161" spans="1:18" x14ac:dyDescent="0.3">
      <c r="A1161" s="1">
        <v>1159</v>
      </c>
      <c r="B1161">
        <v>0</v>
      </c>
      <c r="C1161" t="s">
        <v>844</v>
      </c>
      <c r="D1161" t="s">
        <v>48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f t="shared" si="108"/>
        <v>0.4</v>
      </c>
      <c r="M1161">
        <f t="shared" si="109"/>
        <v>0</v>
      </c>
      <c r="N1161">
        <f t="shared" si="110"/>
        <v>0</v>
      </c>
      <c r="O1161">
        <f t="shared" si="111"/>
        <v>0</v>
      </c>
      <c r="P1161">
        <f t="shared" si="112"/>
        <v>0</v>
      </c>
      <c r="Q1161" t="e">
        <f>VLOOKUP(C1161,Sheet2!A:AU,47,0)</f>
        <v>#N/A</v>
      </c>
      <c r="R1161">
        <f t="shared" si="113"/>
        <v>0</v>
      </c>
    </row>
    <row r="1162" spans="1:18" x14ac:dyDescent="0.3">
      <c r="A1162" s="1">
        <v>1160</v>
      </c>
      <c r="B1162">
        <v>0</v>
      </c>
      <c r="C1162" t="s">
        <v>359</v>
      </c>
      <c r="D1162" t="s">
        <v>48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f t="shared" si="108"/>
        <v>0.4</v>
      </c>
      <c r="M1162">
        <f t="shared" si="109"/>
        <v>0</v>
      </c>
      <c r="N1162">
        <f t="shared" si="110"/>
        <v>0</v>
      </c>
      <c r="O1162">
        <f t="shared" si="111"/>
        <v>0</v>
      </c>
      <c r="P1162">
        <f t="shared" si="112"/>
        <v>0</v>
      </c>
      <c r="Q1162">
        <f>VLOOKUP(C1162,Sheet2!A:AU,47,0)</f>
        <v>4.7400598807758074</v>
      </c>
      <c r="R1162">
        <f t="shared" si="113"/>
        <v>4.7400598807758074</v>
      </c>
    </row>
    <row r="1163" spans="1:18" x14ac:dyDescent="0.3">
      <c r="A1163" s="1">
        <v>1161</v>
      </c>
      <c r="B1163">
        <v>0</v>
      </c>
      <c r="C1163" t="s">
        <v>845</v>
      </c>
      <c r="D1163" t="s">
        <v>48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f t="shared" si="108"/>
        <v>0.4</v>
      </c>
      <c r="M1163">
        <f t="shared" si="109"/>
        <v>0</v>
      </c>
      <c r="N1163">
        <f t="shared" si="110"/>
        <v>0</v>
      </c>
      <c r="O1163">
        <f t="shared" si="111"/>
        <v>0</v>
      </c>
      <c r="P1163">
        <f t="shared" si="112"/>
        <v>0</v>
      </c>
      <c r="Q1163" t="e">
        <f>VLOOKUP(C1163,Sheet2!A:AU,47,0)</f>
        <v>#N/A</v>
      </c>
      <c r="R1163">
        <f t="shared" si="113"/>
        <v>0</v>
      </c>
    </row>
    <row r="1164" spans="1:18" x14ac:dyDescent="0.3">
      <c r="A1164" s="1">
        <v>1162</v>
      </c>
      <c r="B1164">
        <v>0</v>
      </c>
      <c r="C1164" t="s">
        <v>846</v>
      </c>
      <c r="D1164" t="s">
        <v>48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f t="shared" si="108"/>
        <v>0.4</v>
      </c>
      <c r="M1164">
        <f t="shared" si="109"/>
        <v>0</v>
      </c>
      <c r="N1164">
        <f t="shared" si="110"/>
        <v>0</v>
      </c>
      <c r="O1164">
        <f t="shared" si="111"/>
        <v>0</v>
      </c>
      <c r="P1164">
        <f t="shared" si="112"/>
        <v>0</v>
      </c>
      <c r="Q1164" t="e">
        <f>VLOOKUP(C1164,Sheet2!A:AU,47,0)</f>
        <v>#N/A</v>
      </c>
      <c r="R1164">
        <f t="shared" si="113"/>
        <v>0</v>
      </c>
    </row>
    <row r="1165" spans="1:18" x14ac:dyDescent="0.3">
      <c r="A1165" s="1">
        <v>1163</v>
      </c>
      <c r="B1165">
        <v>0</v>
      </c>
      <c r="C1165" t="s">
        <v>847</v>
      </c>
      <c r="D1165" t="s">
        <v>48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f t="shared" si="108"/>
        <v>0.4</v>
      </c>
      <c r="M1165">
        <f t="shared" si="109"/>
        <v>0</v>
      </c>
      <c r="N1165">
        <f t="shared" si="110"/>
        <v>0</v>
      </c>
      <c r="O1165">
        <f t="shared" si="111"/>
        <v>0</v>
      </c>
      <c r="P1165">
        <f t="shared" si="112"/>
        <v>0</v>
      </c>
      <c r="Q1165" t="e">
        <f>VLOOKUP(C1165,Sheet2!A:AU,47,0)</f>
        <v>#N/A</v>
      </c>
      <c r="R1165">
        <f t="shared" si="113"/>
        <v>0</v>
      </c>
    </row>
    <row r="1166" spans="1:18" x14ac:dyDescent="0.3">
      <c r="A1166" s="1">
        <v>1164</v>
      </c>
      <c r="B1166">
        <v>0</v>
      </c>
      <c r="C1166" t="s">
        <v>848</v>
      </c>
      <c r="D1166" t="s">
        <v>48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f t="shared" si="108"/>
        <v>0.4</v>
      </c>
      <c r="M1166">
        <f t="shared" si="109"/>
        <v>0</v>
      </c>
      <c r="N1166">
        <f t="shared" si="110"/>
        <v>0</v>
      </c>
      <c r="O1166">
        <f t="shared" si="111"/>
        <v>0</v>
      </c>
      <c r="P1166">
        <f t="shared" si="112"/>
        <v>0</v>
      </c>
      <c r="Q1166" t="e">
        <f>VLOOKUP(C1166,Sheet2!A:AU,47,0)</f>
        <v>#N/A</v>
      </c>
      <c r="R1166">
        <f t="shared" si="113"/>
        <v>0</v>
      </c>
    </row>
    <row r="1167" spans="1:18" x14ac:dyDescent="0.3">
      <c r="A1167" s="1">
        <v>1165</v>
      </c>
      <c r="B1167">
        <v>0</v>
      </c>
      <c r="C1167" t="s">
        <v>849</v>
      </c>
      <c r="D1167" t="s">
        <v>48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f t="shared" si="108"/>
        <v>0.4</v>
      </c>
      <c r="M1167">
        <f t="shared" si="109"/>
        <v>0</v>
      </c>
      <c r="N1167">
        <f t="shared" si="110"/>
        <v>0</v>
      </c>
      <c r="O1167">
        <f t="shared" si="111"/>
        <v>0</v>
      </c>
      <c r="P1167">
        <f t="shared" si="112"/>
        <v>0</v>
      </c>
      <c r="Q1167" t="e">
        <f>VLOOKUP(C1167,Sheet2!A:AU,47,0)</f>
        <v>#N/A</v>
      </c>
      <c r="R1167">
        <f t="shared" si="113"/>
        <v>0</v>
      </c>
    </row>
    <row r="1168" spans="1:18" x14ac:dyDescent="0.3">
      <c r="A1168" s="1">
        <v>1166</v>
      </c>
      <c r="B1168">
        <v>0</v>
      </c>
      <c r="C1168" t="s">
        <v>850</v>
      </c>
      <c r="D1168" t="s">
        <v>48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f t="shared" si="108"/>
        <v>0.4</v>
      </c>
      <c r="M1168">
        <f t="shared" si="109"/>
        <v>0</v>
      </c>
      <c r="N1168">
        <f t="shared" si="110"/>
        <v>0</v>
      </c>
      <c r="O1168">
        <f t="shared" si="111"/>
        <v>0</v>
      </c>
      <c r="P1168">
        <f t="shared" si="112"/>
        <v>0</v>
      </c>
      <c r="Q1168" t="e">
        <f>VLOOKUP(C1168,Sheet2!A:AU,47,0)</f>
        <v>#N/A</v>
      </c>
      <c r="R1168">
        <f t="shared" si="113"/>
        <v>0</v>
      </c>
    </row>
    <row r="1169" spans="1:18" x14ac:dyDescent="0.3">
      <c r="A1169" s="1">
        <v>1167</v>
      </c>
      <c r="B1169">
        <v>0</v>
      </c>
      <c r="C1169" t="s">
        <v>851</v>
      </c>
      <c r="D1169" t="s">
        <v>48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f t="shared" si="108"/>
        <v>0.4</v>
      </c>
      <c r="M1169">
        <f t="shared" si="109"/>
        <v>0</v>
      </c>
      <c r="N1169">
        <f t="shared" si="110"/>
        <v>0</v>
      </c>
      <c r="O1169">
        <f t="shared" si="111"/>
        <v>0</v>
      </c>
      <c r="P1169">
        <f t="shared" si="112"/>
        <v>0</v>
      </c>
      <c r="Q1169" t="e">
        <f>VLOOKUP(C1169,Sheet2!A:AU,47,0)</f>
        <v>#N/A</v>
      </c>
      <c r="R1169">
        <f t="shared" si="113"/>
        <v>0</v>
      </c>
    </row>
    <row r="1170" spans="1:18" x14ac:dyDescent="0.3">
      <c r="A1170" s="1">
        <v>1168</v>
      </c>
      <c r="B1170">
        <v>0</v>
      </c>
      <c r="C1170" t="s">
        <v>852</v>
      </c>
      <c r="D1170" t="s">
        <v>48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f t="shared" si="108"/>
        <v>0.4</v>
      </c>
      <c r="M1170">
        <f t="shared" si="109"/>
        <v>0</v>
      </c>
      <c r="N1170">
        <f t="shared" si="110"/>
        <v>0</v>
      </c>
      <c r="O1170">
        <f t="shared" si="111"/>
        <v>0</v>
      </c>
      <c r="P1170">
        <f t="shared" si="112"/>
        <v>0</v>
      </c>
      <c r="Q1170" t="e">
        <f>VLOOKUP(C1170,Sheet2!A:AU,47,0)</f>
        <v>#N/A</v>
      </c>
      <c r="R1170">
        <f t="shared" si="113"/>
        <v>0</v>
      </c>
    </row>
    <row r="1171" spans="1:18" x14ac:dyDescent="0.3">
      <c r="A1171" s="1">
        <v>1169</v>
      </c>
      <c r="B1171">
        <v>0</v>
      </c>
      <c r="C1171" t="s">
        <v>853</v>
      </c>
      <c r="D1171" t="s">
        <v>114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f t="shared" si="108"/>
        <v>0.4</v>
      </c>
      <c r="M1171">
        <f t="shared" si="109"/>
        <v>0</v>
      </c>
      <c r="N1171">
        <f t="shared" si="110"/>
        <v>0</v>
      </c>
      <c r="O1171">
        <f t="shared" si="111"/>
        <v>0</v>
      </c>
      <c r="P1171">
        <f t="shared" si="112"/>
        <v>0</v>
      </c>
      <c r="Q1171" t="e">
        <f>VLOOKUP(C1171,Sheet2!A:AU,47,0)</f>
        <v>#N/A</v>
      </c>
      <c r="R1171">
        <f t="shared" si="113"/>
        <v>0</v>
      </c>
    </row>
    <row r="1172" spans="1:18" x14ac:dyDescent="0.3">
      <c r="A1172" s="1">
        <v>1170</v>
      </c>
      <c r="B1172">
        <v>0</v>
      </c>
      <c r="C1172" t="s">
        <v>854</v>
      </c>
      <c r="D1172" t="s">
        <v>114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f t="shared" si="108"/>
        <v>0.4</v>
      </c>
      <c r="M1172">
        <f t="shared" si="109"/>
        <v>0</v>
      </c>
      <c r="N1172">
        <f t="shared" si="110"/>
        <v>0</v>
      </c>
      <c r="O1172">
        <f t="shared" si="111"/>
        <v>0</v>
      </c>
      <c r="P1172">
        <f t="shared" si="112"/>
        <v>0</v>
      </c>
      <c r="Q1172" t="e">
        <f>VLOOKUP(C1172,Sheet2!A:AU,47,0)</f>
        <v>#N/A</v>
      </c>
      <c r="R1172">
        <f t="shared" si="113"/>
        <v>0</v>
      </c>
    </row>
    <row r="1173" spans="1:18" x14ac:dyDescent="0.3">
      <c r="A1173" s="1">
        <v>1171</v>
      </c>
      <c r="B1173">
        <v>0</v>
      </c>
      <c r="C1173" t="s">
        <v>855</v>
      </c>
      <c r="D1173" t="s">
        <v>114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f t="shared" si="108"/>
        <v>0.4</v>
      </c>
      <c r="M1173">
        <f t="shared" si="109"/>
        <v>0</v>
      </c>
      <c r="N1173">
        <f t="shared" si="110"/>
        <v>0</v>
      </c>
      <c r="O1173">
        <f t="shared" si="111"/>
        <v>0</v>
      </c>
      <c r="P1173">
        <f t="shared" si="112"/>
        <v>0</v>
      </c>
      <c r="Q1173" t="e">
        <f>VLOOKUP(C1173,Sheet2!A:AU,47,0)</f>
        <v>#N/A</v>
      </c>
      <c r="R1173">
        <f t="shared" si="113"/>
        <v>0</v>
      </c>
    </row>
    <row r="1174" spans="1:18" x14ac:dyDescent="0.3">
      <c r="A1174" s="1">
        <v>1172</v>
      </c>
      <c r="B1174">
        <v>0</v>
      </c>
      <c r="C1174" t="s">
        <v>856</v>
      </c>
      <c r="D1174" t="s">
        <v>114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f t="shared" si="108"/>
        <v>0.4</v>
      </c>
      <c r="M1174">
        <f t="shared" si="109"/>
        <v>0</v>
      </c>
      <c r="N1174">
        <f t="shared" si="110"/>
        <v>0</v>
      </c>
      <c r="O1174">
        <f t="shared" si="111"/>
        <v>0</v>
      </c>
      <c r="P1174">
        <f t="shared" si="112"/>
        <v>0</v>
      </c>
      <c r="Q1174" t="e">
        <f>VLOOKUP(C1174,Sheet2!A:AU,47,0)</f>
        <v>#N/A</v>
      </c>
      <c r="R1174">
        <f t="shared" si="113"/>
        <v>0</v>
      </c>
    </row>
    <row r="1175" spans="1:18" x14ac:dyDescent="0.3">
      <c r="A1175" s="1">
        <v>1173</v>
      </c>
      <c r="B1175">
        <v>0</v>
      </c>
      <c r="C1175" t="s">
        <v>857</v>
      </c>
      <c r="D1175" t="s">
        <v>114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f t="shared" si="108"/>
        <v>0.4</v>
      </c>
      <c r="M1175">
        <f t="shared" si="109"/>
        <v>0</v>
      </c>
      <c r="N1175">
        <f t="shared" si="110"/>
        <v>0</v>
      </c>
      <c r="O1175">
        <f t="shared" si="111"/>
        <v>0</v>
      </c>
      <c r="P1175">
        <f t="shared" si="112"/>
        <v>0</v>
      </c>
      <c r="Q1175" t="e">
        <f>VLOOKUP(C1175,Sheet2!A:AU,47,0)</f>
        <v>#N/A</v>
      </c>
      <c r="R1175">
        <f t="shared" si="113"/>
        <v>0</v>
      </c>
    </row>
    <row r="1176" spans="1:18" x14ac:dyDescent="0.3">
      <c r="A1176" s="1">
        <v>1174</v>
      </c>
      <c r="B1176">
        <v>0</v>
      </c>
      <c r="C1176" t="s">
        <v>858</v>
      </c>
      <c r="D1176" t="s">
        <v>114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f t="shared" si="108"/>
        <v>0.4</v>
      </c>
      <c r="M1176">
        <f t="shared" si="109"/>
        <v>0</v>
      </c>
      <c r="N1176">
        <f t="shared" si="110"/>
        <v>0</v>
      </c>
      <c r="O1176">
        <f t="shared" si="111"/>
        <v>0</v>
      </c>
      <c r="P1176">
        <f t="shared" si="112"/>
        <v>0</v>
      </c>
      <c r="Q1176" t="e">
        <f>VLOOKUP(C1176,Sheet2!A:AU,47,0)</f>
        <v>#N/A</v>
      </c>
      <c r="R1176">
        <f t="shared" si="113"/>
        <v>0</v>
      </c>
    </row>
    <row r="1177" spans="1:18" x14ac:dyDescent="0.3">
      <c r="A1177" s="1">
        <v>1175</v>
      </c>
      <c r="B1177">
        <v>0</v>
      </c>
      <c r="C1177" t="s">
        <v>859</v>
      </c>
      <c r="D1177" t="s">
        <v>74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f t="shared" si="108"/>
        <v>0.4</v>
      </c>
      <c r="M1177">
        <f t="shared" si="109"/>
        <v>0</v>
      </c>
      <c r="N1177">
        <f t="shared" si="110"/>
        <v>0</v>
      </c>
      <c r="O1177">
        <f t="shared" si="111"/>
        <v>0</v>
      </c>
      <c r="P1177">
        <f t="shared" si="112"/>
        <v>0</v>
      </c>
      <c r="Q1177" t="e">
        <f>VLOOKUP(C1177,Sheet2!A:AU,47,0)</f>
        <v>#N/A</v>
      </c>
      <c r="R1177">
        <f t="shared" si="113"/>
        <v>0</v>
      </c>
    </row>
    <row r="1178" spans="1:18" x14ac:dyDescent="0.3">
      <c r="A1178" s="1">
        <v>1176</v>
      </c>
      <c r="B1178">
        <v>0</v>
      </c>
      <c r="C1178" t="s">
        <v>860</v>
      </c>
      <c r="D1178" t="s">
        <v>74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f t="shared" si="108"/>
        <v>0.4</v>
      </c>
      <c r="M1178">
        <f t="shared" si="109"/>
        <v>0</v>
      </c>
      <c r="N1178">
        <f t="shared" si="110"/>
        <v>0</v>
      </c>
      <c r="O1178">
        <f t="shared" si="111"/>
        <v>0</v>
      </c>
      <c r="P1178">
        <f t="shared" si="112"/>
        <v>0</v>
      </c>
      <c r="Q1178" t="e">
        <f>VLOOKUP(C1178,Sheet2!A:AU,47,0)</f>
        <v>#N/A</v>
      </c>
      <c r="R1178">
        <f t="shared" si="113"/>
        <v>0</v>
      </c>
    </row>
    <row r="1179" spans="1:18" x14ac:dyDescent="0.3">
      <c r="A1179" s="1">
        <v>1177</v>
      </c>
      <c r="B1179">
        <v>0</v>
      </c>
      <c r="C1179" t="s">
        <v>861</v>
      </c>
      <c r="D1179" t="s">
        <v>74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f t="shared" si="108"/>
        <v>0.4</v>
      </c>
      <c r="M1179">
        <f t="shared" si="109"/>
        <v>0</v>
      </c>
      <c r="N1179">
        <f t="shared" si="110"/>
        <v>0</v>
      </c>
      <c r="O1179">
        <f t="shared" si="111"/>
        <v>0</v>
      </c>
      <c r="P1179">
        <f t="shared" si="112"/>
        <v>0</v>
      </c>
      <c r="Q1179" t="e">
        <f>VLOOKUP(C1179,Sheet2!A:AU,47,0)</f>
        <v>#N/A</v>
      </c>
      <c r="R1179">
        <f t="shared" si="113"/>
        <v>0</v>
      </c>
    </row>
    <row r="1180" spans="1:18" x14ac:dyDescent="0.3">
      <c r="A1180" s="1">
        <v>1178</v>
      </c>
      <c r="B1180">
        <v>0</v>
      </c>
      <c r="C1180" t="s">
        <v>862</v>
      </c>
      <c r="D1180" t="s">
        <v>74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f t="shared" si="108"/>
        <v>0.4</v>
      </c>
      <c r="M1180">
        <f t="shared" si="109"/>
        <v>0</v>
      </c>
      <c r="N1180">
        <f t="shared" si="110"/>
        <v>0</v>
      </c>
      <c r="O1180">
        <f t="shared" si="111"/>
        <v>0</v>
      </c>
      <c r="P1180">
        <f t="shared" si="112"/>
        <v>0</v>
      </c>
      <c r="Q1180" t="e">
        <f>VLOOKUP(C1180,Sheet2!A:AU,47,0)</f>
        <v>#N/A</v>
      </c>
      <c r="R1180">
        <f t="shared" si="113"/>
        <v>0</v>
      </c>
    </row>
    <row r="1181" spans="1:18" x14ac:dyDescent="0.3">
      <c r="A1181" s="1">
        <v>1179</v>
      </c>
      <c r="B1181">
        <v>0</v>
      </c>
      <c r="C1181" t="s">
        <v>863</v>
      </c>
      <c r="D1181" t="s">
        <v>74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f t="shared" si="108"/>
        <v>0.4</v>
      </c>
      <c r="M1181">
        <f t="shared" si="109"/>
        <v>0</v>
      </c>
      <c r="N1181">
        <f t="shared" si="110"/>
        <v>0</v>
      </c>
      <c r="O1181">
        <f t="shared" si="111"/>
        <v>0</v>
      </c>
      <c r="P1181">
        <f t="shared" si="112"/>
        <v>0</v>
      </c>
      <c r="Q1181" t="e">
        <f>VLOOKUP(C1181,Sheet2!A:AU,47,0)</f>
        <v>#N/A</v>
      </c>
      <c r="R1181">
        <f t="shared" si="113"/>
        <v>0</v>
      </c>
    </row>
    <row r="1182" spans="1:18" x14ac:dyDescent="0.3">
      <c r="A1182" s="1">
        <v>1180</v>
      </c>
      <c r="B1182">
        <v>0</v>
      </c>
      <c r="C1182" t="s">
        <v>864</v>
      </c>
      <c r="D1182" t="s">
        <v>74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f t="shared" si="108"/>
        <v>0.4</v>
      </c>
      <c r="M1182">
        <f t="shared" si="109"/>
        <v>0</v>
      </c>
      <c r="N1182">
        <f t="shared" si="110"/>
        <v>0</v>
      </c>
      <c r="O1182">
        <f t="shared" si="111"/>
        <v>0</v>
      </c>
      <c r="P1182">
        <f t="shared" si="112"/>
        <v>0</v>
      </c>
      <c r="Q1182" t="e">
        <f>VLOOKUP(C1182,Sheet2!A:AU,47,0)</f>
        <v>#N/A</v>
      </c>
      <c r="R1182">
        <f t="shared" si="113"/>
        <v>0</v>
      </c>
    </row>
    <row r="1183" spans="1:18" x14ac:dyDescent="0.3">
      <c r="A1183" s="1">
        <v>1181</v>
      </c>
      <c r="B1183">
        <v>0</v>
      </c>
      <c r="C1183" t="s">
        <v>865</v>
      </c>
      <c r="D1183" t="s">
        <v>74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f t="shared" si="108"/>
        <v>0.4</v>
      </c>
      <c r="M1183">
        <f t="shared" si="109"/>
        <v>0</v>
      </c>
      <c r="N1183">
        <f t="shared" si="110"/>
        <v>0</v>
      </c>
      <c r="O1183">
        <f t="shared" si="111"/>
        <v>0</v>
      </c>
      <c r="P1183">
        <f t="shared" si="112"/>
        <v>0</v>
      </c>
      <c r="Q1183" t="e">
        <f>VLOOKUP(C1183,Sheet2!A:AU,47,0)</f>
        <v>#N/A</v>
      </c>
      <c r="R1183">
        <f t="shared" si="113"/>
        <v>0</v>
      </c>
    </row>
    <row r="1184" spans="1:18" x14ac:dyDescent="0.3">
      <c r="A1184" s="1">
        <v>1182</v>
      </c>
      <c r="B1184">
        <v>0</v>
      </c>
      <c r="C1184" t="s">
        <v>866</v>
      </c>
      <c r="D1184" t="s">
        <v>74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f t="shared" si="108"/>
        <v>0.4</v>
      </c>
      <c r="M1184">
        <f t="shared" si="109"/>
        <v>0</v>
      </c>
      <c r="N1184">
        <f t="shared" si="110"/>
        <v>0</v>
      </c>
      <c r="O1184">
        <f t="shared" si="111"/>
        <v>0</v>
      </c>
      <c r="P1184">
        <f t="shared" si="112"/>
        <v>0</v>
      </c>
      <c r="Q1184" t="e">
        <f>VLOOKUP(C1184,Sheet2!A:AU,47,0)</f>
        <v>#N/A</v>
      </c>
      <c r="R1184">
        <f t="shared" si="113"/>
        <v>0</v>
      </c>
    </row>
    <row r="1185" spans="1:18" x14ac:dyDescent="0.3">
      <c r="A1185" s="1">
        <v>1183</v>
      </c>
      <c r="B1185">
        <v>0</v>
      </c>
      <c r="C1185" t="s">
        <v>867</v>
      </c>
      <c r="D1185" t="s">
        <v>74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f t="shared" si="108"/>
        <v>0.4</v>
      </c>
      <c r="M1185">
        <f t="shared" si="109"/>
        <v>0</v>
      </c>
      <c r="N1185">
        <f t="shared" si="110"/>
        <v>0</v>
      </c>
      <c r="O1185">
        <f t="shared" si="111"/>
        <v>0</v>
      </c>
      <c r="P1185">
        <f t="shared" si="112"/>
        <v>0</v>
      </c>
      <c r="Q1185" t="e">
        <f>VLOOKUP(C1185,Sheet2!A:AU,47,0)</f>
        <v>#N/A</v>
      </c>
      <c r="R1185">
        <f t="shared" si="113"/>
        <v>0</v>
      </c>
    </row>
    <row r="1186" spans="1:18" x14ac:dyDescent="0.3">
      <c r="A1186" s="1">
        <v>1184</v>
      </c>
      <c r="B1186">
        <v>0</v>
      </c>
      <c r="C1186" t="s">
        <v>868</v>
      </c>
      <c r="D1186" t="s">
        <v>74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f t="shared" si="108"/>
        <v>0.4</v>
      </c>
      <c r="M1186">
        <f t="shared" si="109"/>
        <v>0</v>
      </c>
      <c r="N1186">
        <f t="shared" si="110"/>
        <v>0</v>
      </c>
      <c r="O1186">
        <f t="shared" si="111"/>
        <v>0</v>
      </c>
      <c r="P1186">
        <f t="shared" si="112"/>
        <v>0</v>
      </c>
      <c r="Q1186" t="e">
        <f>VLOOKUP(C1186,Sheet2!A:AU,47,0)</f>
        <v>#N/A</v>
      </c>
      <c r="R1186">
        <f t="shared" si="113"/>
        <v>0</v>
      </c>
    </row>
    <row r="1187" spans="1:18" x14ac:dyDescent="0.3">
      <c r="A1187" s="1">
        <v>1185</v>
      </c>
      <c r="B1187">
        <v>0</v>
      </c>
      <c r="C1187" t="s">
        <v>869</v>
      </c>
      <c r="D1187" t="s">
        <v>298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f t="shared" si="108"/>
        <v>0.4</v>
      </c>
      <c r="M1187">
        <f t="shared" si="109"/>
        <v>0</v>
      </c>
      <c r="N1187">
        <f t="shared" si="110"/>
        <v>0</v>
      </c>
      <c r="O1187">
        <f t="shared" si="111"/>
        <v>0</v>
      </c>
      <c r="P1187">
        <f t="shared" si="112"/>
        <v>0</v>
      </c>
      <c r="Q1187" t="e">
        <f>VLOOKUP(C1187,Sheet2!A:AU,47,0)</f>
        <v>#N/A</v>
      </c>
      <c r="R1187">
        <f t="shared" si="113"/>
        <v>0</v>
      </c>
    </row>
    <row r="1188" spans="1:18" x14ac:dyDescent="0.3">
      <c r="A1188" s="1">
        <v>1186</v>
      </c>
      <c r="B1188">
        <v>0</v>
      </c>
      <c r="C1188" t="s">
        <v>870</v>
      </c>
      <c r="D1188" t="s">
        <v>298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f t="shared" si="108"/>
        <v>0.4</v>
      </c>
      <c r="M1188">
        <f t="shared" si="109"/>
        <v>0</v>
      </c>
      <c r="N1188">
        <f t="shared" si="110"/>
        <v>0</v>
      </c>
      <c r="O1188">
        <f t="shared" si="111"/>
        <v>0</v>
      </c>
      <c r="P1188">
        <f t="shared" si="112"/>
        <v>0</v>
      </c>
      <c r="Q1188" t="e">
        <f>VLOOKUP(C1188,Sheet2!A:AU,47,0)</f>
        <v>#N/A</v>
      </c>
      <c r="R1188">
        <f t="shared" si="113"/>
        <v>0</v>
      </c>
    </row>
    <row r="1189" spans="1:18" x14ac:dyDescent="0.3">
      <c r="A1189" s="1">
        <v>1187</v>
      </c>
      <c r="B1189">
        <v>0</v>
      </c>
      <c r="C1189" t="s">
        <v>871</v>
      </c>
      <c r="D1189" t="s">
        <v>298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f t="shared" si="108"/>
        <v>0.4</v>
      </c>
      <c r="M1189">
        <f t="shared" si="109"/>
        <v>0</v>
      </c>
      <c r="N1189">
        <f t="shared" si="110"/>
        <v>0</v>
      </c>
      <c r="O1189">
        <f t="shared" si="111"/>
        <v>0</v>
      </c>
      <c r="P1189">
        <f t="shared" si="112"/>
        <v>0</v>
      </c>
      <c r="Q1189" t="e">
        <f>VLOOKUP(C1189,Sheet2!A:AU,47,0)</f>
        <v>#N/A</v>
      </c>
      <c r="R1189">
        <f t="shared" si="113"/>
        <v>0</v>
      </c>
    </row>
    <row r="1190" spans="1:18" x14ac:dyDescent="0.3">
      <c r="A1190" s="1">
        <v>1188</v>
      </c>
      <c r="B1190">
        <v>0</v>
      </c>
      <c r="C1190" t="s">
        <v>872</v>
      </c>
      <c r="D1190" t="s">
        <v>298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f t="shared" si="108"/>
        <v>0.4</v>
      </c>
      <c r="M1190">
        <f t="shared" si="109"/>
        <v>0</v>
      </c>
      <c r="N1190">
        <f t="shared" si="110"/>
        <v>0</v>
      </c>
      <c r="O1190">
        <f t="shared" si="111"/>
        <v>0</v>
      </c>
      <c r="P1190">
        <f t="shared" si="112"/>
        <v>0</v>
      </c>
      <c r="Q1190" t="e">
        <f>VLOOKUP(C1190,Sheet2!A:AU,47,0)</f>
        <v>#N/A</v>
      </c>
      <c r="R1190">
        <f t="shared" si="113"/>
        <v>0</v>
      </c>
    </row>
    <row r="1191" spans="1:18" x14ac:dyDescent="0.3">
      <c r="A1191" s="1">
        <v>1189</v>
      </c>
      <c r="B1191">
        <v>0</v>
      </c>
      <c r="C1191" t="s">
        <v>873</v>
      </c>
      <c r="D1191" t="s">
        <v>298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f t="shared" si="108"/>
        <v>0.4</v>
      </c>
      <c r="M1191">
        <f t="shared" si="109"/>
        <v>0</v>
      </c>
      <c r="N1191">
        <f t="shared" si="110"/>
        <v>0</v>
      </c>
      <c r="O1191">
        <f t="shared" si="111"/>
        <v>0</v>
      </c>
      <c r="P1191">
        <f t="shared" si="112"/>
        <v>0</v>
      </c>
      <c r="Q1191" t="e">
        <f>VLOOKUP(C1191,Sheet2!A:AU,47,0)</f>
        <v>#N/A</v>
      </c>
      <c r="R1191">
        <f t="shared" si="113"/>
        <v>0</v>
      </c>
    </row>
    <row r="1192" spans="1:18" x14ac:dyDescent="0.3">
      <c r="A1192" s="1">
        <v>1190</v>
      </c>
      <c r="B1192">
        <v>0</v>
      </c>
      <c r="C1192" t="s">
        <v>874</v>
      </c>
      <c r="D1192" t="s">
        <v>298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f t="shared" si="108"/>
        <v>0.4</v>
      </c>
      <c r="M1192">
        <f t="shared" si="109"/>
        <v>0</v>
      </c>
      <c r="N1192">
        <f t="shared" si="110"/>
        <v>0</v>
      </c>
      <c r="O1192">
        <f t="shared" si="111"/>
        <v>0</v>
      </c>
      <c r="P1192">
        <f t="shared" si="112"/>
        <v>0</v>
      </c>
      <c r="Q1192" t="e">
        <f>VLOOKUP(C1192,Sheet2!A:AU,47,0)</f>
        <v>#N/A</v>
      </c>
      <c r="R1192">
        <f t="shared" si="113"/>
        <v>0</v>
      </c>
    </row>
    <row r="1193" spans="1:18" x14ac:dyDescent="0.3">
      <c r="A1193" s="1">
        <v>1191</v>
      </c>
      <c r="B1193">
        <v>0</v>
      </c>
      <c r="C1193" t="s">
        <v>875</v>
      </c>
      <c r="D1193" t="s">
        <v>298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f t="shared" si="108"/>
        <v>0.4</v>
      </c>
      <c r="M1193">
        <f t="shared" si="109"/>
        <v>0</v>
      </c>
      <c r="N1193">
        <f t="shared" si="110"/>
        <v>0</v>
      </c>
      <c r="O1193">
        <f t="shared" si="111"/>
        <v>0</v>
      </c>
      <c r="P1193">
        <f t="shared" si="112"/>
        <v>0</v>
      </c>
      <c r="Q1193" t="e">
        <f>VLOOKUP(C1193,Sheet2!A:AU,47,0)</f>
        <v>#N/A</v>
      </c>
      <c r="R1193">
        <f t="shared" si="113"/>
        <v>0</v>
      </c>
    </row>
    <row r="1194" spans="1:18" x14ac:dyDescent="0.3">
      <c r="A1194" s="1">
        <v>1192</v>
      </c>
      <c r="B1194">
        <v>0</v>
      </c>
      <c r="C1194" t="s">
        <v>876</v>
      </c>
      <c r="D1194" t="s">
        <v>298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f t="shared" si="108"/>
        <v>0.4</v>
      </c>
      <c r="M1194">
        <f t="shared" si="109"/>
        <v>0</v>
      </c>
      <c r="N1194">
        <f t="shared" si="110"/>
        <v>0</v>
      </c>
      <c r="O1194">
        <f t="shared" si="111"/>
        <v>0</v>
      </c>
      <c r="P1194">
        <f t="shared" si="112"/>
        <v>0</v>
      </c>
      <c r="Q1194" t="e">
        <f>VLOOKUP(C1194,Sheet2!A:AU,47,0)</f>
        <v>#N/A</v>
      </c>
      <c r="R1194">
        <f t="shared" si="113"/>
        <v>0</v>
      </c>
    </row>
    <row r="1195" spans="1:18" x14ac:dyDescent="0.3">
      <c r="A1195" s="1">
        <v>1193</v>
      </c>
      <c r="B1195">
        <v>0</v>
      </c>
      <c r="C1195" t="s">
        <v>877</v>
      </c>
      <c r="D1195" t="s">
        <v>33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f t="shared" si="108"/>
        <v>0.4</v>
      </c>
      <c r="M1195">
        <f t="shared" si="109"/>
        <v>0</v>
      </c>
      <c r="N1195">
        <f t="shared" si="110"/>
        <v>0</v>
      </c>
      <c r="O1195">
        <f t="shared" si="111"/>
        <v>0</v>
      </c>
      <c r="P1195">
        <f t="shared" si="112"/>
        <v>0</v>
      </c>
      <c r="Q1195" t="e">
        <f>VLOOKUP(C1195,Sheet2!A:AU,47,0)</f>
        <v>#N/A</v>
      </c>
      <c r="R1195">
        <f t="shared" si="113"/>
        <v>0</v>
      </c>
    </row>
    <row r="1196" spans="1:18" x14ac:dyDescent="0.3">
      <c r="A1196" s="1">
        <v>1194</v>
      </c>
      <c r="B1196">
        <v>0</v>
      </c>
      <c r="C1196" t="s">
        <v>878</v>
      </c>
      <c r="D1196" t="s">
        <v>33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f t="shared" si="108"/>
        <v>0.4</v>
      </c>
      <c r="M1196">
        <f t="shared" si="109"/>
        <v>0</v>
      </c>
      <c r="N1196">
        <f t="shared" si="110"/>
        <v>0</v>
      </c>
      <c r="O1196">
        <f t="shared" si="111"/>
        <v>0</v>
      </c>
      <c r="P1196">
        <f t="shared" si="112"/>
        <v>0</v>
      </c>
      <c r="Q1196" t="e">
        <f>VLOOKUP(C1196,Sheet2!A:AU,47,0)</f>
        <v>#N/A</v>
      </c>
      <c r="R1196">
        <f t="shared" si="113"/>
        <v>0</v>
      </c>
    </row>
    <row r="1197" spans="1:18" x14ac:dyDescent="0.3">
      <c r="A1197" s="1">
        <v>1195</v>
      </c>
      <c r="B1197">
        <v>0</v>
      </c>
      <c r="C1197" t="s">
        <v>879</v>
      </c>
      <c r="D1197" t="s">
        <v>33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f t="shared" si="108"/>
        <v>0.4</v>
      </c>
      <c r="M1197">
        <f t="shared" si="109"/>
        <v>0</v>
      </c>
      <c r="N1197">
        <f t="shared" si="110"/>
        <v>0</v>
      </c>
      <c r="O1197">
        <f t="shared" si="111"/>
        <v>0</v>
      </c>
      <c r="P1197">
        <f t="shared" si="112"/>
        <v>0</v>
      </c>
      <c r="Q1197" t="e">
        <f>VLOOKUP(C1197,Sheet2!A:AU,47,0)</f>
        <v>#N/A</v>
      </c>
      <c r="R1197">
        <f t="shared" si="113"/>
        <v>0</v>
      </c>
    </row>
    <row r="1198" spans="1:18" x14ac:dyDescent="0.3">
      <c r="A1198" s="1">
        <v>1196</v>
      </c>
      <c r="B1198">
        <v>0</v>
      </c>
      <c r="C1198" t="s">
        <v>880</v>
      </c>
      <c r="D1198" t="s">
        <v>33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f t="shared" si="108"/>
        <v>0.4</v>
      </c>
      <c r="M1198">
        <f t="shared" si="109"/>
        <v>0</v>
      </c>
      <c r="N1198">
        <f t="shared" si="110"/>
        <v>0</v>
      </c>
      <c r="O1198">
        <f t="shared" si="111"/>
        <v>0</v>
      </c>
      <c r="P1198">
        <f t="shared" si="112"/>
        <v>0</v>
      </c>
      <c r="Q1198" t="e">
        <f>VLOOKUP(C1198,Sheet2!A:AU,47,0)</f>
        <v>#N/A</v>
      </c>
      <c r="R1198">
        <f t="shared" si="113"/>
        <v>0</v>
      </c>
    </row>
    <row r="1199" spans="1:18" x14ac:dyDescent="0.3">
      <c r="A1199" s="1">
        <v>1197</v>
      </c>
      <c r="B1199">
        <v>0</v>
      </c>
      <c r="C1199" t="s">
        <v>881</v>
      </c>
      <c r="D1199" t="s">
        <v>33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f t="shared" si="108"/>
        <v>0.4</v>
      </c>
      <c r="M1199">
        <f t="shared" si="109"/>
        <v>0</v>
      </c>
      <c r="N1199">
        <f t="shared" si="110"/>
        <v>0</v>
      </c>
      <c r="O1199">
        <f t="shared" si="111"/>
        <v>0</v>
      </c>
      <c r="P1199">
        <f t="shared" si="112"/>
        <v>0</v>
      </c>
      <c r="Q1199" t="e">
        <f>VLOOKUP(C1199,Sheet2!A:AU,47,0)</f>
        <v>#N/A</v>
      </c>
      <c r="R1199">
        <f t="shared" si="113"/>
        <v>0</v>
      </c>
    </row>
    <row r="1200" spans="1:18" x14ac:dyDescent="0.3">
      <c r="A1200" s="1">
        <v>1198</v>
      </c>
      <c r="B1200">
        <v>0</v>
      </c>
      <c r="C1200" t="s">
        <v>882</v>
      </c>
      <c r="D1200" t="s">
        <v>33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f t="shared" si="108"/>
        <v>0.4</v>
      </c>
      <c r="M1200">
        <f t="shared" si="109"/>
        <v>0</v>
      </c>
      <c r="N1200">
        <f t="shared" si="110"/>
        <v>0</v>
      </c>
      <c r="O1200">
        <f t="shared" si="111"/>
        <v>0</v>
      </c>
      <c r="P1200">
        <f t="shared" si="112"/>
        <v>0</v>
      </c>
      <c r="Q1200" t="e">
        <f>VLOOKUP(C1200,Sheet2!A:AU,47,0)</f>
        <v>#N/A</v>
      </c>
      <c r="R1200">
        <f t="shared" si="113"/>
        <v>0</v>
      </c>
    </row>
    <row r="1201" spans="1:18" x14ac:dyDescent="0.3">
      <c r="A1201" s="1">
        <v>1199</v>
      </c>
      <c r="B1201">
        <v>0</v>
      </c>
      <c r="C1201" t="s">
        <v>883</v>
      </c>
      <c r="D1201" t="s">
        <v>54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f t="shared" si="108"/>
        <v>0.4</v>
      </c>
      <c r="M1201">
        <f t="shared" si="109"/>
        <v>0</v>
      </c>
      <c r="N1201">
        <f t="shared" si="110"/>
        <v>0</v>
      </c>
      <c r="O1201">
        <f t="shared" si="111"/>
        <v>0</v>
      </c>
      <c r="P1201">
        <f t="shared" si="112"/>
        <v>0</v>
      </c>
      <c r="Q1201" t="e">
        <f>VLOOKUP(C1201,Sheet2!A:AU,47,0)</f>
        <v>#N/A</v>
      </c>
      <c r="R1201">
        <f t="shared" si="113"/>
        <v>0</v>
      </c>
    </row>
    <row r="1202" spans="1:18" x14ac:dyDescent="0.3">
      <c r="A1202" s="1">
        <v>1200</v>
      </c>
      <c r="B1202">
        <v>0</v>
      </c>
      <c r="C1202" t="s">
        <v>884</v>
      </c>
      <c r="D1202" t="s">
        <v>54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f t="shared" si="108"/>
        <v>0.4</v>
      </c>
      <c r="M1202">
        <f t="shared" si="109"/>
        <v>0</v>
      </c>
      <c r="N1202">
        <f t="shared" si="110"/>
        <v>0</v>
      </c>
      <c r="O1202">
        <f t="shared" si="111"/>
        <v>0</v>
      </c>
      <c r="P1202">
        <f t="shared" si="112"/>
        <v>0</v>
      </c>
      <c r="Q1202" t="e">
        <f>VLOOKUP(C1202,Sheet2!A:AU,47,0)</f>
        <v>#N/A</v>
      </c>
      <c r="R1202">
        <f t="shared" si="113"/>
        <v>0</v>
      </c>
    </row>
    <row r="1203" spans="1:18" x14ac:dyDescent="0.3">
      <c r="A1203" s="1">
        <v>1201</v>
      </c>
      <c r="B1203">
        <v>0</v>
      </c>
      <c r="C1203" t="s">
        <v>885</v>
      </c>
      <c r="D1203" t="s">
        <v>54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f t="shared" si="108"/>
        <v>0.4</v>
      </c>
      <c r="M1203">
        <f t="shared" si="109"/>
        <v>0</v>
      </c>
      <c r="N1203">
        <f t="shared" si="110"/>
        <v>0</v>
      </c>
      <c r="O1203">
        <f t="shared" si="111"/>
        <v>0</v>
      </c>
      <c r="P1203">
        <f t="shared" si="112"/>
        <v>0</v>
      </c>
      <c r="Q1203" t="e">
        <f>VLOOKUP(C1203,Sheet2!A:AU,47,0)</f>
        <v>#N/A</v>
      </c>
      <c r="R1203">
        <f t="shared" si="113"/>
        <v>0</v>
      </c>
    </row>
    <row r="1204" spans="1:18" x14ac:dyDescent="0.3">
      <c r="A1204" s="1">
        <v>1202</v>
      </c>
      <c r="B1204">
        <v>0</v>
      </c>
      <c r="C1204" t="s">
        <v>886</v>
      </c>
      <c r="D1204" t="s">
        <v>16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f t="shared" si="108"/>
        <v>0.4</v>
      </c>
      <c r="M1204">
        <f t="shared" si="109"/>
        <v>0</v>
      </c>
      <c r="N1204">
        <f t="shared" si="110"/>
        <v>0</v>
      </c>
      <c r="O1204">
        <f t="shared" si="111"/>
        <v>0</v>
      </c>
      <c r="P1204">
        <f t="shared" si="112"/>
        <v>0</v>
      </c>
      <c r="Q1204" t="e">
        <f>VLOOKUP(C1204,Sheet2!A:AU,47,0)</f>
        <v>#N/A</v>
      </c>
      <c r="R1204">
        <f t="shared" si="113"/>
        <v>0</v>
      </c>
    </row>
    <row r="1205" spans="1:18" x14ac:dyDescent="0.3">
      <c r="A1205" s="1">
        <v>1203</v>
      </c>
      <c r="B1205">
        <v>0</v>
      </c>
      <c r="C1205" t="s">
        <v>887</v>
      </c>
      <c r="D1205" t="s">
        <v>16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f t="shared" si="108"/>
        <v>0.4</v>
      </c>
      <c r="M1205">
        <f t="shared" si="109"/>
        <v>0</v>
      </c>
      <c r="N1205">
        <f t="shared" si="110"/>
        <v>0</v>
      </c>
      <c r="O1205">
        <f t="shared" si="111"/>
        <v>0</v>
      </c>
      <c r="P1205">
        <f t="shared" si="112"/>
        <v>0</v>
      </c>
      <c r="Q1205" t="e">
        <f>VLOOKUP(C1205,Sheet2!A:AU,47,0)</f>
        <v>#N/A</v>
      </c>
      <c r="R1205">
        <f t="shared" si="113"/>
        <v>0</v>
      </c>
    </row>
    <row r="1206" spans="1:18" x14ac:dyDescent="0.3">
      <c r="A1206" s="1">
        <v>1204</v>
      </c>
      <c r="B1206">
        <v>0</v>
      </c>
      <c r="C1206" t="s">
        <v>888</v>
      </c>
      <c r="D1206" t="s">
        <v>16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f t="shared" si="108"/>
        <v>0.4</v>
      </c>
      <c r="M1206">
        <f t="shared" si="109"/>
        <v>0</v>
      </c>
      <c r="N1206">
        <f t="shared" si="110"/>
        <v>0</v>
      </c>
      <c r="O1206">
        <f t="shared" si="111"/>
        <v>0</v>
      </c>
      <c r="P1206">
        <f t="shared" si="112"/>
        <v>0</v>
      </c>
      <c r="Q1206" t="e">
        <f>VLOOKUP(C1206,Sheet2!A:AU,47,0)</f>
        <v>#N/A</v>
      </c>
      <c r="R1206">
        <f t="shared" si="113"/>
        <v>0</v>
      </c>
    </row>
    <row r="1207" spans="1:18" x14ac:dyDescent="0.3">
      <c r="A1207" s="1">
        <v>1205</v>
      </c>
      <c r="B1207">
        <v>0</v>
      </c>
      <c r="C1207" t="s">
        <v>889</v>
      </c>
      <c r="D1207" t="s">
        <v>16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f t="shared" si="108"/>
        <v>0.4</v>
      </c>
      <c r="M1207">
        <f t="shared" si="109"/>
        <v>0</v>
      </c>
      <c r="N1207">
        <f t="shared" si="110"/>
        <v>0</v>
      </c>
      <c r="O1207">
        <f t="shared" si="111"/>
        <v>0</v>
      </c>
      <c r="P1207">
        <f t="shared" si="112"/>
        <v>0</v>
      </c>
      <c r="Q1207" t="e">
        <f>VLOOKUP(C1207,Sheet2!A:AU,47,0)</f>
        <v>#N/A</v>
      </c>
      <c r="R1207">
        <f t="shared" si="113"/>
        <v>0</v>
      </c>
    </row>
    <row r="1208" spans="1:18" x14ac:dyDescent="0.3">
      <c r="A1208" s="1">
        <v>1206</v>
      </c>
      <c r="B1208">
        <v>0</v>
      </c>
      <c r="C1208" t="s">
        <v>890</v>
      </c>
      <c r="D1208" t="s">
        <v>16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f t="shared" si="108"/>
        <v>0.4</v>
      </c>
      <c r="M1208">
        <f t="shared" si="109"/>
        <v>0</v>
      </c>
      <c r="N1208">
        <f t="shared" si="110"/>
        <v>0</v>
      </c>
      <c r="O1208">
        <f t="shared" si="111"/>
        <v>0</v>
      </c>
      <c r="P1208">
        <f t="shared" si="112"/>
        <v>0</v>
      </c>
      <c r="Q1208" t="e">
        <f>VLOOKUP(C1208,Sheet2!A:AU,47,0)</f>
        <v>#N/A</v>
      </c>
      <c r="R1208">
        <f t="shared" si="113"/>
        <v>0</v>
      </c>
    </row>
    <row r="1209" spans="1:18" x14ac:dyDescent="0.3">
      <c r="A1209" s="1">
        <v>1207</v>
      </c>
      <c r="B1209">
        <v>0</v>
      </c>
      <c r="C1209" t="s">
        <v>891</v>
      </c>
      <c r="D1209" t="s">
        <v>16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f t="shared" si="108"/>
        <v>0.4</v>
      </c>
      <c r="M1209">
        <f t="shared" si="109"/>
        <v>0</v>
      </c>
      <c r="N1209">
        <f t="shared" si="110"/>
        <v>0</v>
      </c>
      <c r="O1209">
        <f t="shared" si="111"/>
        <v>0</v>
      </c>
      <c r="P1209">
        <f t="shared" si="112"/>
        <v>0</v>
      </c>
      <c r="Q1209" t="e">
        <f>VLOOKUP(C1209,Sheet2!A:AU,47,0)</f>
        <v>#N/A</v>
      </c>
      <c r="R1209">
        <f t="shared" si="113"/>
        <v>0</v>
      </c>
    </row>
    <row r="1210" spans="1:18" x14ac:dyDescent="0.3">
      <c r="A1210" s="1">
        <v>1208</v>
      </c>
      <c r="B1210">
        <v>0</v>
      </c>
      <c r="C1210" t="s">
        <v>892</v>
      </c>
      <c r="D1210" t="s">
        <v>16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f t="shared" si="108"/>
        <v>0.4</v>
      </c>
      <c r="M1210">
        <f t="shared" si="109"/>
        <v>0</v>
      </c>
      <c r="N1210">
        <f t="shared" si="110"/>
        <v>0</v>
      </c>
      <c r="O1210">
        <f t="shared" si="111"/>
        <v>0</v>
      </c>
      <c r="P1210">
        <f t="shared" si="112"/>
        <v>0</v>
      </c>
      <c r="Q1210" t="e">
        <f>VLOOKUP(C1210,Sheet2!A:AU,47,0)</f>
        <v>#N/A</v>
      </c>
      <c r="R1210">
        <f t="shared" si="113"/>
        <v>0</v>
      </c>
    </row>
    <row r="1211" spans="1:18" x14ac:dyDescent="0.3">
      <c r="A1211" s="1">
        <v>1209</v>
      </c>
      <c r="B1211">
        <v>0</v>
      </c>
      <c r="C1211" t="s">
        <v>893</v>
      </c>
      <c r="D1211" t="s">
        <v>16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f t="shared" si="108"/>
        <v>0.4</v>
      </c>
      <c r="M1211">
        <f t="shared" si="109"/>
        <v>0</v>
      </c>
      <c r="N1211">
        <f t="shared" si="110"/>
        <v>0</v>
      </c>
      <c r="O1211">
        <f t="shared" si="111"/>
        <v>0</v>
      </c>
      <c r="P1211">
        <f t="shared" si="112"/>
        <v>0</v>
      </c>
      <c r="Q1211" t="e">
        <f>VLOOKUP(C1211,Sheet2!A:AU,47,0)</f>
        <v>#N/A</v>
      </c>
      <c r="R1211">
        <f t="shared" si="113"/>
        <v>0</v>
      </c>
    </row>
    <row r="1212" spans="1:18" x14ac:dyDescent="0.3">
      <c r="A1212" s="1">
        <v>1210</v>
      </c>
      <c r="B1212">
        <v>0</v>
      </c>
      <c r="C1212" t="s">
        <v>894</v>
      </c>
      <c r="D1212" t="s">
        <v>16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f t="shared" si="108"/>
        <v>0.4</v>
      </c>
      <c r="M1212">
        <f t="shared" si="109"/>
        <v>0</v>
      </c>
      <c r="N1212">
        <f t="shared" si="110"/>
        <v>0</v>
      </c>
      <c r="O1212">
        <f t="shared" si="111"/>
        <v>0</v>
      </c>
      <c r="P1212">
        <f t="shared" si="112"/>
        <v>0</v>
      </c>
      <c r="Q1212" t="e">
        <f>VLOOKUP(C1212,Sheet2!A:AU,47,0)</f>
        <v>#N/A</v>
      </c>
      <c r="R1212">
        <f t="shared" si="113"/>
        <v>0</v>
      </c>
    </row>
    <row r="1213" spans="1:18" x14ac:dyDescent="0.3">
      <c r="A1213" s="1">
        <v>1211</v>
      </c>
      <c r="B1213">
        <v>0</v>
      </c>
      <c r="C1213" t="s">
        <v>895</v>
      </c>
      <c r="D1213" t="s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f t="shared" si="108"/>
        <v>0.4</v>
      </c>
      <c r="M1213">
        <f t="shared" si="109"/>
        <v>0</v>
      </c>
      <c r="N1213">
        <f t="shared" si="110"/>
        <v>0</v>
      </c>
      <c r="O1213">
        <f t="shared" si="111"/>
        <v>0</v>
      </c>
      <c r="P1213">
        <f t="shared" si="112"/>
        <v>0</v>
      </c>
      <c r="Q1213" t="e">
        <f>VLOOKUP(C1213,Sheet2!A:AU,47,0)</f>
        <v>#N/A</v>
      </c>
      <c r="R1213">
        <f t="shared" si="113"/>
        <v>0</v>
      </c>
    </row>
    <row r="1214" spans="1:18" x14ac:dyDescent="0.3">
      <c r="A1214" s="1">
        <v>1212</v>
      </c>
      <c r="B1214">
        <v>0</v>
      </c>
      <c r="C1214" t="s">
        <v>896</v>
      </c>
      <c r="D1214" t="s">
        <v>16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f t="shared" si="108"/>
        <v>0.4</v>
      </c>
      <c r="M1214">
        <f t="shared" si="109"/>
        <v>0</v>
      </c>
      <c r="N1214">
        <f t="shared" si="110"/>
        <v>0</v>
      </c>
      <c r="O1214">
        <f t="shared" si="111"/>
        <v>0</v>
      </c>
      <c r="P1214">
        <f t="shared" si="112"/>
        <v>0</v>
      </c>
      <c r="Q1214" t="e">
        <f>VLOOKUP(C1214,Sheet2!A:AU,47,0)</f>
        <v>#N/A</v>
      </c>
      <c r="R1214">
        <f t="shared" si="113"/>
        <v>0</v>
      </c>
    </row>
    <row r="1215" spans="1:18" x14ac:dyDescent="0.3">
      <c r="A1215" s="1">
        <v>1213</v>
      </c>
      <c r="B1215">
        <v>0</v>
      </c>
      <c r="C1215" t="s">
        <v>897</v>
      </c>
      <c r="D1215" t="s">
        <v>16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f t="shared" si="108"/>
        <v>0.4</v>
      </c>
      <c r="M1215">
        <f t="shared" si="109"/>
        <v>0</v>
      </c>
      <c r="N1215">
        <f t="shared" si="110"/>
        <v>0</v>
      </c>
      <c r="O1215">
        <f t="shared" si="111"/>
        <v>0</v>
      </c>
      <c r="P1215">
        <f t="shared" si="112"/>
        <v>0</v>
      </c>
      <c r="Q1215" t="e">
        <f>VLOOKUP(C1215,Sheet2!A:AU,47,0)</f>
        <v>#N/A</v>
      </c>
      <c r="R1215">
        <f t="shared" si="113"/>
        <v>0</v>
      </c>
    </row>
    <row r="1216" spans="1:18" x14ac:dyDescent="0.3">
      <c r="A1216" s="1">
        <v>1214</v>
      </c>
      <c r="B1216">
        <v>0</v>
      </c>
      <c r="C1216" t="s">
        <v>898</v>
      </c>
      <c r="D1216" t="s">
        <v>41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f t="shared" si="108"/>
        <v>0.4</v>
      </c>
      <c r="M1216">
        <f t="shared" si="109"/>
        <v>0</v>
      </c>
      <c r="N1216">
        <f t="shared" si="110"/>
        <v>0</v>
      </c>
      <c r="O1216">
        <f t="shared" si="111"/>
        <v>0</v>
      </c>
      <c r="P1216">
        <f t="shared" si="112"/>
        <v>0</v>
      </c>
      <c r="Q1216" t="e">
        <f>VLOOKUP(C1216,Sheet2!A:AU,47,0)</f>
        <v>#N/A</v>
      </c>
      <c r="R1216">
        <f t="shared" si="113"/>
        <v>0</v>
      </c>
    </row>
    <row r="1217" spans="1:18" x14ac:dyDescent="0.3">
      <c r="A1217" s="1">
        <v>1215</v>
      </c>
      <c r="B1217">
        <v>0</v>
      </c>
      <c r="C1217" t="s">
        <v>899</v>
      </c>
      <c r="D1217" t="s">
        <v>41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f t="shared" si="108"/>
        <v>0.4</v>
      </c>
      <c r="M1217">
        <f t="shared" si="109"/>
        <v>0</v>
      </c>
      <c r="N1217">
        <f t="shared" si="110"/>
        <v>0</v>
      </c>
      <c r="O1217">
        <f t="shared" si="111"/>
        <v>0</v>
      </c>
      <c r="P1217">
        <f t="shared" si="112"/>
        <v>0</v>
      </c>
      <c r="Q1217" t="e">
        <f>VLOOKUP(C1217,Sheet2!A:AU,47,0)</f>
        <v>#N/A</v>
      </c>
      <c r="R1217">
        <f t="shared" si="113"/>
        <v>0</v>
      </c>
    </row>
    <row r="1218" spans="1:18" x14ac:dyDescent="0.3">
      <c r="A1218" s="1">
        <v>1216</v>
      </c>
      <c r="B1218">
        <v>0</v>
      </c>
      <c r="C1218" t="s">
        <v>900</v>
      </c>
      <c r="D1218" t="s">
        <v>41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f t="shared" si="108"/>
        <v>0.4</v>
      </c>
      <c r="M1218">
        <f t="shared" si="109"/>
        <v>0</v>
      </c>
      <c r="N1218">
        <f t="shared" si="110"/>
        <v>0</v>
      </c>
      <c r="O1218">
        <f t="shared" si="111"/>
        <v>0</v>
      </c>
      <c r="P1218">
        <f t="shared" si="112"/>
        <v>0</v>
      </c>
      <c r="Q1218" t="e">
        <f>VLOOKUP(C1218,Sheet2!A:AU,47,0)</f>
        <v>#N/A</v>
      </c>
      <c r="R1218">
        <f t="shared" si="113"/>
        <v>0</v>
      </c>
    </row>
    <row r="1219" spans="1:18" x14ac:dyDescent="0.3">
      <c r="A1219" s="1">
        <v>1217</v>
      </c>
      <c r="B1219">
        <v>0</v>
      </c>
      <c r="C1219" t="s">
        <v>901</v>
      </c>
      <c r="D1219" t="s">
        <v>41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f t="shared" ref="L1219:L1234" si="114">MAX(H:H)</f>
        <v>0.4</v>
      </c>
      <c r="M1219">
        <f t="shared" ref="M1219:M1234" si="115">MIN(H:H)</f>
        <v>0</v>
      </c>
      <c r="N1219">
        <f t="shared" ref="N1219:N1234" si="116">(H1219-M1219)/(L1219-M1219)</f>
        <v>0</v>
      </c>
      <c r="O1219">
        <f t="shared" ref="O1219:O1234" si="117">N1219*0.0442</f>
        <v>0</v>
      </c>
      <c r="P1219">
        <f t="shared" ref="P1219:P1234" si="118">O1219*100</f>
        <v>0</v>
      </c>
      <c r="Q1219" t="e">
        <f>VLOOKUP(C1219,Sheet2!A:AU,47,0)</f>
        <v>#N/A</v>
      </c>
      <c r="R1219">
        <f t="shared" ref="R1219:R1234" si="119">IFERROR((P1219+Q1219),0)</f>
        <v>0</v>
      </c>
    </row>
    <row r="1220" spans="1:18" x14ac:dyDescent="0.3">
      <c r="A1220" s="1">
        <v>1218</v>
      </c>
      <c r="B1220">
        <v>0</v>
      </c>
      <c r="C1220" t="s">
        <v>902</v>
      </c>
      <c r="D1220" t="s">
        <v>41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f t="shared" si="114"/>
        <v>0.4</v>
      </c>
      <c r="M1220">
        <f t="shared" si="115"/>
        <v>0</v>
      </c>
      <c r="N1220">
        <f t="shared" si="116"/>
        <v>0</v>
      </c>
      <c r="O1220">
        <f t="shared" si="117"/>
        <v>0</v>
      </c>
      <c r="P1220">
        <f t="shared" si="118"/>
        <v>0</v>
      </c>
      <c r="Q1220" t="e">
        <f>VLOOKUP(C1220,Sheet2!A:AU,47,0)</f>
        <v>#N/A</v>
      </c>
      <c r="R1220">
        <f t="shared" si="119"/>
        <v>0</v>
      </c>
    </row>
    <row r="1221" spans="1:18" x14ac:dyDescent="0.3">
      <c r="A1221" s="1">
        <v>1219</v>
      </c>
      <c r="B1221">
        <v>0</v>
      </c>
      <c r="C1221" t="s">
        <v>903</v>
      </c>
      <c r="D1221" t="s">
        <v>41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f t="shared" si="114"/>
        <v>0.4</v>
      </c>
      <c r="M1221">
        <f t="shared" si="115"/>
        <v>0</v>
      </c>
      <c r="N1221">
        <f t="shared" si="116"/>
        <v>0</v>
      </c>
      <c r="O1221">
        <f t="shared" si="117"/>
        <v>0</v>
      </c>
      <c r="P1221">
        <f t="shared" si="118"/>
        <v>0</v>
      </c>
      <c r="Q1221" t="e">
        <f>VLOOKUP(C1221,Sheet2!A:AU,47,0)</f>
        <v>#N/A</v>
      </c>
      <c r="R1221">
        <f t="shared" si="119"/>
        <v>0</v>
      </c>
    </row>
    <row r="1222" spans="1:18" x14ac:dyDescent="0.3">
      <c r="A1222" s="1">
        <v>1220</v>
      </c>
      <c r="B1222">
        <v>0</v>
      </c>
      <c r="C1222" t="s">
        <v>904</v>
      </c>
      <c r="D1222" t="s">
        <v>41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f t="shared" si="114"/>
        <v>0.4</v>
      </c>
      <c r="M1222">
        <f t="shared" si="115"/>
        <v>0</v>
      </c>
      <c r="N1222">
        <f t="shared" si="116"/>
        <v>0</v>
      </c>
      <c r="O1222">
        <f t="shared" si="117"/>
        <v>0</v>
      </c>
      <c r="P1222">
        <f t="shared" si="118"/>
        <v>0</v>
      </c>
      <c r="Q1222" t="e">
        <f>VLOOKUP(C1222,Sheet2!A:AU,47,0)</f>
        <v>#N/A</v>
      </c>
      <c r="R1222">
        <f t="shared" si="119"/>
        <v>0</v>
      </c>
    </row>
    <row r="1223" spans="1:18" x14ac:dyDescent="0.3">
      <c r="A1223" s="1">
        <v>1221</v>
      </c>
      <c r="B1223">
        <v>0</v>
      </c>
      <c r="C1223" t="s">
        <v>905</v>
      </c>
      <c r="D1223" t="s">
        <v>41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f t="shared" si="114"/>
        <v>0.4</v>
      </c>
      <c r="M1223">
        <f t="shared" si="115"/>
        <v>0</v>
      </c>
      <c r="N1223">
        <f t="shared" si="116"/>
        <v>0</v>
      </c>
      <c r="O1223">
        <f t="shared" si="117"/>
        <v>0</v>
      </c>
      <c r="P1223">
        <f t="shared" si="118"/>
        <v>0</v>
      </c>
      <c r="Q1223" t="e">
        <f>VLOOKUP(C1223,Sheet2!A:AU,47,0)</f>
        <v>#N/A</v>
      </c>
      <c r="R1223">
        <f t="shared" si="119"/>
        <v>0</v>
      </c>
    </row>
    <row r="1224" spans="1:18" x14ac:dyDescent="0.3">
      <c r="A1224" s="1">
        <v>1222</v>
      </c>
      <c r="B1224">
        <v>0</v>
      </c>
      <c r="C1224" t="s">
        <v>906</v>
      </c>
      <c r="D1224" t="s">
        <v>41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f t="shared" si="114"/>
        <v>0.4</v>
      </c>
      <c r="M1224">
        <f t="shared" si="115"/>
        <v>0</v>
      </c>
      <c r="N1224">
        <f t="shared" si="116"/>
        <v>0</v>
      </c>
      <c r="O1224">
        <f t="shared" si="117"/>
        <v>0</v>
      </c>
      <c r="P1224">
        <f t="shared" si="118"/>
        <v>0</v>
      </c>
      <c r="Q1224" t="e">
        <f>VLOOKUP(C1224,Sheet2!A:AU,47,0)</f>
        <v>#N/A</v>
      </c>
      <c r="R1224">
        <f t="shared" si="119"/>
        <v>0</v>
      </c>
    </row>
    <row r="1225" spans="1:18" x14ac:dyDescent="0.3">
      <c r="A1225" s="1">
        <v>1223</v>
      </c>
      <c r="B1225">
        <v>0</v>
      </c>
      <c r="C1225" t="s">
        <v>907</v>
      </c>
      <c r="D1225" t="s">
        <v>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f t="shared" si="114"/>
        <v>0.4</v>
      </c>
      <c r="M1225">
        <f t="shared" si="115"/>
        <v>0</v>
      </c>
      <c r="N1225">
        <f t="shared" si="116"/>
        <v>0</v>
      </c>
      <c r="O1225">
        <f t="shared" si="117"/>
        <v>0</v>
      </c>
      <c r="P1225">
        <f t="shared" si="118"/>
        <v>0</v>
      </c>
      <c r="Q1225" t="e">
        <f>VLOOKUP(C1225,Sheet2!A:AU,47,0)</f>
        <v>#N/A</v>
      </c>
      <c r="R1225">
        <f t="shared" si="119"/>
        <v>0</v>
      </c>
    </row>
    <row r="1226" spans="1:18" x14ac:dyDescent="0.3">
      <c r="A1226" s="1">
        <v>1224</v>
      </c>
      <c r="B1226">
        <v>0</v>
      </c>
      <c r="C1226" t="s">
        <v>908</v>
      </c>
      <c r="D1226" t="s">
        <v>402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f t="shared" si="114"/>
        <v>0.4</v>
      </c>
      <c r="M1226">
        <f t="shared" si="115"/>
        <v>0</v>
      </c>
      <c r="N1226">
        <f t="shared" si="116"/>
        <v>0</v>
      </c>
      <c r="O1226">
        <f t="shared" si="117"/>
        <v>0</v>
      </c>
      <c r="P1226">
        <f t="shared" si="118"/>
        <v>0</v>
      </c>
      <c r="Q1226" t="e">
        <f>VLOOKUP(C1226,Sheet2!A:AU,47,0)</f>
        <v>#N/A</v>
      </c>
      <c r="R1226">
        <f t="shared" si="119"/>
        <v>0</v>
      </c>
    </row>
    <row r="1227" spans="1:18" x14ac:dyDescent="0.3">
      <c r="A1227" s="1">
        <v>1225</v>
      </c>
      <c r="B1227">
        <v>0</v>
      </c>
      <c r="C1227" t="s">
        <v>909</v>
      </c>
      <c r="D1227" t="s">
        <v>402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f t="shared" si="114"/>
        <v>0.4</v>
      </c>
      <c r="M1227">
        <f t="shared" si="115"/>
        <v>0</v>
      </c>
      <c r="N1227">
        <f t="shared" si="116"/>
        <v>0</v>
      </c>
      <c r="O1227">
        <f t="shared" si="117"/>
        <v>0</v>
      </c>
      <c r="P1227">
        <f t="shared" si="118"/>
        <v>0</v>
      </c>
      <c r="Q1227" t="e">
        <f>VLOOKUP(C1227,Sheet2!A:AU,47,0)</f>
        <v>#N/A</v>
      </c>
      <c r="R1227">
        <f t="shared" si="119"/>
        <v>0</v>
      </c>
    </row>
    <row r="1228" spans="1:18" x14ac:dyDescent="0.3">
      <c r="A1228" s="1">
        <v>1226</v>
      </c>
      <c r="B1228">
        <v>0</v>
      </c>
      <c r="C1228" t="s">
        <v>910</v>
      </c>
      <c r="D1228" t="s">
        <v>402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f t="shared" si="114"/>
        <v>0.4</v>
      </c>
      <c r="M1228">
        <f t="shared" si="115"/>
        <v>0</v>
      </c>
      <c r="N1228">
        <f t="shared" si="116"/>
        <v>0</v>
      </c>
      <c r="O1228">
        <f t="shared" si="117"/>
        <v>0</v>
      </c>
      <c r="P1228">
        <f t="shared" si="118"/>
        <v>0</v>
      </c>
      <c r="Q1228" t="e">
        <f>VLOOKUP(C1228,Sheet2!A:AU,47,0)</f>
        <v>#N/A</v>
      </c>
      <c r="R1228">
        <f t="shared" si="119"/>
        <v>0</v>
      </c>
    </row>
    <row r="1229" spans="1:18" x14ac:dyDescent="0.3">
      <c r="A1229" s="1">
        <v>1227</v>
      </c>
      <c r="B1229">
        <v>0</v>
      </c>
      <c r="C1229" t="s">
        <v>911</v>
      </c>
      <c r="D1229" t="s">
        <v>402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f t="shared" si="114"/>
        <v>0.4</v>
      </c>
      <c r="M1229">
        <f t="shared" si="115"/>
        <v>0</v>
      </c>
      <c r="N1229">
        <f t="shared" si="116"/>
        <v>0</v>
      </c>
      <c r="O1229">
        <f t="shared" si="117"/>
        <v>0</v>
      </c>
      <c r="P1229">
        <f t="shared" si="118"/>
        <v>0</v>
      </c>
      <c r="Q1229" t="e">
        <f>VLOOKUP(C1229,Sheet2!A:AU,47,0)</f>
        <v>#N/A</v>
      </c>
      <c r="R1229">
        <f t="shared" si="119"/>
        <v>0</v>
      </c>
    </row>
    <row r="1230" spans="1:18" x14ac:dyDescent="0.3">
      <c r="A1230" s="1">
        <v>1228</v>
      </c>
      <c r="B1230">
        <v>0</v>
      </c>
      <c r="C1230" t="s">
        <v>912</v>
      </c>
      <c r="D1230" t="s">
        <v>402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f t="shared" si="114"/>
        <v>0.4</v>
      </c>
      <c r="M1230">
        <f t="shared" si="115"/>
        <v>0</v>
      </c>
      <c r="N1230">
        <f t="shared" si="116"/>
        <v>0</v>
      </c>
      <c r="O1230">
        <f t="shared" si="117"/>
        <v>0</v>
      </c>
      <c r="P1230">
        <f t="shared" si="118"/>
        <v>0</v>
      </c>
      <c r="Q1230" t="e">
        <f>VLOOKUP(C1230,Sheet2!A:AU,47,0)</f>
        <v>#N/A</v>
      </c>
      <c r="R1230">
        <f t="shared" si="119"/>
        <v>0</v>
      </c>
    </row>
    <row r="1231" spans="1:18" x14ac:dyDescent="0.3">
      <c r="A1231" s="1">
        <v>1229</v>
      </c>
      <c r="B1231">
        <v>0</v>
      </c>
      <c r="C1231" t="s">
        <v>913</v>
      </c>
      <c r="D1231" t="s">
        <v>402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f t="shared" si="114"/>
        <v>0.4</v>
      </c>
      <c r="M1231">
        <f t="shared" si="115"/>
        <v>0</v>
      </c>
      <c r="N1231">
        <f t="shared" si="116"/>
        <v>0</v>
      </c>
      <c r="O1231">
        <f t="shared" si="117"/>
        <v>0</v>
      </c>
      <c r="P1231">
        <f t="shared" si="118"/>
        <v>0</v>
      </c>
      <c r="Q1231" t="e">
        <f>VLOOKUP(C1231,Sheet2!A:AU,47,0)</f>
        <v>#N/A</v>
      </c>
      <c r="R1231">
        <f t="shared" si="119"/>
        <v>0</v>
      </c>
    </row>
    <row r="1232" spans="1:18" x14ac:dyDescent="0.3">
      <c r="A1232" s="1">
        <v>1230</v>
      </c>
      <c r="B1232">
        <v>0</v>
      </c>
      <c r="C1232" t="s">
        <v>914</v>
      </c>
      <c r="D1232" t="s">
        <v>402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f t="shared" si="114"/>
        <v>0.4</v>
      </c>
      <c r="M1232">
        <f t="shared" si="115"/>
        <v>0</v>
      </c>
      <c r="N1232">
        <f t="shared" si="116"/>
        <v>0</v>
      </c>
      <c r="O1232">
        <f t="shared" si="117"/>
        <v>0</v>
      </c>
      <c r="P1232">
        <f t="shared" si="118"/>
        <v>0</v>
      </c>
      <c r="Q1232" t="e">
        <f>VLOOKUP(C1232,Sheet2!A:AU,47,0)</f>
        <v>#N/A</v>
      </c>
      <c r="R1232">
        <f t="shared" si="119"/>
        <v>0</v>
      </c>
    </row>
    <row r="1233" spans="1:18" x14ac:dyDescent="0.3">
      <c r="A1233" s="1">
        <v>1231</v>
      </c>
      <c r="B1233">
        <v>0</v>
      </c>
      <c r="C1233" t="s">
        <v>915</v>
      </c>
      <c r="D1233" t="s">
        <v>402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f t="shared" si="114"/>
        <v>0.4</v>
      </c>
      <c r="M1233">
        <f t="shared" si="115"/>
        <v>0</v>
      </c>
      <c r="N1233">
        <f t="shared" si="116"/>
        <v>0</v>
      </c>
      <c r="O1233">
        <f t="shared" si="117"/>
        <v>0</v>
      </c>
      <c r="P1233">
        <f t="shared" si="118"/>
        <v>0</v>
      </c>
      <c r="Q1233" t="e">
        <f>VLOOKUP(C1233,Sheet2!A:AU,47,0)</f>
        <v>#N/A</v>
      </c>
      <c r="R1233">
        <f t="shared" si="119"/>
        <v>0</v>
      </c>
    </row>
    <row r="1234" spans="1:18" x14ac:dyDescent="0.3">
      <c r="A1234" s="1">
        <v>1232</v>
      </c>
      <c r="B1234">
        <v>0</v>
      </c>
      <c r="C1234" t="s">
        <v>916</v>
      </c>
      <c r="D1234" t="s">
        <v>402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f t="shared" si="114"/>
        <v>0.4</v>
      </c>
      <c r="M1234">
        <f t="shared" si="115"/>
        <v>0</v>
      </c>
      <c r="N1234">
        <f t="shared" si="116"/>
        <v>0</v>
      </c>
      <c r="O1234">
        <f t="shared" si="117"/>
        <v>0</v>
      </c>
      <c r="P1234">
        <f t="shared" si="118"/>
        <v>0</v>
      </c>
      <c r="Q1234" t="e">
        <f>VLOOKUP(C1234,Sheet2!A:AU,47,0)</f>
        <v>#N/A</v>
      </c>
      <c r="R1234">
        <f t="shared" si="119"/>
        <v>0</v>
      </c>
    </row>
  </sheetData>
  <autoFilter ref="A1:P1234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7"/>
  <sheetViews>
    <sheetView topLeftCell="Z1" workbookViewId="0"/>
  </sheetViews>
  <sheetFormatPr defaultRowHeight="16.5" x14ac:dyDescent="0.3"/>
  <sheetData>
    <row r="1" spans="1:4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918</v>
      </c>
      <c r="F1" s="1" t="s">
        <v>919</v>
      </c>
      <c r="G1" s="1" t="s">
        <v>920</v>
      </c>
      <c r="H1" s="1" t="s">
        <v>921</v>
      </c>
      <c r="I1" s="1" t="s">
        <v>922</v>
      </c>
      <c r="J1" s="1" t="s">
        <v>923</v>
      </c>
      <c r="K1" s="1" t="s">
        <v>924</v>
      </c>
      <c r="L1" s="1" t="s">
        <v>925</v>
      </c>
      <c r="M1" s="1" t="s">
        <v>926</v>
      </c>
      <c r="N1" s="1" t="s">
        <v>927</v>
      </c>
      <c r="O1" s="1" t="s">
        <v>928</v>
      </c>
      <c r="P1" s="1" t="s">
        <v>929</v>
      </c>
      <c r="Q1" s="1" t="s">
        <v>930</v>
      </c>
      <c r="R1" s="1" t="s">
        <v>931</v>
      </c>
      <c r="S1" s="1" t="s">
        <v>932</v>
      </c>
      <c r="T1" s="1" t="s">
        <v>933</v>
      </c>
      <c r="U1" s="1" t="s">
        <v>934</v>
      </c>
      <c r="V1" s="1" t="s">
        <v>935</v>
      </c>
      <c r="W1" s="1" t="s">
        <v>936</v>
      </c>
      <c r="X1" s="1" t="s">
        <v>937</v>
      </c>
      <c r="Y1" s="1" t="s">
        <v>938</v>
      </c>
      <c r="Z1" s="1" t="s">
        <v>939</v>
      </c>
      <c r="AA1" s="1" t="s">
        <v>940</v>
      </c>
      <c r="AB1" s="1" t="s">
        <v>941</v>
      </c>
      <c r="AC1" s="1" t="s">
        <v>942</v>
      </c>
      <c r="AD1" s="1" t="s">
        <v>943</v>
      </c>
      <c r="AE1" s="1" t="s">
        <v>944</v>
      </c>
      <c r="AF1" s="1" t="s">
        <v>945</v>
      </c>
      <c r="AG1" s="1" t="s">
        <v>946</v>
      </c>
      <c r="AH1" s="1" t="s">
        <v>947</v>
      </c>
      <c r="AI1" s="1" t="s">
        <v>948</v>
      </c>
      <c r="AJ1" s="1" t="s">
        <v>949</v>
      </c>
      <c r="AK1" s="1" t="s">
        <v>950</v>
      </c>
      <c r="AL1" s="1" t="s">
        <v>951</v>
      </c>
      <c r="AM1" s="1" t="s">
        <v>952</v>
      </c>
      <c r="AN1" s="1" t="s">
        <v>953</v>
      </c>
      <c r="AO1" s="1" t="s">
        <v>954</v>
      </c>
      <c r="AP1" s="1" t="s">
        <v>955</v>
      </c>
      <c r="AQ1" s="1" t="s">
        <v>5</v>
      </c>
      <c r="AR1" s="1" t="s">
        <v>956</v>
      </c>
      <c r="AS1" s="1" t="s">
        <v>957</v>
      </c>
      <c r="AT1" s="1" t="s">
        <v>958</v>
      </c>
      <c r="AU1" s="1" t="s">
        <v>9</v>
      </c>
    </row>
    <row r="2" spans="1:49" x14ac:dyDescent="0.3">
      <c r="A2" t="s">
        <v>10</v>
      </c>
      <c r="B2" t="s">
        <v>11</v>
      </c>
      <c r="C2">
        <v>1</v>
      </c>
      <c r="D2" t="s">
        <v>12</v>
      </c>
      <c r="E2">
        <v>17</v>
      </c>
      <c r="F2">
        <v>9</v>
      </c>
      <c r="G2">
        <v>10</v>
      </c>
      <c r="H2">
        <v>3</v>
      </c>
      <c r="I2">
        <v>9</v>
      </c>
      <c r="J2">
        <v>7</v>
      </c>
      <c r="K2">
        <v>4</v>
      </c>
      <c r="L2">
        <v>6</v>
      </c>
      <c r="M2">
        <v>10</v>
      </c>
      <c r="N2">
        <v>10</v>
      </c>
      <c r="O2">
        <v>13</v>
      </c>
      <c r="P2">
        <v>14</v>
      </c>
      <c r="Q2">
        <v>10</v>
      </c>
      <c r="R2">
        <v>11</v>
      </c>
      <c r="S2">
        <v>9</v>
      </c>
      <c r="T2">
        <v>12</v>
      </c>
      <c r="U2">
        <v>12</v>
      </c>
      <c r="V2">
        <v>10</v>
      </c>
      <c r="W2">
        <v>18</v>
      </c>
      <c r="X2">
        <v>8</v>
      </c>
      <c r="Y2">
        <v>8</v>
      </c>
      <c r="Z2">
        <v>3</v>
      </c>
      <c r="AA2">
        <v>8</v>
      </c>
      <c r="AB2">
        <v>7</v>
      </c>
      <c r="AC2">
        <v>5</v>
      </c>
      <c r="AD2">
        <v>11</v>
      </c>
      <c r="AE2">
        <v>3</v>
      </c>
      <c r="AF2">
        <v>7</v>
      </c>
      <c r="AG2">
        <v>10</v>
      </c>
      <c r="AH2">
        <v>10</v>
      </c>
      <c r="AI2">
        <v>7</v>
      </c>
      <c r="AJ2">
        <v>10</v>
      </c>
      <c r="AK2">
        <v>6</v>
      </c>
      <c r="AL2">
        <v>8</v>
      </c>
      <c r="AM2">
        <v>13</v>
      </c>
      <c r="AN2">
        <v>11</v>
      </c>
      <c r="AO2">
        <v>7</v>
      </c>
      <c r="AP2">
        <v>13</v>
      </c>
      <c r="AQ2">
        <v>349</v>
      </c>
      <c r="AR2">
        <v>2.8653295128939829</v>
      </c>
      <c r="AS2">
        <f>(AR2-AW2)/(AV2-AW2)</f>
        <v>0.95365900661847502</v>
      </c>
      <c r="AT2">
        <f>AS2*0.0804</f>
        <v>7.6674184132125386E-2</v>
      </c>
      <c r="AU2">
        <f>AT2*100</f>
        <v>7.6674184132125385</v>
      </c>
      <c r="AV2">
        <f>MAX(AR:AR)</f>
        <v>3</v>
      </c>
      <c r="AW2">
        <f>MIN(AR:AR)</f>
        <v>9.3923170846247697E-2</v>
      </c>
    </row>
    <row r="3" spans="1:49" x14ac:dyDescent="0.3">
      <c r="A3" t="s">
        <v>13</v>
      </c>
      <c r="B3" t="s">
        <v>14</v>
      </c>
      <c r="C3">
        <v>1</v>
      </c>
      <c r="D3" t="s">
        <v>12</v>
      </c>
      <c r="E3">
        <v>52</v>
      </c>
      <c r="F3">
        <v>35</v>
      </c>
      <c r="G3">
        <v>31</v>
      </c>
      <c r="H3">
        <v>23</v>
      </c>
      <c r="I3">
        <v>25</v>
      </c>
      <c r="J3">
        <v>27</v>
      </c>
      <c r="K3">
        <v>16</v>
      </c>
      <c r="L3">
        <v>25</v>
      </c>
      <c r="M3">
        <v>22</v>
      </c>
      <c r="N3">
        <v>24</v>
      </c>
      <c r="O3">
        <v>24</v>
      </c>
      <c r="P3">
        <v>25</v>
      </c>
      <c r="Q3">
        <v>28</v>
      </c>
      <c r="R3">
        <v>19</v>
      </c>
      <c r="S3">
        <v>14</v>
      </c>
      <c r="T3">
        <v>17</v>
      </c>
      <c r="U3">
        <v>33</v>
      </c>
      <c r="V3">
        <v>31</v>
      </c>
      <c r="W3">
        <v>42</v>
      </c>
      <c r="X3">
        <v>52</v>
      </c>
      <c r="Y3">
        <v>33</v>
      </c>
      <c r="Z3">
        <v>26</v>
      </c>
      <c r="AA3">
        <v>22</v>
      </c>
      <c r="AB3">
        <v>19</v>
      </c>
      <c r="AC3">
        <v>19</v>
      </c>
      <c r="AD3">
        <v>21</v>
      </c>
      <c r="AE3">
        <v>13</v>
      </c>
      <c r="AF3">
        <v>26</v>
      </c>
      <c r="AG3">
        <v>27</v>
      </c>
      <c r="AH3">
        <v>27</v>
      </c>
      <c r="AI3">
        <v>24</v>
      </c>
      <c r="AJ3">
        <v>23</v>
      </c>
      <c r="AK3">
        <v>25</v>
      </c>
      <c r="AL3">
        <v>26</v>
      </c>
      <c r="AM3">
        <v>18</v>
      </c>
      <c r="AN3">
        <v>29</v>
      </c>
      <c r="AO3">
        <v>28</v>
      </c>
      <c r="AP3">
        <v>32</v>
      </c>
      <c r="AQ3">
        <v>1003</v>
      </c>
      <c r="AR3">
        <v>0.99700897308075764</v>
      </c>
      <c r="AS3">
        <f t="shared" ref="AS3:AS66" si="0">(AR3-AW3)/(AV3-AW3)</f>
        <v>0.31075771747489828</v>
      </c>
      <c r="AT3">
        <f t="shared" ref="AT3:AT66" si="1">AS3*0.0804</f>
        <v>2.4984920484981823E-2</v>
      </c>
      <c r="AU3">
        <f t="shared" ref="AU3:AU66" si="2">AT3*100</f>
        <v>2.4984920484981821</v>
      </c>
      <c r="AV3">
        <f t="shared" ref="AV3:AV66" si="3">MAX(AR:AR)</f>
        <v>3</v>
      </c>
      <c r="AW3">
        <f t="shared" ref="AW3:AW66" si="4">MIN(AR:AR)</f>
        <v>9.3923170846247697E-2</v>
      </c>
    </row>
    <row r="4" spans="1:49" x14ac:dyDescent="0.3">
      <c r="A4" t="s">
        <v>15</v>
      </c>
      <c r="B4" t="s">
        <v>16</v>
      </c>
      <c r="C4">
        <v>1</v>
      </c>
      <c r="D4" t="s">
        <v>17</v>
      </c>
      <c r="E4">
        <v>172</v>
      </c>
      <c r="F4">
        <v>180</v>
      </c>
      <c r="G4">
        <v>170</v>
      </c>
      <c r="H4">
        <v>200</v>
      </c>
      <c r="I4">
        <v>210</v>
      </c>
      <c r="J4">
        <v>224</v>
      </c>
      <c r="K4">
        <v>247</v>
      </c>
      <c r="L4">
        <v>253</v>
      </c>
      <c r="M4">
        <v>289</v>
      </c>
      <c r="N4">
        <v>276</v>
      </c>
      <c r="O4">
        <v>328</v>
      </c>
      <c r="P4">
        <v>259</v>
      </c>
      <c r="Q4">
        <v>273</v>
      </c>
      <c r="R4">
        <v>264</v>
      </c>
      <c r="S4">
        <v>216</v>
      </c>
      <c r="T4">
        <v>184</v>
      </c>
      <c r="U4">
        <v>180</v>
      </c>
      <c r="V4">
        <v>147</v>
      </c>
      <c r="W4">
        <v>163</v>
      </c>
      <c r="X4">
        <v>175</v>
      </c>
      <c r="Y4">
        <v>213</v>
      </c>
      <c r="Z4">
        <v>191</v>
      </c>
      <c r="AA4">
        <v>183</v>
      </c>
      <c r="AB4">
        <v>185</v>
      </c>
      <c r="AC4">
        <v>189</v>
      </c>
      <c r="AD4">
        <v>226</v>
      </c>
      <c r="AE4">
        <v>253</v>
      </c>
      <c r="AF4">
        <v>252</v>
      </c>
      <c r="AG4">
        <v>278</v>
      </c>
      <c r="AH4">
        <v>281</v>
      </c>
      <c r="AI4">
        <v>254</v>
      </c>
      <c r="AJ4">
        <v>231</v>
      </c>
      <c r="AK4">
        <v>240</v>
      </c>
      <c r="AL4">
        <v>228</v>
      </c>
      <c r="AM4">
        <v>155</v>
      </c>
      <c r="AN4">
        <v>172</v>
      </c>
      <c r="AO4">
        <v>154</v>
      </c>
      <c r="AP4">
        <v>165</v>
      </c>
      <c r="AQ4">
        <v>8260</v>
      </c>
      <c r="AR4">
        <v>0.1210653753026634</v>
      </c>
      <c r="AS4">
        <f t="shared" si="0"/>
        <v>9.3398096650870351E-3</v>
      </c>
      <c r="AT4">
        <f t="shared" si="1"/>
        <v>7.509206970729976E-4</v>
      </c>
      <c r="AU4">
        <f t="shared" si="2"/>
        <v>7.5092069707299758E-2</v>
      </c>
      <c r="AV4">
        <f t="shared" si="3"/>
        <v>3</v>
      </c>
      <c r="AW4">
        <f t="shared" si="4"/>
        <v>9.3923170846247697E-2</v>
      </c>
    </row>
    <row r="5" spans="1:49" x14ac:dyDescent="0.3">
      <c r="A5" t="s">
        <v>18</v>
      </c>
      <c r="B5" t="s">
        <v>16</v>
      </c>
      <c r="C5">
        <v>3</v>
      </c>
      <c r="D5" t="s">
        <v>17</v>
      </c>
      <c r="E5">
        <v>40</v>
      </c>
      <c r="F5">
        <v>43</v>
      </c>
      <c r="G5">
        <v>29</v>
      </c>
      <c r="H5">
        <v>27</v>
      </c>
      <c r="I5">
        <v>22</v>
      </c>
      <c r="J5">
        <v>23</v>
      </c>
      <c r="K5">
        <v>25</v>
      </c>
      <c r="L5">
        <v>26</v>
      </c>
      <c r="M5">
        <v>31</v>
      </c>
      <c r="N5">
        <v>29</v>
      </c>
      <c r="O5">
        <v>28</v>
      </c>
      <c r="P5">
        <v>36</v>
      </c>
      <c r="Q5">
        <v>34</v>
      </c>
      <c r="R5">
        <v>39</v>
      </c>
      <c r="S5">
        <v>27</v>
      </c>
      <c r="T5">
        <v>45</v>
      </c>
      <c r="U5">
        <v>33</v>
      </c>
      <c r="V5">
        <v>35</v>
      </c>
      <c r="W5">
        <v>43</v>
      </c>
      <c r="X5">
        <v>43</v>
      </c>
      <c r="Y5">
        <v>36</v>
      </c>
      <c r="Z5">
        <v>20</v>
      </c>
      <c r="AA5">
        <v>16</v>
      </c>
      <c r="AB5">
        <v>21</v>
      </c>
      <c r="AC5">
        <v>21</v>
      </c>
      <c r="AD5">
        <v>21</v>
      </c>
      <c r="AE5">
        <v>23</v>
      </c>
      <c r="AF5">
        <v>23</v>
      </c>
      <c r="AG5">
        <v>25</v>
      </c>
      <c r="AH5">
        <v>23</v>
      </c>
      <c r="AI5">
        <v>33</v>
      </c>
      <c r="AJ5">
        <v>24</v>
      </c>
      <c r="AK5">
        <v>25</v>
      </c>
      <c r="AL5">
        <v>30</v>
      </c>
      <c r="AM5">
        <v>33</v>
      </c>
      <c r="AN5">
        <v>22</v>
      </c>
      <c r="AO5">
        <v>38</v>
      </c>
      <c r="AP5">
        <v>42</v>
      </c>
      <c r="AQ5">
        <v>1134</v>
      </c>
      <c r="AR5">
        <v>2.645502645502646</v>
      </c>
      <c r="AS5">
        <f t="shared" si="0"/>
        <v>0.87801514710793682</v>
      </c>
      <c r="AT5">
        <f t="shared" si="1"/>
        <v>7.0592417827478118E-2</v>
      </c>
      <c r="AU5">
        <f t="shared" si="2"/>
        <v>7.0592417827478116</v>
      </c>
      <c r="AV5">
        <f t="shared" si="3"/>
        <v>3</v>
      </c>
      <c r="AW5">
        <f t="shared" si="4"/>
        <v>9.3923170846247697E-2</v>
      </c>
    </row>
    <row r="6" spans="1:49" x14ac:dyDescent="0.3">
      <c r="A6" t="s">
        <v>19</v>
      </c>
      <c r="B6" t="s">
        <v>16</v>
      </c>
      <c r="C6">
        <v>2</v>
      </c>
      <c r="D6" t="s">
        <v>17</v>
      </c>
      <c r="E6">
        <v>49</v>
      </c>
      <c r="F6">
        <v>51</v>
      </c>
      <c r="G6">
        <v>33</v>
      </c>
      <c r="H6">
        <v>39</v>
      </c>
      <c r="I6">
        <v>32</v>
      </c>
      <c r="J6">
        <v>48</v>
      </c>
      <c r="K6">
        <v>43</v>
      </c>
      <c r="L6">
        <v>37</v>
      </c>
      <c r="M6">
        <v>42</v>
      </c>
      <c r="N6">
        <v>49</v>
      </c>
      <c r="O6">
        <v>61</v>
      </c>
      <c r="P6">
        <v>78</v>
      </c>
      <c r="Q6">
        <v>71</v>
      </c>
      <c r="R6">
        <v>75</v>
      </c>
      <c r="S6">
        <v>91</v>
      </c>
      <c r="T6">
        <v>90</v>
      </c>
      <c r="U6">
        <v>79</v>
      </c>
      <c r="V6">
        <v>75</v>
      </c>
      <c r="W6">
        <v>83</v>
      </c>
      <c r="X6">
        <v>45</v>
      </c>
      <c r="Y6">
        <v>39</v>
      </c>
      <c r="Z6">
        <v>21</v>
      </c>
      <c r="AA6">
        <v>37</v>
      </c>
      <c r="AB6">
        <v>40</v>
      </c>
      <c r="AC6">
        <v>24</v>
      </c>
      <c r="AD6">
        <v>36</v>
      </c>
      <c r="AE6">
        <v>37</v>
      </c>
      <c r="AF6">
        <v>46</v>
      </c>
      <c r="AG6">
        <v>57</v>
      </c>
      <c r="AH6">
        <v>59</v>
      </c>
      <c r="AI6">
        <v>41</v>
      </c>
      <c r="AJ6">
        <v>62</v>
      </c>
      <c r="AK6">
        <v>69</v>
      </c>
      <c r="AL6">
        <v>78</v>
      </c>
      <c r="AM6">
        <v>78</v>
      </c>
      <c r="AN6">
        <v>78</v>
      </c>
      <c r="AO6">
        <v>86</v>
      </c>
      <c r="AP6">
        <v>83</v>
      </c>
      <c r="AQ6">
        <v>2142</v>
      </c>
      <c r="AR6">
        <v>0.93370681605975725</v>
      </c>
      <c r="AS6">
        <f t="shared" si="0"/>
        <v>0.28897503217698961</v>
      </c>
      <c r="AT6">
        <f t="shared" si="1"/>
        <v>2.3233592587029964E-2</v>
      </c>
      <c r="AU6">
        <f t="shared" si="2"/>
        <v>2.3233592587029963</v>
      </c>
      <c r="AV6">
        <f t="shared" si="3"/>
        <v>3</v>
      </c>
      <c r="AW6">
        <f t="shared" si="4"/>
        <v>9.3923170846247697E-2</v>
      </c>
    </row>
    <row r="7" spans="1:49" x14ac:dyDescent="0.3">
      <c r="A7" t="s">
        <v>20</v>
      </c>
      <c r="B7" t="s">
        <v>16</v>
      </c>
      <c r="C7">
        <v>3</v>
      </c>
      <c r="D7" t="s">
        <v>17</v>
      </c>
      <c r="E7">
        <v>21</v>
      </c>
      <c r="F7">
        <v>9</v>
      </c>
      <c r="G7">
        <v>23</v>
      </c>
      <c r="H7">
        <v>15</v>
      </c>
      <c r="I7">
        <v>19</v>
      </c>
      <c r="J7">
        <v>33</v>
      </c>
      <c r="K7">
        <v>15</v>
      </c>
      <c r="L7">
        <v>20</v>
      </c>
      <c r="M7">
        <v>21</v>
      </c>
      <c r="N7">
        <v>22</v>
      </c>
      <c r="O7">
        <v>30</v>
      </c>
      <c r="P7">
        <v>36</v>
      </c>
      <c r="Q7">
        <v>40</v>
      </c>
      <c r="R7">
        <v>40</v>
      </c>
      <c r="S7">
        <v>40</v>
      </c>
      <c r="T7">
        <v>42</v>
      </c>
      <c r="U7">
        <v>42</v>
      </c>
      <c r="V7">
        <v>40</v>
      </c>
      <c r="W7">
        <v>68</v>
      </c>
      <c r="X7">
        <v>24</v>
      </c>
      <c r="Y7">
        <v>16</v>
      </c>
      <c r="Z7">
        <v>16</v>
      </c>
      <c r="AA7">
        <v>14</v>
      </c>
      <c r="AB7">
        <v>18</v>
      </c>
      <c r="AC7">
        <v>24</v>
      </c>
      <c r="AD7">
        <v>16</v>
      </c>
      <c r="AE7">
        <v>24</v>
      </c>
      <c r="AF7">
        <v>20</v>
      </c>
      <c r="AG7">
        <v>27</v>
      </c>
      <c r="AH7">
        <v>28</v>
      </c>
      <c r="AI7">
        <v>46</v>
      </c>
      <c r="AJ7">
        <v>32</v>
      </c>
      <c r="AK7">
        <v>38</v>
      </c>
      <c r="AL7">
        <v>43</v>
      </c>
      <c r="AM7">
        <v>35</v>
      </c>
      <c r="AN7">
        <v>48</v>
      </c>
      <c r="AO7">
        <v>53</v>
      </c>
      <c r="AP7">
        <v>48</v>
      </c>
      <c r="AQ7">
        <v>1146</v>
      </c>
      <c r="AR7">
        <v>2.6178010471204192</v>
      </c>
      <c r="AS7">
        <f t="shared" si="0"/>
        <v>0.86848284634275241</v>
      </c>
      <c r="AT7">
        <f t="shared" si="1"/>
        <v>6.9826020845957293E-2</v>
      </c>
      <c r="AU7">
        <f t="shared" si="2"/>
        <v>6.9826020845957295</v>
      </c>
      <c r="AV7">
        <f t="shared" si="3"/>
        <v>3</v>
      </c>
      <c r="AW7">
        <f t="shared" si="4"/>
        <v>9.3923170846247697E-2</v>
      </c>
    </row>
    <row r="8" spans="1:49" x14ac:dyDescent="0.3">
      <c r="A8" t="s">
        <v>21</v>
      </c>
      <c r="B8" t="s">
        <v>16</v>
      </c>
      <c r="C8">
        <v>3</v>
      </c>
      <c r="D8" t="s">
        <v>17</v>
      </c>
      <c r="E8">
        <v>44</v>
      </c>
      <c r="F8">
        <v>41</v>
      </c>
      <c r="G8">
        <v>31</v>
      </c>
      <c r="H8">
        <v>43</v>
      </c>
      <c r="I8">
        <v>36</v>
      </c>
      <c r="J8">
        <v>38</v>
      </c>
      <c r="K8">
        <v>46</v>
      </c>
      <c r="L8">
        <v>34</v>
      </c>
      <c r="M8">
        <v>42</v>
      </c>
      <c r="N8">
        <v>50</v>
      </c>
      <c r="O8">
        <v>41</v>
      </c>
      <c r="P8">
        <v>38</v>
      </c>
      <c r="Q8">
        <v>36</v>
      </c>
      <c r="R8">
        <v>32</v>
      </c>
      <c r="S8">
        <v>36</v>
      </c>
      <c r="T8">
        <v>38</v>
      </c>
      <c r="U8">
        <v>42</v>
      </c>
      <c r="V8">
        <v>37</v>
      </c>
      <c r="W8">
        <v>43</v>
      </c>
      <c r="X8">
        <v>43</v>
      </c>
      <c r="Y8">
        <v>41</v>
      </c>
      <c r="Z8">
        <v>39</v>
      </c>
      <c r="AA8">
        <v>36</v>
      </c>
      <c r="AB8">
        <v>37</v>
      </c>
      <c r="AC8">
        <v>43</v>
      </c>
      <c r="AD8">
        <v>34</v>
      </c>
      <c r="AE8">
        <v>39</v>
      </c>
      <c r="AF8">
        <v>23</v>
      </c>
      <c r="AG8">
        <v>37</v>
      </c>
      <c r="AH8">
        <v>48</v>
      </c>
      <c r="AI8">
        <v>34</v>
      </c>
      <c r="AJ8">
        <v>39</v>
      </c>
      <c r="AK8">
        <v>45</v>
      </c>
      <c r="AL8">
        <v>39</v>
      </c>
      <c r="AM8">
        <v>47</v>
      </c>
      <c r="AN8">
        <v>38</v>
      </c>
      <c r="AO8">
        <v>43</v>
      </c>
      <c r="AP8">
        <v>37</v>
      </c>
      <c r="AQ8">
        <v>1490</v>
      </c>
      <c r="AR8">
        <v>2.013422818791947</v>
      </c>
      <c r="AS8">
        <f t="shared" si="0"/>
        <v>0.66051235421214105</v>
      </c>
      <c r="AT8">
        <f t="shared" si="1"/>
        <v>5.3105193278656142E-2</v>
      </c>
      <c r="AU8">
        <f t="shared" si="2"/>
        <v>5.310519327865614</v>
      </c>
      <c r="AV8">
        <f t="shared" si="3"/>
        <v>3</v>
      </c>
      <c r="AW8">
        <f t="shared" si="4"/>
        <v>9.3923170846247697E-2</v>
      </c>
    </row>
    <row r="9" spans="1:49" x14ac:dyDescent="0.3">
      <c r="A9" t="s">
        <v>22</v>
      </c>
      <c r="B9" t="s">
        <v>23</v>
      </c>
      <c r="C9">
        <v>1</v>
      </c>
      <c r="D9" t="s">
        <v>24</v>
      </c>
      <c r="E9">
        <v>25</v>
      </c>
      <c r="F9">
        <v>33</v>
      </c>
      <c r="G9">
        <v>25</v>
      </c>
      <c r="H9">
        <v>25</v>
      </c>
      <c r="I9">
        <v>44</v>
      </c>
      <c r="J9">
        <v>33</v>
      </c>
      <c r="K9">
        <v>43</v>
      </c>
      <c r="L9">
        <v>49</v>
      </c>
      <c r="M9">
        <v>41</v>
      </c>
      <c r="N9">
        <v>58</v>
      </c>
      <c r="O9">
        <v>71</v>
      </c>
      <c r="P9">
        <v>79</v>
      </c>
      <c r="Q9">
        <v>88</v>
      </c>
      <c r="R9">
        <v>110</v>
      </c>
      <c r="S9">
        <v>96</v>
      </c>
      <c r="T9">
        <v>96</v>
      </c>
      <c r="U9">
        <v>103</v>
      </c>
      <c r="V9">
        <v>93</v>
      </c>
      <c r="W9">
        <v>124</v>
      </c>
      <c r="X9">
        <v>25</v>
      </c>
      <c r="Y9">
        <v>29</v>
      </c>
      <c r="Z9">
        <v>24</v>
      </c>
      <c r="AA9">
        <v>28</v>
      </c>
      <c r="AB9">
        <v>33</v>
      </c>
      <c r="AC9">
        <v>38</v>
      </c>
      <c r="AD9">
        <v>37</v>
      </c>
      <c r="AE9">
        <v>49</v>
      </c>
      <c r="AF9">
        <v>54</v>
      </c>
      <c r="AG9">
        <v>72</v>
      </c>
      <c r="AH9">
        <v>63</v>
      </c>
      <c r="AI9">
        <v>74</v>
      </c>
      <c r="AJ9">
        <v>90</v>
      </c>
      <c r="AK9">
        <v>111</v>
      </c>
      <c r="AL9">
        <v>103</v>
      </c>
      <c r="AM9">
        <v>111</v>
      </c>
      <c r="AN9">
        <v>111</v>
      </c>
      <c r="AO9">
        <v>110</v>
      </c>
      <c r="AP9">
        <v>130</v>
      </c>
      <c r="AQ9">
        <v>2528</v>
      </c>
      <c r="AR9">
        <v>0.3955696202531645</v>
      </c>
      <c r="AS9">
        <f t="shared" si="0"/>
        <v>0.10379851158124957</v>
      </c>
      <c r="AT9">
        <f t="shared" si="1"/>
        <v>8.3454003311324663E-3</v>
      </c>
      <c r="AU9">
        <f t="shared" si="2"/>
        <v>0.83454003311324665</v>
      </c>
      <c r="AV9">
        <f t="shared" si="3"/>
        <v>3</v>
      </c>
      <c r="AW9">
        <f t="shared" si="4"/>
        <v>9.3923170846247697E-2</v>
      </c>
    </row>
    <row r="10" spans="1:49" x14ac:dyDescent="0.3">
      <c r="A10" t="s">
        <v>25</v>
      </c>
      <c r="B10" t="s">
        <v>26</v>
      </c>
      <c r="C10">
        <v>2</v>
      </c>
      <c r="D10" t="s">
        <v>17</v>
      </c>
      <c r="E10">
        <v>45</v>
      </c>
      <c r="F10">
        <v>31</v>
      </c>
      <c r="G10">
        <v>30</v>
      </c>
      <c r="H10">
        <v>27</v>
      </c>
      <c r="I10">
        <v>17</v>
      </c>
      <c r="J10">
        <v>38</v>
      </c>
      <c r="K10">
        <v>27</v>
      </c>
      <c r="L10">
        <v>43</v>
      </c>
      <c r="M10">
        <v>30</v>
      </c>
      <c r="N10">
        <v>42</v>
      </c>
      <c r="O10">
        <v>42</v>
      </c>
      <c r="P10">
        <v>61</v>
      </c>
      <c r="Q10">
        <v>51</v>
      </c>
      <c r="R10">
        <v>61</v>
      </c>
      <c r="S10">
        <v>59</v>
      </c>
      <c r="T10">
        <v>72</v>
      </c>
      <c r="U10">
        <v>48</v>
      </c>
      <c r="V10">
        <v>65</v>
      </c>
      <c r="W10">
        <v>70</v>
      </c>
      <c r="X10">
        <v>55</v>
      </c>
      <c r="Y10">
        <v>28</v>
      </c>
      <c r="Z10">
        <v>32</v>
      </c>
      <c r="AA10">
        <v>22</v>
      </c>
      <c r="AB10">
        <v>32</v>
      </c>
      <c r="AC10">
        <v>28</v>
      </c>
      <c r="AD10">
        <v>26</v>
      </c>
      <c r="AE10">
        <v>28</v>
      </c>
      <c r="AF10">
        <v>34</v>
      </c>
      <c r="AG10">
        <v>37</v>
      </c>
      <c r="AH10">
        <v>43</v>
      </c>
      <c r="AI10">
        <v>45</v>
      </c>
      <c r="AJ10">
        <v>43</v>
      </c>
      <c r="AK10">
        <v>53</v>
      </c>
      <c r="AL10">
        <v>54</v>
      </c>
      <c r="AM10">
        <v>59</v>
      </c>
      <c r="AN10">
        <v>60</v>
      </c>
      <c r="AO10">
        <v>62</v>
      </c>
      <c r="AP10">
        <v>66</v>
      </c>
      <c r="AQ10">
        <v>1666</v>
      </c>
      <c r="AR10">
        <v>1.2004801920768311</v>
      </c>
      <c r="AS10">
        <f t="shared" si="0"/>
        <v>0.38077349164674767</v>
      </c>
      <c r="AT10">
        <f t="shared" si="1"/>
        <v>3.0614188728398512E-2</v>
      </c>
      <c r="AU10">
        <f t="shared" si="2"/>
        <v>3.0614188728398513</v>
      </c>
      <c r="AV10">
        <f t="shared" si="3"/>
        <v>3</v>
      </c>
      <c r="AW10">
        <f t="shared" si="4"/>
        <v>9.3923170846247697E-2</v>
      </c>
    </row>
    <row r="11" spans="1:49" x14ac:dyDescent="0.3">
      <c r="A11" t="s">
        <v>27</v>
      </c>
      <c r="B11" t="s">
        <v>26</v>
      </c>
      <c r="C11">
        <v>2</v>
      </c>
      <c r="D11" t="s">
        <v>17</v>
      </c>
      <c r="E11">
        <v>43</v>
      </c>
      <c r="F11">
        <v>34</v>
      </c>
      <c r="G11">
        <v>31</v>
      </c>
      <c r="H11">
        <v>48</v>
      </c>
      <c r="I11">
        <v>43</v>
      </c>
      <c r="J11">
        <v>44</v>
      </c>
      <c r="K11">
        <v>52</v>
      </c>
      <c r="L11">
        <v>57</v>
      </c>
      <c r="M11">
        <v>68</v>
      </c>
      <c r="N11">
        <v>76</v>
      </c>
      <c r="O11">
        <v>99</v>
      </c>
      <c r="P11">
        <v>72</v>
      </c>
      <c r="Q11">
        <v>102</v>
      </c>
      <c r="R11">
        <v>117</v>
      </c>
      <c r="S11">
        <v>91</v>
      </c>
      <c r="T11">
        <v>108</v>
      </c>
      <c r="U11">
        <v>116</v>
      </c>
      <c r="V11">
        <v>103</v>
      </c>
      <c r="W11">
        <v>123</v>
      </c>
      <c r="X11">
        <v>34</v>
      </c>
      <c r="Y11">
        <v>31</v>
      </c>
      <c r="Z11">
        <v>34</v>
      </c>
      <c r="AA11">
        <v>37</v>
      </c>
      <c r="AB11">
        <v>39</v>
      </c>
      <c r="AC11">
        <v>42</v>
      </c>
      <c r="AD11">
        <v>41</v>
      </c>
      <c r="AE11">
        <v>57</v>
      </c>
      <c r="AF11">
        <v>57</v>
      </c>
      <c r="AG11">
        <v>67</v>
      </c>
      <c r="AH11">
        <v>77</v>
      </c>
      <c r="AI11">
        <v>99</v>
      </c>
      <c r="AJ11">
        <v>67</v>
      </c>
      <c r="AK11">
        <v>98</v>
      </c>
      <c r="AL11">
        <v>95</v>
      </c>
      <c r="AM11">
        <v>106</v>
      </c>
      <c r="AN11">
        <v>81</v>
      </c>
      <c r="AO11">
        <v>101</v>
      </c>
      <c r="AP11">
        <v>97</v>
      </c>
      <c r="AQ11">
        <v>2687</v>
      </c>
      <c r="AR11">
        <v>0.74432452549311501</v>
      </c>
      <c r="AS11">
        <f t="shared" si="0"/>
        <v>0.22380735021250756</v>
      </c>
      <c r="AT11">
        <f t="shared" si="1"/>
        <v>1.7994110957085606E-2</v>
      </c>
      <c r="AU11">
        <f t="shared" si="2"/>
        <v>1.7994110957085605</v>
      </c>
      <c r="AV11">
        <f t="shared" si="3"/>
        <v>3</v>
      </c>
      <c r="AW11">
        <f t="shared" si="4"/>
        <v>9.3923170846247697E-2</v>
      </c>
    </row>
    <row r="12" spans="1:49" x14ac:dyDescent="0.3">
      <c r="A12" t="s">
        <v>28</v>
      </c>
      <c r="B12" t="s">
        <v>26</v>
      </c>
      <c r="C12">
        <v>1</v>
      </c>
      <c r="D12" t="s">
        <v>17</v>
      </c>
      <c r="E12">
        <v>42</v>
      </c>
      <c r="F12">
        <v>44</v>
      </c>
      <c r="G12">
        <v>46</v>
      </c>
      <c r="H12">
        <v>63</v>
      </c>
      <c r="I12">
        <v>44</v>
      </c>
      <c r="J12">
        <v>44</v>
      </c>
      <c r="K12">
        <v>46</v>
      </c>
      <c r="L12">
        <v>59</v>
      </c>
      <c r="M12">
        <v>56</v>
      </c>
      <c r="N12">
        <v>53</v>
      </c>
      <c r="O12">
        <v>80</v>
      </c>
      <c r="P12">
        <v>81</v>
      </c>
      <c r="Q12">
        <v>69</v>
      </c>
      <c r="R12">
        <v>87</v>
      </c>
      <c r="S12">
        <v>80</v>
      </c>
      <c r="T12">
        <v>82</v>
      </c>
      <c r="U12">
        <v>102</v>
      </c>
      <c r="V12">
        <v>95</v>
      </c>
      <c r="W12">
        <v>95</v>
      </c>
      <c r="X12">
        <v>41</v>
      </c>
      <c r="Y12">
        <v>43</v>
      </c>
      <c r="Z12">
        <v>29</v>
      </c>
      <c r="AA12">
        <v>35</v>
      </c>
      <c r="AB12">
        <v>30</v>
      </c>
      <c r="AC12">
        <v>44</v>
      </c>
      <c r="AD12">
        <v>34</v>
      </c>
      <c r="AE12">
        <v>44</v>
      </c>
      <c r="AF12">
        <v>69</v>
      </c>
      <c r="AG12">
        <v>60</v>
      </c>
      <c r="AH12">
        <v>79</v>
      </c>
      <c r="AI12">
        <v>59</v>
      </c>
      <c r="AJ12">
        <v>67</v>
      </c>
      <c r="AK12">
        <v>84</v>
      </c>
      <c r="AL12">
        <v>87</v>
      </c>
      <c r="AM12">
        <v>89</v>
      </c>
      <c r="AN12">
        <v>88</v>
      </c>
      <c r="AO12">
        <v>81</v>
      </c>
      <c r="AP12">
        <v>89</v>
      </c>
      <c r="AQ12">
        <v>2420</v>
      </c>
      <c r="AR12">
        <v>0.41322314049586778</v>
      </c>
      <c r="AS12">
        <f t="shared" si="0"/>
        <v>0.10987320309167464</v>
      </c>
      <c r="AT12">
        <f t="shared" si="1"/>
        <v>8.8338055285706405E-3</v>
      </c>
      <c r="AU12">
        <f t="shared" si="2"/>
        <v>0.88338055285706407</v>
      </c>
      <c r="AV12">
        <f t="shared" si="3"/>
        <v>3</v>
      </c>
      <c r="AW12">
        <f t="shared" si="4"/>
        <v>9.3923170846247697E-2</v>
      </c>
    </row>
    <row r="13" spans="1:49" x14ac:dyDescent="0.3">
      <c r="A13" t="s">
        <v>29</v>
      </c>
      <c r="B13" t="s">
        <v>26</v>
      </c>
      <c r="C13">
        <v>3</v>
      </c>
      <c r="D13" t="s">
        <v>17</v>
      </c>
      <c r="E13">
        <v>56</v>
      </c>
      <c r="F13">
        <v>59</v>
      </c>
      <c r="G13">
        <v>45</v>
      </c>
      <c r="H13">
        <v>58</v>
      </c>
      <c r="I13">
        <v>45</v>
      </c>
      <c r="J13">
        <v>55</v>
      </c>
      <c r="K13">
        <v>53</v>
      </c>
      <c r="L13">
        <v>62</v>
      </c>
      <c r="M13">
        <v>56</v>
      </c>
      <c r="N13">
        <v>74</v>
      </c>
      <c r="O13">
        <v>101</v>
      </c>
      <c r="P13">
        <v>100</v>
      </c>
      <c r="Q13">
        <v>85</v>
      </c>
      <c r="R13">
        <v>103</v>
      </c>
      <c r="S13">
        <v>90</v>
      </c>
      <c r="T13">
        <v>102</v>
      </c>
      <c r="U13">
        <v>114</v>
      </c>
      <c r="V13">
        <v>105</v>
      </c>
      <c r="W13">
        <v>128</v>
      </c>
      <c r="X13">
        <v>60</v>
      </c>
      <c r="Y13">
        <v>59</v>
      </c>
      <c r="Z13">
        <v>49</v>
      </c>
      <c r="AA13">
        <v>48</v>
      </c>
      <c r="AB13">
        <v>54</v>
      </c>
      <c r="AC13">
        <v>57</v>
      </c>
      <c r="AD13">
        <v>52</v>
      </c>
      <c r="AE13">
        <v>68</v>
      </c>
      <c r="AF13">
        <v>68</v>
      </c>
      <c r="AG13">
        <v>81</v>
      </c>
      <c r="AH13">
        <v>74</v>
      </c>
      <c r="AI13">
        <v>97</v>
      </c>
      <c r="AJ13">
        <v>83</v>
      </c>
      <c r="AK13">
        <v>85</v>
      </c>
      <c r="AL13">
        <v>101</v>
      </c>
      <c r="AM13">
        <v>110</v>
      </c>
      <c r="AN13">
        <v>93</v>
      </c>
      <c r="AO13">
        <v>116</v>
      </c>
      <c r="AP13">
        <v>128</v>
      </c>
      <c r="AQ13">
        <v>2974</v>
      </c>
      <c r="AR13">
        <v>1.0087424344317419</v>
      </c>
      <c r="AS13">
        <f t="shared" si="0"/>
        <v>0.31479527809038998</v>
      </c>
      <c r="AT13">
        <f t="shared" si="1"/>
        <v>2.5309540358467355E-2</v>
      </c>
      <c r="AU13">
        <f t="shared" si="2"/>
        <v>2.5309540358467353</v>
      </c>
      <c r="AV13">
        <f t="shared" si="3"/>
        <v>3</v>
      </c>
      <c r="AW13">
        <f t="shared" si="4"/>
        <v>9.3923170846247697E-2</v>
      </c>
    </row>
    <row r="14" spans="1:49" x14ac:dyDescent="0.3">
      <c r="A14" t="s">
        <v>30</v>
      </c>
      <c r="B14" t="s">
        <v>31</v>
      </c>
      <c r="C14">
        <v>1</v>
      </c>
      <c r="D14" t="s">
        <v>24</v>
      </c>
      <c r="E14">
        <v>96</v>
      </c>
      <c r="F14">
        <v>106</v>
      </c>
      <c r="G14">
        <v>99</v>
      </c>
      <c r="H14">
        <v>123</v>
      </c>
      <c r="I14">
        <v>111</v>
      </c>
      <c r="J14">
        <v>132</v>
      </c>
      <c r="K14">
        <v>164</v>
      </c>
      <c r="L14">
        <v>175</v>
      </c>
      <c r="M14">
        <v>222</v>
      </c>
      <c r="N14">
        <v>228</v>
      </c>
      <c r="O14">
        <v>229</v>
      </c>
      <c r="P14">
        <v>259</v>
      </c>
      <c r="Q14">
        <v>241</v>
      </c>
      <c r="R14">
        <v>218</v>
      </c>
      <c r="S14">
        <v>171</v>
      </c>
      <c r="T14">
        <v>172</v>
      </c>
      <c r="U14">
        <v>135</v>
      </c>
      <c r="V14">
        <v>119</v>
      </c>
      <c r="W14">
        <v>109</v>
      </c>
      <c r="X14">
        <v>82</v>
      </c>
      <c r="Y14">
        <v>100</v>
      </c>
      <c r="Z14">
        <v>96</v>
      </c>
      <c r="AA14">
        <v>125</v>
      </c>
      <c r="AB14">
        <v>122</v>
      </c>
      <c r="AC14">
        <v>120</v>
      </c>
      <c r="AD14">
        <v>129</v>
      </c>
      <c r="AE14">
        <v>151</v>
      </c>
      <c r="AF14">
        <v>173</v>
      </c>
      <c r="AG14">
        <v>206</v>
      </c>
      <c r="AH14">
        <v>221</v>
      </c>
      <c r="AI14">
        <v>260</v>
      </c>
      <c r="AJ14">
        <v>206</v>
      </c>
      <c r="AK14">
        <v>206</v>
      </c>
      <c r="AL14">
        <v>191</v>
      </c>
      <c r="AM14">
        <v>142</v>
      </c>
      <c r="AN14">
        <v>143</v>
      </c>
      <c r="AO14">
        <v>102</v>
      </c>
      <c r="AP14">
        <v>123</v>
      </c>
      <c r="AQ14">
        <v>6007</v>
      </c>
      <c r="AR14">
        <v>0.16647244880972201</v>
      </c>
      <c r="AS14">
        <f t="shared" si="0"/>
        <v>2.496467995465922E-2</v>
      </c>
      <c r="AT14">
        <f t="shared" si="1"/>
        <v>2.0071602683546011E-3</v>
      </c>
      <c r="AU14">
        <f t="shared" si="2"/>
        <v>0.20071602683546011</v>
      </c>
      <c r="AV14">
        <f t="shared" si="3"/>
        <v>3</v>
      </c>
      <c r="AW14">
        <f t="shared" si="4"/>
        <v>9.3923170846247697E-2</v>
      </c>
    </row>
    <row r="15" spans="1:49" x14ac:dyDescent="0.3">
      <c r="A15" t="s">
        <v>32</v>
      </c>
      <c r="B15" t="s">
        <v>33</v>
      </c>
      <c r="C15">
        <v>2</v>
      </c>
      <c r="D15" t="s">
        <v>17</v>
      </c>
      <c r="E15">
        <v>20</v>
      </c>
      <c r="F15">
        <v>15</v>
      </c>
      <c r="G15">
        <v>20</v>
      </c>
      <c r="H15">
        <v>24</v>
      </c>
      <c r="I15">
        <v>20</v>
      </c>
      <c r="J15">
        <v>24</v>
      </c>
      <c r="K15">
        <v>31</v>
      </c>
      <c r="L15">
        <v>29</v>
      </c>
      <c r="M15">
        <v>31</v>
      </c>
      <c r="N15">
        <v>33</v>
      </c>
      <c r="O15">
        <v>35</v>
      </c>
      <c r="P15">
        <v>47</v>
      </c>
      <c r="Q15">
        <v>23</v>
      </c>
      <c r="R15">
        <v>39</v>
      </c>
      <c r="S15">
        <v>37</v>
      </c>
      <c r="T15">
        <v>47</v>
      </c>
      <c r="U15">
        <v>49</v>
      </c>
      <c r="V15">
        <v>46</v>
      </c>
      <c r="W15">
        <v>62</v>
      </c>
      <c r="X15">
        <v>24</v>
      </c>
      <c r="Y15">
        <v>20</v>
      </c>
      <c r="Z15">
        <v>15</v>
      </c>
      <c r="AA15">
        <v>12</v>
      </c>
      <c r="AB15">
        <v>28</v>
      </c>
      <c r="AC15">
        <v>20</v>
      </c>
      <c r="AD15">
        <v>23</v>
      </c>
      <c r="AE15">
        <v>32</v>
      </c>
      <c r="AF15">
        <v>31</v>
      </c>
      <c r="AG15">
        <v>41</v>
      </c>
      <c r="AH15">
        <v>32</v>
      </c>
      <c r="AI15">
        <v>36</v>
      </c>
      <c r="AJ15">
        <v>32</v>
      </c>
      <c r="AK15">
        <v>47</v>
      </c>
      <c r="AL15">
        <v>41</v>
      </c>
      <c r="AM15">
        <v>39</v>
      </c>
      <c r="AN15">
        <v>34</v>
      </c>
      <c r="AO15">
        <v>48</v>
      </c>
      <c r="AP15">
        <v>57</v>
      </c>
      <c r="AQ15">
        <v>1244</v>
      </c>
      <c r="AR15">
        <v>1.607717041800643</v>
      </c>
      <c r="AS15">
        <f t="shared" si="0"/>
        <v>0.52090634898844401</v>
      </c>
      <c r="AT15">
        <f t="shared" si="1"/>
        <v>4.18808704586709E-2</v>
      </c>
      <c r="AU15">
        <f t="shared" si="2"/>
        <v>4.18808704586709</v>
      </c>
      <c r="AV15">
        <f t="shared" si="3"/>
        <v>3</v>
      </c>
      <c r="AW15">
        <f t="shared" si="4"/>
        <v>9.3923170846247697E-2</v>
      </c>
    </row>
    <row r="16" spans="1:49" x14ac:dyDescent="0.3">
      <c r="A16" t="s">
        <v>34</v>
      </c>
      <c r="B16" t="s">
        <v>33</v>
      </c>
      <c r="C16">
        <v>2</v>
      </c>
      <c r="D16" t="s">
        <v>17</v>
      </c>
      <c r="E16">
        <v>27</v>
      </c>
      <c r="F16">
        <v>32</v>
      </c>
      <c r="G16">
        <v>28</v>
      </c>
      <c r="H16">
        <v>23</v>
      </c>
      <c r="I16">
        <v>36</v>
      </c>
      <c r="J16">
        <v>23</v>
      </c>
      <c r="K16">
        <v>37</v>
      </c>
      <c r="L16">
        <v>47</v>
      </c>
      <c r="M16">
        <v>37</v>
      </c>
      <c r="N16">
        <v>46</v>
      </c>
      <c r="O16">
        <v>58</v>
      </c>
      <c r="P16">
        <v>49</v>
      </c>
      <c r="Q16">
        <v>45</v>
      </c>
      <c r="R16">
        <v>59</v>
      </c>
      <c r="S16">
        <v>53</v>
      </c>
      <c r="T16">
        <v>63</v>
      </c>
      <c r="U16">
        <v>70</v>
      </c>
      <c r="V16">
        <v>67</v>
      </c>
      <c r="W16">
        <v>65</v>
      </c>
      <c r="X16">
        <v>28</v>
      </c>
      <c r="Y16">
        <v>20</v>
      </c>
      <c r="Z16">
        <v>19</v>
      </c>
      <c r="AA16">
        <v>24</v>
      </c>
      <c r="AB16">
        <v>23</v>
      </c>
      <c r="AC16">
        <v>29</v>
      </c>
      <c r="AD16">
        <v>28</v>
      </c>
      <c r="AE16">
        <v>31</v>
      </c>
      <c r="AF16">
        <v>38</v>
      </c>
      <c r="AG16">
        <v>39</v>
      </c>
      <c r="AH16">
        <v>58</v>
      </c>
      <c r="AI16">
        <v>54</v>
      </c>
      <c r="AJ16">
        <v>48</v>
      </c>
      <c r="AK16">
        <v>61</v>
      </c>
      <c r="AL16">
        <v>57</v>
      </c>
      <c r="AM16">
        <v>58</v>
      </c>
      <c r="AN16">
        <v>53</v>
      </c>
      <c r="AO16">
        <v>52</v>
      </c>
      <c r="AP16">
        <v>62</v>
      </c>
      <c r="AQ16">
        <v>1647</v>
      </c>
      <c r="AR16">
        <v>1.2143290831815421</v>
      </c>
      <c r="AS16">
        <f t="shared" si="0"/>
        <v>0.38553898544435788</v>
      </c>
      <c r="AT16">
        <f t="shared" si="1"/>
        <v>3.0997334429726374E-2</v>
      </c>
      <c r="AU16">
        <f t="shared" si="2"/>
        <v>3.0997334429726373</v>
      </c>
      <c r="AV16">
        <f t="shared" si="3"/>
        <v>3</v>
      </c>
      <c r="AW16">
        <f t="shared" si="4"/>
        <v>9.3923170846247697E-2</v>
      </c>
    </row>
    <row r="17" spans="1:49" x14ac:dyDescent="0.3">
      <c r="A17" t="s">
        <v>35</v>
      </c>
      <c r="B17" t="s">
        <v>36</v>
      </c>
      <c r="C17">
        <v>2</v>
      </c>
      <c r="D17" t="s">
        <v>12</v>
      </c>
      <c r="E17">
        <v>21</v>
      </c>
      <c r="F17">
        <v>11</v>
      </c>
      <c r="G17">
        <v>15</v>
      </c>
      <c r="H17">
        <v>12</v>
      </c>
      <c r="I17">
        <v>16</v>
      </c>
      <c r="J17">
        <v>21</v>
      </c>
      <c r="K17">
        <v>21</v>
      </c>
      <c r="L17">
        <v>20</v>
      </c>
      <c r="M17">
        <v>30</v>
      </c>
      <c r="N17">
        <v>31</v>
      </c>
      <c r="O17">
        <v>41</v>
      </c>
      <c r="P17">
        <v>42</v>
      </c>
      <c r="Q17">
        <v>55</v>
      </c>
      <c r="R17">
        <v>37</v>
      </c>
      <c r="S17">
        <v>50</v>
      </c>
      <c r="T17">
        <v>50</v>
      </c>
      <c r="U17">
        <v>46</v>
      </c>
      <c r="V17">
        <v>37</v>
      </c>
      <c r="W17">
        <v>49</v>
      </c>
      <c r="X17">
        <v>13</v>
      </c>
      <c r="Y17">
        <v>18</v>
      </c>
      <c r="Z17">
        <v>9</v>
      </c>
      <c r="AA17">
        <v>10</v>
      </c>
      <c r="AB17">
        <v>12</v>
      </c>
      <c r="AC17">
        <v>20</v>
      </c>
      <c r="AD17">
        <v>13</v>
      </c>
      <c r="AE17">
        <v>19</v>
      </c>
      <c r="AF17">
        <v>19</v>
      </c>
      <c r="AG17">
        <v>31</v>
      </c>
      <c r="AH17">
        <v>24</v>
      </c>
      <c r="AI17">
        <v>25</v>
      </c>
      <c r="AJ17">
        <v>26</v>
      </c>
      <c r="AK17">
        <v>48</v>
      </c>
      <c r="AL17">
        <v>47</v>
      </c>
      <c r="AM17">
        <v>38</v>
      </c>
      <c r="AN17">
        <v>50</v>
      </c>
      <c r="AO17">
        <v>45</v>
      </c>
      <c r="AP17">
        <v>51</v>
      </c>
      <c r="AQ17">
        <v>1123</v>
      </c>
      <c r="AR17">
        <v>1.780943900267141</v>
      </c>
      <c r="AS17">
        <f t="shared" si="0"/>
        <v>0.58051484134786369</v>
      </c>
      <c r="AT17">
        <f t="shared" si="1"/>
        <v>4.6673393244368241E-2</v>
      </c>
      <c r="AU17">
        <f t="shared" si="2"/>
        <v>4.6673393244368242</v>
      </c>
      <c r="AV17">
        <f t="shared" si="3"/>
        <v>3</v>
      </c>
      <c r="AW17">
        <f t="shared" si="4"/>
        <v>9.3923170846247697E-2</v>
      </c>
    </row>
    <row r="18" spans="1:49" x14ac:dyDescent="0.3">
      <c r="A18" t="s">
        <v>37</v>
      </c>
      <c r="B18" t="s">
        <v>36</v>
      </c>
      <c r="C18">
        <v>3</v>
      </c>
      <c r="D18" t="s">
        <v>12</v>
      </c>
      <c r="E18">
        <v>40</v>
      </c>
      <c r="F18">
        <v>24</v>
      </c>
      <c r="G18">
        <v>34</v>
      </c>
      <c r="H18">
        <v>31</v>
      </c>
      <c r="I18">
        <v>35</v>
      </c>
      <c r="J18">
        <v>37</v>
      </c>
      <c r="K18">
        <v>29</v>
      </c>
      <c r="L18">
        <v>49</v>
      </c>
      <c r="M18">
        <v>66</v>
      </c>
      <c r="N18">
        <v>66</v>
      </c>
      <c r="O18">
        <v>75</v>
      </c>
      <c r="P18">
        <v>78</v>
      </c>
      <c r="Q18">
        <v>83</v>
      </c>
      <c r="R18">
        <v>93</v>
      </c>
      <c r="S18">
        <v>95</v>
      </c>
      <c r="T18">
        <v>109</v>
      </c>
      <c r="U18">
        <v>116</v>
      </c>
      <c r="V18">
        <v>108</v>
      </c>
      <c r="W18">
        <v>131</v>
      </c>
      <c r="X18">
        <v>23</v>
      </c>
      <c r="Y18">
        <v>32</v>
      </c>
      <c r="Z18">
        <v>23</v>
      </c>
      <c r="AA18">
        <v>37</v>
      </c>
      <c r="AB18">
        <v>30</v>
      </c>
      <c r="AC18">
        <v>26</v>
      </c>
      <c r="AD18">
        <v>30</v>
      </c>
      <c r="AE18">
        <v>64</v>
      </c>
      <c r="AF18">
        <v>56</v>
      </c>
      <c r="AG18">
        <v>60</v>
      </c>
      <c r="AH18">
        <v>62</v>
      </c>
      <c r="AI18">
        <v>93</v>
      </c>
      <c r="AJ18">
        <v>76</v>
      </c>
      <c r="AK18">
        <v>103</v>
      </c>
      <c r="AL18">
        <v>93</v>
      </c>
      <c r="AM18">
        <v>104</v>
      </c>
      <c r="AN18">
        <v>92</v>
      </c>
      <c r="AO18">
        <v>125</v>
      </c>
      <c r="AP18">
        <v>132</v>
      </c>
      <c r="AQ18">
        <v>2560</v>
      </c>
      <c r="AR18">
        <v>1.171875</v>
      </c>
      <c r="AS18">
        <f t="shared" si="0"/>
        <v>0.37093025839500982</v>
      </c>
      <c r="AT18">
        <f t="shared" si="1"/>
        <v>2.9822792774958789E-2</v>
      </c>
      <c r="AU18">
        <f t="shared" si="2"/>
        <v>2.9822792774958788</v>
      </c>
      <c r="AV18">
        <f t="shared" si="3"/>
        <v>3</v>
      </c>
      <c r="AW18">
        <f t="shared" si="4"/>
        <v>9.3923170846247697E-2</v>
      </c>
    </row>
    <row r="19" spans="1:49" x14ac:dyDescent="0.3">
      <c r="A19" t="s">
        <v>38</v>
      </c>
      <c r="B19" t="s">
        <v>39</v>
      </c>
      <c r="C19">
        <v>2</v>
      </c>
      <c r="D19" t="s">
        <v>12</v>
      </c>
      <c r="E19">
        <v>94</v>
      </c>
      <c r="F19">
        <v>108</v>
      </c>
      <c r="G19">
        <v>107</v>
      </c>
      <c r="H19">
        <v>133</v>
      </c>
      <c r="I19">
        <v>160</v>
      </c>
      <c r="J19">
        <v>181</v>
      </c>
      <c r="K19">
        <v>200</v>
      </c>
      <c r="L19">
        <v>182</v>
      </c>
      <c r="M19">
        <v>170</v>
      </c>
      <c r="N19">
        <v>170</v>
      </c>
      <c r="O19">
        <v>178</v>
      </c>
      <c r="P19">
        <v>150</v>
      </c>
      <c r="Q19">
        <v>170</v>
      </c>
      <c r="R19">
        <v>174</v>
      </c>
      <c r="S19">
        <v>163</v>
      </c>
      <c r="T19">
        <v>223</v>
      </c>
      <c r="U19">
        <v>191</v>
      </c>
      <c r="V19">
        <v>241</v>
      </c>
      <c r="W19">
        <v>232</v>
      </c>
      <c r="X19">
        <v>89</v>
      </c>
      <c r="Y19">
        <v>95</v>
      </c>
      <c r="Z19">
        <v>116</v>
      </c>
      <c r="AA19">
        <v>127</v>
      </c>
      <c r="AB19">
        <v>131</v>
      </c>
      <c r="AC19">
        <v>177</v>
      </c>
      <c r="AD19">
        <v>153</v>
      </c>
      <c r="AE19">
        <v>159</v>
      </c>
      <c r="AF19">
        <v>145</v>
      </c>
      <c r="AG19">
        <v>176</v>
      </c>
      <c r="AH19">
        <v>192</v>
      </c>
      <c r="AI19">
        <v>153</v>
      </c>
      <c r="AJ19">
        <v>141</v>
      </c>
      <c r="AK19">
        <v>177</v>
      </c>
      <c r="AL19">
        <v>186</v>
      </c>
      <c r="AM19">
        <v>202</v>
      </c>
      <c r="AN19">
        <v>176</v>
      </c>
      <c r="AO19">
        <v>225</v>
      </c>
      <c r="AP19">
        <v>207</v>
      </c>
      <c r="AQ19">
        <v>6254</v>
      </c>
      <c r="AR19">
        <v>0.31979533098816759</v>
      </c>
      <c r="AS19">
        <f t="shared" si="0"/>
        <v>7.772408419349798E-2</v>
      </c>
      <c r="AT19">
        <f t="shared" si="1"/>
        <v>6.2490163691572374E-3</v>
      </c>
      <c r="AU19">
        <f t="shared" si="2"/>
        <v>0.62490163691572376</v>
      </c>
      <c r="AV19">
        <f t="shared" si="3"/>
        <v>3</v>
      </c>
      <c r="AW19">
        <f t="shared" si="4"/>
        <v>9.3923170846247697E-2</v>
      </c>
    </row>
    <row r="20" spans="1:49" x14ac:dyDescent="0.3">
      <c r="A20" t="s">
        <v>40</v>
      </c>
      <c r="B20" t="s">
        <v>41</v>
      </c>
      <c r="C20">
        <v>6</v>
      </c>
      <c r="D20" t="s">
        <v>17</v>
      </c>
      <c r="E20">
        <v>57</v>
      </c>
      <c r="F20">
        <v>47</v>
      </c>
      <c r="G20">
        <v>40</v>
      </c>
      <c r="H20">
        <v>51</v>
      </c>
      <c r="I20">
        <v>41</v>
      </c>
      <c r="J20">
        <v>59</v>
      </c>
      <c r="K20">
        <v>67</v>
      </c>
      <c r="L20">
        <v>50</v>
      </c>
      <c r="M20">
        <v>61</v>
      </c>
      <c r="N20">
        <v>78</v>
      </c>
      <c r="O20">
        <v>70</v>
      </c>
      <c r="P20">
        <v>91</v>
      </c>
      <c r="Q20">
        <v>87</v>
      </c>
      <c r="R20">
        <v>107</v>
      </c>
      <c r="S20">
        <v>88</v>
      </c>
      <c r="T20">
        <v>99</v>
      </c>
      <c r="U20">
        <v>108</v>
      </c>
      <c r="V20">
        <v>101</v>
      </c>
      <c r="W20">
        <v>89</v>
      </c>
      <c r="X20">
        <v>41</v>
      </c>
      <c r="Y20">
        <v>41</v>
      </c>
      <c r="Z20">
        <v>39</v>
      </c>
      <c r="AA20">
        <v>44</v>
      </c>
      <c r="AB20">
        <v>55</v>
      </c>
      <c r="AC20">
        <v>56</v>
      </c>
      <c r="AD20">
        <v>50</v>
      </c>
      <c r="AE20">
        <v>47</v>
      </c>
      <c r="AF20">
        <v>67</v>
      </c>
      <c r="AG20">
        <v>59</v>
      </c>
      <c r="AH20">
        <v>67</v>
      </c>
      <c r="AI20">
        <v>83</v>
      </c>
      <c r="AJ20">
        <v>82</v>
      </c>
      <c r="AK20">
        <v>95</v>
      </c>
      <c r="AL20">
        <v>84</v>
      </c>
      <c r="AM20">
        <v>105</v>
      </c>
      <c r="AN20">
        <v>104</v>
      </c>
      <c r="AO20">
        <v>115</v>
      </c>
      <c r="AP20">
        <v>105</v>
      </c>
      <c r="AQ20">
        <v>2730</v>
      </c>
      <c r="AR20">
        <v>2.197802197802198</v>
      </c>
      <c r="AS20">
        <f t="shared" si="0"/>
        <v>0.7239585016644583</v>
      </c>
      <c r="AT20">
        <f t="shared" si="1"/>
        <v>5.8206263533822446E-2</v>
      </c>
      <c r="AU20">
        <f t="shared" si="2"/>
        <v>5.8206263533822442</v>
      </c>
      <c r="AV20">
        <f t="shared" si="3"/>
        <v>3</v>
      </c>
      <c r="AW20">
        <f t="shared" si="4"/>
        <v>9.3923170846247697E-2</v>
      </c>
    </row>
    <row r="21" spans="1:49" x14ac:dyDescent="0.3">
      <c r="A21" t="s">
        <v>42</v>
      </c>
      <c r="B21" t="s">
        <v>11</v>
      </c>
      <c r="C21">
        <v>2</v>
      </c>
      <c r="D21" t="s">
        <v>12</v>
      </c>
      <c r="E21">
        <v>115</v>
      </c>
      <c r="F21">
        <v>95</v>
      </c>
      <c r="G21">
        <v>97</v>
      </c>
      <c r="H21">
        <v>117</v>
      </c>
      <c r="I21">
        <v>102</v>
      </c>
      <c r="J21">
        <v>99</v>
      </c>
      <c r="K21">
        <v>85</v>
      </c>
      <c r="L21">
        <v>75</v>
      </c>
      <c r="M21">
        <v>84</v>
      </c>
      <c r="N21">
        <v>74</v>
      </c>
      <c r="O21">
        <v>106</v>
      </c>
      <c r="P21">
        <v>88</v>
      </c>
      <c r="Q21">
        <v>74</v>
      </c>
      <c r="R21">
        <v>112</v>
      </c>
      <c r="S21">
        <v>101</v>
      </c>
      <c r="T21">
        <v>99</v>
      </c>
      <c r="U21">
        <v>110</v>
      </c>
      <c r="V21">
        <v>114</v>
      </c>
      <c r="W21">
        <v>127</v>
      </c>
      <c r="X21">
        <v>113</v>
      </c>
      <c r="Y21">
        <v>118</v>
      </c>
      <c r="Z21">
        <v>93</v>
      </c>
      <c r="AA21">
        <v>89</v>
      </c>
      <c r="AB21">
        <v>93</v>
      </c>
      <c r="AC21">
        <v>84</v>
      </c>
      <c r="AD21">
        <v>81</v>
      </c>
      <c r="AE21">
        <v>71</v>
      </c>
      <c r="AF21">
        <v>82</v>
      </c>
      <c r="AG21">
        <v>79</v>
      </c>
      <c r="AH21">
        <v>90</v>
      </c>
      <c r="AI21">
        <v>104</v>
      </c>
      <c r="AJ21">
        <v>107</v>
      </c>
      <c r="AK21">
        <v>110</v>
      </c>
      <c r="AL21">
        <v>117</v>
      </c>
      <c r="AM21">
        <v>106</v>
      </c>
      <c r="AN21">
        <v>101</v>
      </c>
      <c r="AO21">
        <v>90</v>
      </c>
      <c r="AP21">
        <v>136</v>
      </c>
      <c r="AQ21">
        <v>3738</v>
      </c>
      <c r="AR21">
        <v>0.53504547886570353</v>
      </c>
      <c r="AS21">
        <f t="shared" si="0"/>
        <v>0.15179306465476702</v>
      </c>
      <c r="AT21">
        <f t="shared" si="1"/>
        <v>1.2204162398243269E-2</v>
      </c>
      <c r="AU21">
        <f t="shared" si="2"/>
        <v>1.220416239824327</v>
      </c>
      <c r="AV21">
        <f t="shared" si="3"/>
        <v>3</v>
      </c>
      <c r="AW21">
        <f t="shared" si="4"/>
        <v>9.3923170846247697E-2</v>
      </c>
    </row>
    <row r="22" spans="1:49" x14ac:dyDescent="0.3">
      <c r="A22" t="s">
        <v>43</v>
      </c>
      <c r="B22" t="s">
        <v>11</v>
      </c>
      <c r="C22">
        <v>2</v>
      </c>
      <c r="D22" t="s">
        <v>12</v>
      </c>
      <c r="E22">
        <v>71</v>
      </c>
      <c r="F22">
        <v>66</v>
      </c>
      <c r="G22">
        <v>67</v>
      </c>
      <c r="H22">
        <v>65</v>
      </c>
      <c r="I22">
        <v>78</v>
      </c>
      <c r="J22">
        <v>64</v>
      </c>
      <c r="K22">
        <v>68</v>
      </c>
      <c r="L22">
        <v>76</v>
      </c>
      <c r="M22">
        <v>70</v>
      </c>
      <c r="N22">
        <v>86</v>
      </c>
      <c r="O22">
        <v>109</v>
      </c>
      <c r="P22">
        <v>70</v>
      </c>
      <c r="Q22">
        <v>88</v>
      </c>
      <c r="R22">
        <v>100</v>
      </c>
      <c r="S22">
        <v>79</v>
      </c>
      <c r="T22">
        <v>111</v>
      </c>
      <c r="U22">
        <v>98</v>
      </c>
      <c r="V22">
        <v>88</v>
      </c>
      <c r="W22">
        <v>109</v>
      </c>
      <c r="X22">
        <v>84</v>
      </c>
      <c r="Y22">
        <v>59</v>
      </c>
      <c r="Z22">
        <v>68</v>
      </c>
      <c r="AA22">
        <v>52</v>
      </c>
      <c r="AB22">
        <v>52</v>
      </c>
      <c r="AC22">
        <v>63</v>
      </c>
      <c r="AD22">
        <v>63</v>
      </c>
      <c r="AE22">
        <v>79</v>
      </c>
      <c r="AF22">
        <v>87</v>
      </c>
      <c r="AG22">
        <v>73</v>
      </c>
      <c r="AH22">
        <v>91</v>
      </c>
      <c r="AI22">
        <v>69</v>
      </c>
      <c r="AJ22">
        <v>78</v>
      </c>
      <c r="AK22">
        <v>96</v>
      </c>
      <c r="AL22">
        <v>81</v>
      </c>
      <c r="AM22">
        <v>74</v>
      </c>
      <c r="AN22">
        <v>82</v>
      </c>
      <c r="AO22">
        <v>120</v>
      </c>
      <c r="AP22">
        <v>112</v>
      </c>
      <c r="AQ22">
        <v>3046</v>
      </c>
      <c r="AR22">
        <v>0.65659881812212728</v>
      </c>
      <c r="AS22">
        <f t="shared" si="0"/>
        <v>0.19362036186762838</v>
      </c>
      <c r="AT22">
        <f t="shared" si="1"/>
        <v>1.5567077094157321E-2</v>
      </c>
      <c r="AU22">
        <f t="shared" si="2"/>
        <v>1.5567077094157322</v>
      </c>
      <c r="AV22">
        <f t="shared" si="3"/>
        <v>3</v>
      </c>
      <c r="AW22">
        <f t="shared" si="4"/>
        <v>9.3923170846247697E-2</v>
      </c>
    </row>
    <row r="23" spans="1:49" x14ac:dyDescent="0.3">
      <c r="A23" t="s">
        <v>44</v>
      </c>
      <c r="B23" t="s">
        <v>11</v>
      </c>
      <c r="C23">
        <v>1</v>
      </c>
      <c r="D23" t="s">
        <v>12</v>
      </c>
      <c r="E23">
        <v>38</v>
      </c>
      <c r="F23">
        <v>34</v>
      </c>
      <c r="G23">
        <v>26</v>
      </c>
      <c r="H23">
        <v>25</v>
      </c>
      <c r="I23">
        <v>22</v>
      </c>
      <c r="J23">
        <v>30</v>
      </c>
      <c r="K23">
        <v>38</v>
      </c>
      <c r="L23">
        <v>36</v>
      </c>
      <c r="M23">
        <v>39</v>
      </c>
      <c r="N23">
        <v>45</v>
      </c>
      <c r="O23">
        <v>52</v>
      </c>
      <c r="P23">
        <v>47</v>
      </c>
      <c r="Q23">
        <v>57</v>
      </c>
      <c r="R23">
        <v>57</v>
      </c>
      <c r="S23">
        <v>43</v>
      </c>
      <c r="T23">
        <v>52</v>
      </c>
      <c r="U23">
        <v>55</v>
      </c>
      <c r="V23">
        <v>63</v>
      </c>
      <c r="W23">
        <v>92</v>
      </c>
      <c r="X23">
        <v>27</v>
      </c>
      <c r="Y23">
        <v>38</v>
      </c>
      <c r="Z23">
        <v>33</v>
      </c>
      <c r="AA23">
        <v>27</v>
      </c>
      <c r="AB23">
        <v>29</v>
      </c>
      <c r="AC23">
        <v>26</v>
      </c>
      <c r="AD23">
        <v>33</v>
      </c>
      <c r="AE23">
        <v>43</v>
      </c>
      <c r="AF23">
        <v>43</v>
      </c>
      <c r="AG23">
        <v>44</v>
      </c>
      <c r="AH23">
        <v>50</v>
      </c>
      <c r="AI23">
        <v>61</v>
      </c>
      <c r="AJ23">
        <v>53</v>
      </c>
      <c r="AK23">
        <v>60</v>
      </c>
      <c r="AL23">
        <v>62</v>
      </c>
      <c r="AM23">
        <v>58</v>
      </c>
      <c r="AN23">
        <v>52</v>
      </c>
      <c r="AO23">
        <v>61</v>
      </c>
      <c r="AP23">
        <v>69</v>
      </c>
      <c r="AQ23">
        <v>1720</v>
      </c>
      <c r="AR23">
        <v>0.58139534883720934</v>
      </c>
      <c r="AS23">
        <f t="shared" si="0"/>
        <v>0.16774235735980636</v>
      </c>
      <c r="AT23">
        <f t="shared" si="1"/>
        <v>1.3486485531728432E-2</v>
      </c>
      <c r="AU23">
        <f t="shared" si="2"/>
        <v>1.3486485531728432</v>
      </c>
      <c r="AV23">
        <f t="shared" si="3"/>
        <v>3</v>
      </c>
      <c r="AW23">
        <f t="shared" si="4"/>
        <v>9.3923170846247697E-2</v>
      </c>
    </row>
    <row r="24" spans="1:49" x14ac:dyDescent="0.3">
      <c r="A24" t="s">
        <v>45</v>
      </c>
      <c r="B24" t="s">
        <v>46</v>
      </c>
      <c r="C24">
        <v>1</v>
      </c>
      <c r="D24" t="s">
        <v>12</v>
      </c>
      <c r="E24">
        <v>78</v>
      </c>
      <c r="F24">
        <v>66</v>
      </c>
      <c r="G24">
        <v>70</v>
      </c>
      <c r="H24">
        <v>67</v>
      </c>
      <c r="I24">
        <v>66</v>
      </c>
      <c r="J24">
        <v>61</v>
      </c>
      <c r="K24">
        <v>85</v>
      </c>
      <c r="L24">
        <v>73</v>
      </c>
      <c r="M24">
        <v>85</v>
      </c>
      <c r="N24">
        <v>88</v>
      </c>
      <c r="O24">
        <v>98</v>
      </c>
      <c r="P24">
        <v>111</v>
      </c>
      <c r="Q24">
        <v>104</v>
      </c>
      <c r="R24">
        <v>90</v>
      </c>
      <c r="S24">
        <v>93</v>
      </c>
      <c r="T24">
        <v>109</v>
      </c>
      <c r="U24">
        <v>99</v>
      </c>
      <c r="V24">
        <v>109</v>
      </c>
      <c r="W24">
        <v>104</v>
      </c>
      <c r="X24">
        <v>76</v>
      </c>
      <c r="Y24">
        <v>60</v>
      </c>
      <c r="Z24">
        <v>62</v>
      </c>
      <c r="AA24">
        <v>76</v>
      </c>
      <c r="AB24">
        <v>73</v>
      </c>
      <c r="AC24">
        <v>62</v>
      </c>
      <c r="AD24">
        <v>65</v>
      </c>
      <c r="AE24">
        <v>69</v>
      </c>
      <c r="AF24">
        <v>74</v>
      </c>
      <c r="AG24">
        <v>84</v>
      </c>
      <c r="AH24">
        <v>91</v>
      </c>
      <c r="AI24">
        <v>93</v>
      </c>
      <c r="AJ24">
        <v>107</v>
      </c>
      <c r="AK24">
        <v>95</v>
      </c>
      <c r="AL24">
        <v>119</v>
      </c>
      <c r="AM24">
        <v>119</v>
      </c>
      <c r="AN24">
        <v>106</v>
      </c>
      <c r="AO24">
        <v>116</v>
      </c>
      <c r="AP24">
        <v>130</v>
      </c>
      <c r="AQ24">
        <v>3333</v>
      </c>
      <c r="AR24">
        <v>0.30003000300030003</v>
      </c>
      <c r="AS24">
        <f t="shared" si="0"/>
        <v>7.0922705857735538E-2</v>
      </c>
      <c r="AT24">
        <f t="shared" si="1"/>
        <v>5.7021855509619369E-3</v>
      </c>
      <c r="AU24">
        <f t="shared" si="2"/>
        <v>0.57021855509619368</v>
      </c>
      <c r="AV24">
        <f t="shared" si="3"/>
        <v>3</v>
      </c>
      <c r="AW24">
        <f t="shared" si="4"/>
        <v>9.3923170846247697E-2</v>
      </c>
    </row>
    <row r="25" spans="1:49" x14ac:dyDescent="0.3">
      <c r="A25" t="s">
        <v>47</v>
      </c>
      <c r="B25" t="s">
        <v>48</v>
      </c>
      <c r="C25">
        <v>1</v>
      </c>
      <c r="D25" t="s">
        <v>17</v>
      </c>
      <c r="E25">
        <v>2</v>
      </c>
      <c r="F25">
        <v>4</v>
      </c>
      <c r="G25">
        <v>5</v>
      </c>
      <c r="H25">
        <v>5</v>
      </c>
      <c r="I25">
        <v>2</v>
      </c>
      <c r="J25">
        <v>6</v>
      </c>
      <c r="K25">
        <v>7</v>
      </c>
      <c r="L25">
        <v>5</v>
      </c>
      <c r="M25">
        <v>13</v>
      </c>
      <c r="N25">
        <v>6</v>
      </c>
      <c r="O25">
        <v>12</v>
      </c>
      <c r="P25">
        <v>11</v>
      </c>
      <c r="Q25">
        <v>14</v>
      </c>
      <c r="R25">
        <v>15</v>
      </c>
      <c r="S25">
        <v>10</v>
      </c>
      <c r="T25">
        <v>17</v>
      </c>
      <c r="U25">
        <v>20</v>
      </c>
      <c r="V25">
        <v>15</v>
      </c>
      <c r="W25">
        <v>19</v>
      </c>
      <c r="X25">
        <v>3</v>
      </c>
      <c r="Y25">
        <v>4</v>
      </c>
      <c r="Z25">
        <v>6</v>
      </c>
      <c r="AA25">
        <v>5</v>
      </c>
      <c r="AB25">
        <v>4</v>
      </c>
      <c r="AC25">
        <v>6</v>
      </c>
      <c r="AD25">
        <v>4</v>
      </c>
      <c r="AE25">
        <v>5</v>
      </c>
      <c r="AF25">
        <v>10</v>
      </c>
      <c r="AG25">
        <v>11</v>
      </c>
      <c r="AH25">
        <v>15</v>
      </c>
      <c r="AI25">
        <v>13</v>
      </c>
      <c r="AJ25">
        <v>13</v>
      </c>
      <c r="AK25">
        <v>11</v>
      </c>
      <c r="AL25">
        <v>10</v>
      </c>
      <c r="AM25">
        <v>11</v>
      </c>
      <c r="AN25">
        <v>19</v>
      </c>
      <c r="AO25">
        <v>9</v>
      </c>
      <c r="AP25">
        <v>25</v>
      </c>
      <c r="AQ25">
        <v>372</v>
      </c>
      <c r="AR25">
        <v>2.688172043010753</v>
      </c>
      <c r="AS25">
        <f t="shared" si="0"/>
        <v>0.89269796522205125</v>
      </c>
      <c r="AT25">
        <f t="shared" si="1"/>
        <v>7.1772916403852915E-2</v>
      </c>
      <c r="AU25">
        <f t="shared" si="2"/>
        <v>7.1772916403852918</v>
      </c>
      <c r="AV25">
        <f t="shared" si="3"/>
        <v>3</v>
      </c>
      <c r="AW25">
        <f t="shared" si="4"/>
        <v>9.3923170846247697E-2</v>
      </c>
    </row>
    <row r="26" spans="1:49" x14ac:dyDescent="0.3">
      <c r="A26" t="s">
        <v>49</v>
      </c>
      <c r="B26" t="s">
        <v>50</v>
      </c>
      <c r="C26">
        <v>2</v>
      </c>
      <c r="D26" t="s">
        <v>12</v>
      </c>
      <c r="E26">
        <v>34</v>
      </c>
      <c r="F26">
        <v>14</v>
      </c>
      <c r="G26">
        <v>15</v>
      </c>
      <c r="H26">
        <v>17</v>
      </c>
      <c r="I26">
        <v>20</v>
      </c>
      <c r="J26">
        <v>20</v>
      </c>
      <c r="K26">
        <v>24</v>
      </c>
      <c r="L26">
        <v>29</v>
      </c>
      <c r="M26">
        <v>26</v>
      </c>
      <c r="N26">
        <v>22</v>
      </c>
      <c r="O26">
        <v>23</v>
      </c>
      <c r="P26">
        <v>28</v>
      </c>
      <c r="Q26">
        <v>30</v>
      </c>
      <c r="R26">
        <v>36</v>
      </c>
      <c r="S26">
        <v>45</v>
      </c>
      <c r="T26">
        <v>37</v>
      </c>
      <c r="U26">
        <v>33</v>
      </c>
      <c r="V26">
        <v>44</v>
      </c>
      <c r="W26">
        <v>50</v>
      </c>
      <c r="X26">
        <v>18</v>
      </c>
      <c r="Y26">
        <v>15</v>
      </c>
      <c r="Z26">
        <v>17</v>
      </c>
      <c r="AA26">
        <v>20</v>
      </c>
      <c r="AB26">
        <v>19</v>
      </c>
      <c r="AC26">
        <v>12</v>
      </c>
      <c r="AD26">
        <v>21</v>
      </c>
      <c r="AE26">
        <v>19</v>
      </c>
      <c r="AF26">
        <v>21</v>
      </c>
      <c r="AG26">
        <v>23</v>
      </c>
      <c r="AH26">
        <v>27</v>
      </c>
      <c r="AI26">
        <v>27</v>
      </c>
      <c r="AJ26">
        <v>25</v>
      </c>
      <c r="AK26">
        <v>44</v>
      </c>
      <c r="AL26">
        <v>42</v>
      </c>
      <c r="AM26">
        <v>42</v>
      </c>
      <c r="AN26">
        <v>29</v>
      </c>
      <c r="AO26">
        <v>33</v>
      </c>
      <c r="AP26">
        <v>49</v>
      </c>
      <c r="AQ26">
        <v>1050</v>
      </c>
      <c r="AR26">
        <v>1.9047619047619051</v>
      </c>
      <c r="AS26">
        <f t="shared" si="0"/>
        <v>0.62312142464690867</v>
      </c>
      <c r="AT26">
        <f t="shared" si="1"/>
        <v>5.0098962541611454E-2</v>
      </c>
      <c r="AU26">
        <f t="shared" si="2"/>
        <v>5.0098962541611458</v>
      </c>
      <c r="AV26">
        <f t="shared" si="3"/>
        <v>3</v>
      </c>
      <c r="AW26">
        <f t="shared" si="4"/>
        <v>9.3923170846247697E-2</v>
      </c>
    </row>
    <row r="27" spans="1:49" x14ac:dyDescent="0.3">
      <c r="A27" t="s">
        <v>51</v>
      </c>
      <c r="B27" t="s">
        <v>50</v>
      </c>
      <c r="C27">
        <v>1</v>
      </c>
      <c r="D27" t="s">
        <v>12</v>
      </c>
      <c r="E27">
        <v>92</v>
      </c>
      <c r="F27">
        <v>67</v>
      </c>
      <c r="G27">
        <v>71</v>
      </c>
      <c r="H27">
        <v>60</v>
      </c>
      <c r="I27">
        <v>70</v>
      </c>
      <c r="J27">
        <v>67</v>
      </c>
      <c r="K27">
        <v>68</v>
      </c>
      <c r="L27">
        <v>81</v>
      </c>
      <c r="M27">
        <v>92</v>
      </c>
      <c r="N27">
        <v>85</v>
      </c>
      <c r="O27">
        <v>87</v>
      </c>
      <c r="P27">
        <v>96</v>
      </c>
      <c r="Q27">
        <v>73</v>
      </c>
      <c r="R27">
        <v>75</v>
      </c>
      <c r="S27">
        <v>106</v>
      </c>
      <c r="T27">
        <v>87</v>
      </c>
      <c r="U27">
        <v>65</v>
      </c>
      <c r="V27">
        <v>87</v>
      </c>
      <c r="W27">
        <v>88</v>
      </c>
      <c r="X27">
        <v>85</v>
      </c>
      <c r="Y27">
        <v>87</v>
      </c>
      <c r="Z27">
        <v>76</v>
      </c>
      <c r="AA27">
        <v>68</v>
      </c>
      <c r="AB27">
        <v>37</v>
      </c>
      <c r="AC27">
        <v>63</v>
      </c>
      <c r="AD27">
        <v>72</v>
      </c>
      <c r="AE27">
        <v>56</v>
      </c>
      <c r="AF27">
        <v>82</v>
      </c>
      <c r="AG27">
        <v>99</v>
      </c>
      <c r="AH27">
        <v>98</v>
      </c>
      <c r="AI27">
        <v>86</v>
      </c>
      <c r="AJ27">
        <v>76</v>
      </c>
      <c r="AK27">
        <v>84</v>
      </c>
      <c r="AL27">
        <v>88</v>
      </c>
      <c r="AM27">
        <v>68</v>
      </c>
      <c r="AN27">
        <v>65</v>
      </c>
      <c r="AO27">
        <v>90</v>
      </c>
      <c r="AP27">
        <v>83</v>
      </c>
      <c r="AQ27">
        <v>2980</v>
      </c>
      <c r="AR27">
        <v>0.33557046979865768</v>
      </c>
      <c r="AS27">
        <f t="shared" si="0"/>
        <v>8.3152412396054073E-2</v>
      </c>
      <c r="AT27">
        <f t="shared" si="1"/>
        <v>6.6854539566427477E-3</v>
      </c>
      <c r="AU27">
        <f t="shared" si="2"/>
        <v>0.66854539566427473</v>
      </c>
      <c r="AV27">
        <f t="shared" si="3"/>
        <v>3</v>
      </c>
      <c r="AW27">
        <f t="shared" si="4"/>
        <v>9.3923170846247697E-2</v>
      </c>
    </row>
    <row r="28" spans="1:49" x14ac:dyDescent="0.3">
      <c r="A28" t="s">
        <v>52</v>
      </c>
      <c r="B28" t="s">
        <v>16</v>
      </c>
      <c r="C28">
        <v>3</v>
      </c>
      <c r="D28" t="s">
        <v>17</v>
      </c>
      <c r="E28">
        <v>73</v>
      </c>
      <c r="F28">
        <v>71</v>
      </c>
      <c r="G28">
        <v>66</v>
      </c>
      <c r="H28">
        <v>83</v>
      </c>
      <c r="I28">
        <v>81</v>
      </c>
      <c r="J28">
        <v>86</v>
      </c>
      <c r="K28">
        <v>88</v>
      </c>
      <c r="L28">
        <v>97</v>
      </c>
      <c r="M28">
        <v>102</v>
      </c>
      <c r="N28">
        <v>126</v>
      </c>
      <c r="O28">
        <v>136</v>
      </c>
      <c r="P28">
        <v>136</v>
      </c>
      <c r="Q28">
        <v>129</v>
      </c>
      <c r="R28">
        <v>135</v>
      </c>
      <c r="S28">
        <v>161</v>
      </c>
      <c r="T28">
        <v>143</v>
      </c>
      <c r="U28">
        <v>152</v>
      </c>
      <c r="V28">
        <v>161</v>
      </c>
      <c r="W28">
        <v>169</v>
      </c>
      <c r="X28">
        <v>70</v>
      </c>
      <c r="Y28">
        <v>77</v>
      </c>
      <c r="Z28">
        <v>69</v>
      </c>
      <c r="AA28">
        <v>95</v>
      </c>
      <c r="AB28">
        <v>83</v>
      </c>
      <c r="AC28">
        <v>79</v>
      </c>
      <c r="AD28">
        <v>87</v>
      </c>
      <c r="AE28">
        <v>92</v>
      </c>
      <c r="AF28">
        <v>89</v>
      </c>
      <c r="AG28">
        <v>110</v>
      </c>
      <c r="AH28">
        <v>129</v>
      </c>
      <c r="AI28">
        <v>118</v>
      </c>
      <c r="AJ28">
        <v>121</v>
      </c>
      <c r="AK28">
        <v>132</v>
      </c>
      <c r="AL28">
        <v>151</v>
      </c>
      <c r="AM28">
        <v>172</v>
      </c>
      <c r="AN28">
        <v>144</v>
      </c>
      <c r="AO28">
        <v>159</v>
      </c>
      <c r="AP28">
        <v>159</v>
      </c>
      <c r="AQ28">
        <v>4331</v>
      </c>
      <c r="AR28">
        <v>0.69268067420918955</v>
      </c>
      <c r="AS28">
        <f t="shared" si="0"/>
        <v>0.20603636399292982</v>
      </c>
      <c r="AT28">
        <f t="shared" si="1"/>
        <v>1.6565323665031557E-2</v>
      </c>
      <c r="AU28">
        <f t="shared" si="2"/>
        <v>1.6565323665031557</v>
      </c>
      <c r="AV28">
        <f t="shared" si="3"/>
        <v>3</v>
      </c>
      <c r="AW28">
        <f t="shared" si="4"/>
        <v>9.3923170846247697E-2</v>
      </c>
    </row>
    <row r="29" spans="1:49" x14ac:dyDescent="0.3">
      <c r="A29" t="s">
        <v>53</v>
      </c>
      <c r="B29" t="s">
        <v>54</v>
      </c>
      <c r="C29">
        <v>2</v>
      </c>
      <c r="D29" t="s">
        <v>17</v>
      </c>
      <c r="E29">
        <v>17</v>
      </c>
      <c r="F29">
        <v>17</v>
      </c>
      <c r="G29">
        <v>13</v>
      </c>
      <c r="H29">
        <v>17</v>
      </c>
      <c r="I29">
        <v>12</v>
      </c>
      <c r="J29">
        <v>23</v>
      </c>
      <c r="K29">
        <v>20</v>
      </c>
      <c r="L29">
        <v>24</v>
      </c>
      <c r="M29">
        <v>17</v>
      </c>
      <c r="N29">
        <v>32</v>
      </c>
      <c r="O29">
        <v>31</v>
      </c>
      <c r="P29">
        <v>39</v>
      </c>
      <c r="Q29">
        <v>38</v>
      </c>
      <c r="R29">
        <v>43</v>
      </c>
      <c r="S29">
        <v>47</v>
      </c>
      <c r="T29">
        <v>48</v>
      </c>
      <c r="U29">
        <v>61</v>
      </c>
      <c r="V29">
        <v>49</v>
      </c>
      <c r="W29">
        <v>60</v>
      </c>
      <c r="X29">
        <v>18</v>
      </c>
      <c r="Y29">
        <v>16</v>
      </c>
      <c r="Z29">
        <v>18</v>
      </c>
      <c r="AA29">
        <v>18</v>
      </c>
      <c r="AB29">
        <v>16</v>
      </c>
      <c r="AC29">
        <v>18</v>
      </c>
      <c r="AD29">
        <v>18</v>
      </c>
      <c r="AE29">
        <v>23</v>
      </c>
      <c r="AF29">
        <v>17</v>
      </c>
      <c r="AG29">
        <v>26</v>
      </c>
      <c r="AH29">
        <v>29</v>
      </c>
      <c r="AI29">
        <v>37</v>
      </c>
      <c r="AJ29">
        <v>37</v>
      </c>
      <c r="AK29">
        <v>37</v>
      </c>
      <c r="AL29">
        <v>28</v>
      </c>
      <c r="AM29">
        <v>38</v>
      </c>
      <c r="AN29">
        <v>36</v>
      </c>
      <c r="AO29">
        <v>46</v>
      </c>
      <c r="AP29">
        <v>69</v>
      </c>
      <c r="AQ29">
        <v>1153</v>
      </c>
      <c r="AR29">
        <v>1.734605377276669</v>
      </c>
      <c r="AS29">
        <f t="shared" si="0"/>
        <v>0.56456945321304075</v>
      </c>
      <c r="AT29">
        <f t="shared" si="1"/>
        <v>4.5391384038328479E-2</v>
      </c>
      <c r="AU29">
        <f t="shared" si="2"/>
        <v>4.5391384038328475</v>
      </c>
      <c r="AV29">
        <f t="shared" si="3"/>
        <v>3</v>
      </c>
      <c r="AW29">
        <f t="shared" si="4"/>
        <v>9.3923170846247697E-2</v>
      </c>
    </row>
    <row r="30" spans="1:49" x14ac:dyDescent="0.3">
      <c r="A30" t="s">
        <v>55</v>
      </c>
      <c r="B30" t="s">
        <v>54</v>
      </c>
      <c r="C30">
        <v>3</v>
      </c>
      <c r="D30" t="s">
        <v>17</v>
      </c>
      <c r="E30">
        <v>13</v>
      </c>
      <c r="F30">
        <v>25</v>
      </c>
      <c r="G30">
        <v>13</v>
      </c>
      <c r="H30">
        <v>23</v>
      </c>
      <c r="I30">
        <v>11</v>
      </c>
      <c r="J30">
        <v>11</v>
      </c>
      <c r="K30">
        <v>15</v>
      </c>
      <c r="L30">
        <v>25</v>
      </c>
      <c r="M30">
        <v>23</v>
      </c>
      <c r="N30">
        <v>30</v>
      </c>
      <c r="O30">
        <v>30</v>
      </c>
      <c r="P30">
        <v>27</v>
      </c>
      <c r="Q30">
        <v>16</v>
      </c>
      <c r="R30">
        <v>30</v>
      </c>
      <c r="S30">
        <v>33</v>
      </c>
      <c r="T30">
        <v>42</v>
      </c>
      <c r="U30">
        <v>43</v>
      </c>
      <c r="V30">
        <v>27</v>
      </c>
      <c r="W30">
        <v>44</v>
      </c>
      <c r="X30">
        <v>18</v>
      </c>
      <c r="Y30">
        <v>14</v>
      </c>
      <c r="Z30">
        <v>16</v>
      </c>
      <c r="AA30">
        <v>7</v>
      </c>
      <c r="AB30">
        <v>23</v>
      </c>
      <c r="AC30">
        <v>24</v>
      </c>
      <c r="AD30">
        <v>18</v>
      </c>
      <c r="AE30">
        <v>20</v>
      </c>
      <c r="AF30">
        <v>13</v>
      </c>
      <c r="AG30">
        <v>23</v>
      </c>
      <c r="AH30">
        <v>22</v>
      </c>
      <c r="AI30">
        <v>22</v>
      </c>
      <c r="AJ30">
        <v>27</v>
      </c>
      <c r="AK30">
        <v>30</v>
      </c>
      <c r="AL30">
        <v>29</v>
      </c>
      <c r="AM30">
        <v>30</v>
      </c>
      <c r="AN30">
        <v>37</v>
      </c>
      <c r="AO30">
        <v>23</v>
      </c>
      <c r="AP30">
        <v>56</v>
      </c>
      <c r="AQ30">
        <v>933</v>
      </c>
      <c r="AR30">
        <v>3</v>
      </c>
      <c r="AS30">
        <f t="shared" si="0"/>
        <v>1</v>
      </c>
      <c r="AT30">
        <f t="shared" si="1"/>
        <v>8.0399999999999999E-2</v>
      </c>
      <c r="AU30">
        <f t="shared" si="2"/>
        <v>8.0399999999999991</v>
      </c>
      <c r="AV30">
        <f t="shared" si="3"/>
        <v>3</v>
      </c>
      <c r="AW30">
        <f t="shared" si="4"/>
        <v>9.3923170846247697E-2</v>
      </c>
    </row>
    <row r="31" spans="1:49" x14ac:dyDescent="0.3">
      <c r="A31" t="s">
        <v>56</v>
      </c>
      <c r="B31" t="s">
        <v>54</v>
      </c>
      <c r="C31">
        <v>2</v>
      </c>
      <c r="D31" t="s">
        <v>17</v>
      </c>
      <c r="E31">
        <v>30</v>
      </c>
      <c r="F31">
        <v>35</v>
      </c>
      <c r="G31">
        <v>22</v>
      </c>
      <c r="H31">
        <v>44</v>
      </c>
      <c r="I31">
        <v>37</v>
      </c>
      <c r="J31">
        <v>44</v>
      </c>
      <c r="K31">
        <v>31</v>
      </c>
      <c r="L31">
        <v>38</v>
      </c>
      <c r="M31">
        <v>57</v>
      </c>
      <c r="N31">
        <v>48</v>
      </c>
      <c r="O31">
        <v>50</v>
      </c>
      <c r="P31">
        <v>68</v>
      </c>
      <c r="Q31">
        <v>65</v>
      </c>
      <c r="R31">
        <v>69</v>
      </c>
      <c r="S31">
        <v>76</v>
      </c>
      <c r="T31">
        <v>55</v>
      </c>
      <c r="U31">
        <v>67</v>
      </c>
      <c r="V31">
        <v>70</v>
      </c>
      <c r="W31">
        <v>86</v>
      </c>
      <c r="X31">
        <v>40</v>
      </c>
      <c r="Y31">
        <v>31</v>
      </c>
      <c r="Z31">
        <v>37</v>
      </c>
      <c r="AA31">
        <v>33</v>
      </c>
      <c r="AB31">
        <v>27</v>
      </c>
      <c r="AC31">
        <v>31</v>
      </c>
      <c r="AD31">
        <v>35</v>
      </c>
      <c r="AE31">
        <v>34</v>
      </c>
      <c r="AF31">
        <v>31</v>
      </c>
      <c r="AG31">
        <v>51</v>
      </c>
      <c r="AH31">
        <v>52</v>
      </c>
      <c r="AI31">
        <v>69</v>
      </c>
      <c r="AJ31">
        <v>63</v>
      </c>
      <c r="AK31">
        <v>62</v>
      </c>
      <c r="AL31">
        <v>72</v>
      </c>
      <c r="AM31">
        <v>83</v>
      </c>
      <c r="AN31">
        <v>67</v>
      </c>
      <c r="AO31">
        <v>69</v>
      </c>
      <c r="AP31">
        <v>87</v>
      </c>
      <c r="AQ31">
        <v>1966</v>
      </c>
      <c r="AR31">
        <v>1.0172939979654121</v>
      </c>
      <c r="AS31">
        <f t="shared" si="0"/>
        <v>0.31773792690403485</v>
      </c>
      <c r="AT31">
        <f t="shared" si="1"/>
        <v>2.55461293230844E-2</v>
      </c>
      <c r="AU31">
        <f t="shared" si="2"/>
        <v>2.5546129323084399</v>
      </c>
      <c r="AV31">
        <f t="shared" si="3"/>
        <v>3</v>
      </c>
      <c r="AW31">
        <f t="shared" si="4"/>
        <v>9.3923170846247697E-2</v>
      </c>
    </row>
    <row r="32" spans="1:49" x14ac:dyDescent="0.3">
      <c r="A32" t="s">
        <v>57</v>
      </c>
      <c r="B32" t="s">
        <v>54</v>
      </c>
      <c r="C32">
        <v>2</v>
      </c>
      <c r="D32" t="s">
        <v>17</v>
      </c>
      <c r="E32">
        <v>52</v>
      </c>
      <c r="F32">
        <v>48</v>
      </c>
      <c r="G32">
        <v>48</v>
      </c>
      <c r="H32">
        <v>50</v>
      </c>
      <c r="I32">
        <v>38</v>
      </c>
      <c r="J32">
        <v>59</v>
      </c>
      <c r="K32">
        <v>35</v>
      </c>
      <c r="L32">
        <v>54</v>
      </c>
      <c r="M32">
        <v>54</v>
      </c>
      <c r="N32">
        <v>71</v>
      </c>
      <c r="O32">
        <v>74</v>
      </c>
      <c r="P32">
        <v>76</v>
      </c>
      <c r="Q32">
        <v>78</v>
      </c>
      <c r="R32">
        <v>87</v>
      </c>
      <c r="S32">
        <v>97</v>
      </c>
      <c r="T32">
        <v>93</v>
      </c>
      <c r="U32">
        <v>97</v>
      </c>
      <c r="V32">
        <v>104</v>
      </c>
      <c r="W32">
        <v>141</v>
      </c>
      <c r="X32">
        <v>48</v>
      </c>
      <c r="Y32">
        <v>41</v>
      </c>
      <c r="Z32">
        <v>33</v>
      </c>
      <c r="AA32">
        <v>46</v>
      </c>
      <c r="AB32">
        <v>54</v>
      </c>
      <c r="AC32">
        <v>42</v>
      </c>
      <c r="AD32">
        <v>55</v>
      </c>
      <c r="AE32">
        <v>42</v>
      </c>
      <c r="AF32">
        <v>55</v>
      </c>
      <c r="AG32">
        <v>54</v>
      </c>
      <c r="AH32">
        <v>77</v>
      </c>
      <c r="AI32">
        <v>94</v>
      </c>
      <c r="AJ32">
        <v>56</v>
      </c>
      <c r="AK32">
        <v>92</v>
      </c>
      <c r="AL32">
        <v>86</v>
      </c>
      <c r="AM32">
        <v>106</v>
      </c>
      <c r="AN32">
        <v>82</v>
      </c>
      <c r="AO32">
        <v>105</v>
      </c>
      <c r="AP32">
        <v>113</v>
      </c>
      <c r="AQ32">
        <v>2637</v>
      </c>
      <c r="AR32">
        <v>0.75843761850587788</v>
      </c>
      <c r="AS32">
        <f t="shared" si="0"/>
        <v>0.22866375761068106</v>
      </c>
      <c r="AT32">
        <f t="shared" si="1"/>
        <v>1.8384566111898756E-2</v>
      </c>
      <c r="AU32">
        <f t="shared" si="2"/>
        <v>1.8384566111898755</v>
      </c>
      <c r="AV32">
        <f t="shared" si="3"/>
        <v>3</v>
      </c>
      <c r="AW32">
        <f t="shared" si="4"/>
        <v>9.3923170846247697E-2</v>
      </c>
    </row>
    <row r="33" spans="1:49" x14ac:dyDescent="0.3">
      <c r="A33" t="s">
        <v>58</v>
      </c>
      <c r="B33" t="s">
        <v>59</v>
      </c>
      <c r="C33">
        <v>3</v>
      </c>
      <c r="D33" t="s">
        <v>24</v>
      </c>
      <c r="E33">
        <v>11</v>
      </c>
      <c r="F33">
        <v>14</v>
      </c>
      <c r="G33">
        <v>13</v>
      </c>
      <c r="H33">
        <v>8</v>
      </c>
      <c r="I33">
        <v>15</v>
      </c>
      <c r="J33">
        <v>22</v>
      </c>
      <c r="K33">
        <v>22</v>
      </c>
      <c r="L33">
        <v>19</v>
      </c>
      <c r="M33">
        <v>25</v>
      </c>
      <c r="N33">
        <v>24</v>
      </c>
      <c r="O33">
        <v>24</v>
      </c>
      <c r="P33">
        <v>27</v>
      </c>
      <c r="Q33">
        <v>43</v>
      </c>
      <c r="R33">
        <v>41</v>
      </c>
      <c r="S33">
        <v>32</v>
      </c>
      <c r="T33">
        <v>28</v>
      </c>
      <c r="U33">
        <v>45</v>
      </c>
      <c r="V33">
        <v>42</v>
      </c>
      <c r="W33">
        <v>49</v>
      </c>
      <c r="X33">
        <v>13</v>
      </c>
      <c r="Y33">
        <v>17</v>
      </c>
      <c r="Z33">
        <v>15</v>
      </c>
      <c r="AA33">
        <v>16</v>
      </c>
      <c r="AB33">
        <v>14</v>
      </c>
      <c r="AC33">
        <v>16</v>
      </c>
      <c r="AD33">
        <v>16</v>
      </c>
      <c r="AE33">
        <v>29</v>
      </c>
      <c r="AF33">
        <v>29</v>
      </c>
      <c r="AG33">
        <v>23</v>
      </c>
      <c r="AH33">
        <v>22</v>
      </c>
      <c r="AI33">
        <v>41</v>
      </c>
      <c r="AJ33">
        <v>47</v>
      </c>
      <c r="AK33">
        <v>42</v>
      </c>
      <c r="AL33">
        <v>37</v>
      </c>
      <c r="AM33">
        <v>39</v>
      </c>
      <c r="AN33">
        <v>37</v>
      </c>
      <c r="AO33">
        <v>37</v>
      </c>
      <c r="AP33">
        <v>38</v>
      </c>
      <c r="AQ33">
        <v>1032</v>
      </c>
      <c r="AR33">
        <v>2.9069767441860459</v>
      </c>
      <c r="AS33">
        <f t="shared" si="0"/>
        <v>0.9679900906676846</v>
      </c>
      <c r="AT33">
        <f t="shared" si="1"/>
        <v>7.7826403289681836E-2</v>
      </c>
      <c r="AU33">
        <f t="shared" si="2"/>
        <v>7.782640328968184</v>
      </c>
      <c r="AV33">
        <f t="shared" si="3"/>
        <v>3</v>
      </c>
      <c r="AW33">
        <f t="shared" si="4"/>
        <v>9.3923170846247697E-2</v>
      </c>
    </row>
    <row r="34" spans="1:49" x14ac:dyDescent="0.3">
      <c r="A34" t="s">
        <v>60</v>
      </c>
      <c r="B34" t="s">
        <v>59</v>
      </c>
      <c r="C34">
        <v>3</v>
      </c>
      <c r="D34" t="s">
        <v>24</v>
      </c>
      <c r="E34">
        <v>28</v>
      </c>
      <c r="F34">
        <v>26</v>
      </c>
      <c r="G34">
        <v>36</v>
      </c>
      <c r="H34">
        <v>30</v>
      </c>
      <c r="I34">
        <v>39</v>
      </c>
      <c r="J34">
        <v>38</v>
      </c>
      <c r="K34">
        <v>41</v>
      </c>
      <c r="L34">
        <v>47</v>
      </c>
      <c r="M34">
        <v>55</v>
      </c>
      <c r="N34">
        <v>58</v>
      </c>
      <c r="O34">
        <v>55</v>
      </c>
      <c r="P34">
        <v>60</v>
      </c>
      <c r="Q34">
        <v>80</v>
      </c>
      <c r="R34">
        <v>89</v>
      </c>
      <c r="S34">
        <v>84</v>
      </c>
      <c r="T34">
        <v>74</v>
      </c>
      <c r="U34">
        <v>92</v>
      </c>
      <c r="V34">
        <v>98</v>
      </c>
      <c r="W34">
        <v>121</v>
      </c>
      <c r="X34">
        <v>23</v>
      </c>
      <c r="Y34">
        <v>26</v>
      </c>
      <c r="Z34">
        <v>21</v>
      </c>
      <c r="AA34">
        <v>28</v>
      </c>
      <c r="AB34">
        <v>28</v>
      </c>
      <c r="AC34">
        <v>40</v>
      </c>
      <c r="AD34">
        <v>29</v>
      </c>
      <c r="AE34">
        <v>40</v>
      </c>
      <c r="AF34">
        <v>56</v>
      </c>
      <c r="AG34">
        <v>57</v>
      </c>
      <c r="AH34">
        <v>79</v>
      </c>
      <c r="AI34">
        <v>60</v>
      </c>
      <c r="AJ34">
        <v>65</v>
      </c>
      <c r="AK34">
        <v>64</v>
      </c>
      <c r="AL34">
        <v>88</v>
      </c>
      <c r="AM34">
        <v>89</v>
      </c>
      <c r="AN34">
        <v>82</v>
      </c>
      <c r="AO34">
        <v>80</v>
      </c>
      <c r="AP34">
        <v>93</v>
      </c>
      <c r="AQ34">
        <v>2199</v>
      </c>
      <c r="AR34">
        <v>1.3642564802182811</v>
      </c>
      <c r="AS34">
        <f t="shared" si="0"/>
        <v>0.43712998108930018</v>
      </c>
      <c r="AT34">
        <f t="shared" si="1"/>
        <v>3.5145250479579733E-2</v>
      </c>
      <c r="AU34">
        <f t="shared" si="2"/>
        <v>3.5145250479579735</v>
      </c>
      <c r="AV34">
        <f t="shared" si="3"/>
        <v>3</v>
      </c>
      <c r="AW34">
        <f t="shared" si="4"/>
        <v>9.3923170846247697E-2</v>
      </c>
    </row>
    <row r="35" spans="1:49" x14ac:dyDescent="0.3">
      <c r="A35" t="s">
        <v>61</v>
      </c>
      <c r="B35" t="s">
        <v>39</v>
      </c>
      <c r="C35">
        <v>1</v>
      </c>
      <c r="D35" t="s">
        <v>12</v>
      </c>
      <c r="E35">
        <v>36</v>
      </c>
      <c r="F35">
        <v>37</v>
      </c>
      <c r="G35">
        <v>48</v>
      </c>
      <c r="H35">
        <v>62</v>
      </c>
      <c r="I35">
        <v>92</v>
      </c>
      <c r="J35">
        <v>89</v>
      </c>
      <c r="K35">
        <v>140</v>
      </c>
      <c r="L35">
        <v>155</v>
      </c>
      <c r="M35">
        <v>177</v>
      </c>
      <c r="N35">
        <v>214</v>
      </c>
      <c r="O35">
        <v>251</v>
      </c>
      <c r="P35">
        <v>281</v>
      </c>
      <c r="Q35">
        <v>290</v>
      </c>
      <c r="R35">
        <v>287</v>
      </c>
      <c r="S35">
        <v>268</v>
      </c>
      <c r="T35">
        <v>245</v>
      </c>
      <c r="U35">
        <v>211</v>
      </c>
      <c r="V35">
        <v>224</v>
      </c>
      <c r="W35">
        <v>238</v>
      </c>
      <c r="X35">
        <v>41</v>
      </c>
      <c r="Y35">
        <v>43</v>
      </c>
      <c r="Z35">
        <v>37</v>
      </c>
      <c r="AA35">
        <v>48</v>
      </c>
      <c r="AB35">
        <v>66</v>
      </c>
      <c r="AC35">
        <v>72</v>
      </c>
      <c r="AD35">
        <v>99</v>
      </c>
      <c r="AE35">
        <v>103</v>
      </c>
      <c r="AF35">
        <v>150</v>
      </c>
      <c r="AG35">
        <v>152</v>
      </c>
      <c r="AH35">
        <v>173</v>
      </c>
      <c r="AI35">
        <v>217</v>
      </c>
      <c r="AJ35">
        <v>207</v>
      </c>
      <c r="AK35">
        <v>216</v>
      </c>
      <c r="AL35">
        <v>184</v>
      </c>
      <c r="AM35">
        <v>181</v>
      </c>
      <c r="AN35">
        <v>153</v>
      </c>
      <c r="AO35">
        <v>145</v>
      </c>
      <c r="AP35">
        <v>134</v>
      </c>
      <c r="AQ35">
        <v>5766</v>
      </c>
      <c r="AR35">
        <v>0.17343045438779051</v>
      </c>
      <c r="AS35">
        <f t="shared" si="0"/>
        <v>2.7358975077302162E-2</v>
      </c>
      <c r="AT35">
        <f t="shared" si="1"/>
        <v>2.1996615962150937E-3</v>
      </c>
      <c r="AU35">
        <f t="shared" si="2"/>
        <v>0.21996615962150937</v>
      </c>
      <c r="AV35">
        <f t="shared" si="3"/>
        <v>3</v>
      </c>
      <c r="AW35">
        <f t="shared" si="4"/>
        <v>9.3923170846247697E-2</v>
      </c>
    </row>
    <row r="36" spans="1:49" x14ac:dyDescent="0.3">
      <c r="A36" t="s">
        <v>62</v>
      </c>
      <c r="B36" t="s">
        <v>39</v>
      </c>
      <c r="C36">
        <v>2</v>
      </c>
      <c r="D36" t="s">
        <v>12</v>
      </c>
      <c r="E36">
        <v>111</v>
      </c>
      <c r="F36">
        <v>119</v>
      </c>
      <c r="G36">
        <v>90</v>
      </c>
      <c r="H36">
        <v>102</v>
      </c>
      <c r="I36">
        <v>109</v>
      </c>
      <c r="J36">
        <v>135</v>
      </c>
      <c r="K36">
        <v>125</v>
      </c>
      <c r="L36">
        <v>178</v>
      </c>
      <c r="M36">
        <v>179</v>
      </c>
      <c r="N36">
        <v>180</v>
      </c>
      <c r="O36">
        <v>179</v>
      </c>
      <c r="P36">
        <v>178</v>
      </c>
      <c r="Q36">
        <v>188</v>
      </c>
      <c r="R36">
        <v>193</v>
      </c>
      <c r="S36">
        <v>174</v>
      </c>
      <c r="T36">
        <v>198</v>
      </c>
      <c r="U36">
        <v>140</v>
      </c>
      <c r="V36">
        <v>154</v>
      </c>
      <c r="W36">
        <v>143</v>
      </c>
      <c r="X36">
        <v>107</v>
      </c>
      <c r="Y36">
        <v>99</v>
      </c>
      <c r="Z36">
        <v>90</v>
      </c>
      <c r="AA36">
        <v>103</v>
      </c>
      <c r="AB36">
        <v>115</v>
      </c>
      <c r="AC36">
        <v>103</v>
      </c>
      <c r="AD36">
        <v>156</v>
      </c>
      <c r="AE36">
        <v>145</v>
      </c>
      <c r="AF36">
        <v>144</v>
      </c>
      <c r="AG36">
        <v>168</v>
      </c>
      <c r="AH36">
        <v>202</v>
      </c>
      <c r="AI36">
        <v>155</v>
      </c>
      <c r="AJ36">
        <v>147</v>
      </c>
      <c r="AK36">
        <v>174</v>
      </c>
      <c r="AL36">
        <v>138</v>
      </c>
      <c r="AM36">
        <v>142</v>
      </c>
      <c r="AN36">
        <v>148</v>
      </c>
      <c r="AO36">
        <v>129</v>
      </c>
      <c r="AP36">
        <v>127</v>
      </c>
      <c r="AQ36">
        <v>5467</v>
      </c>
      <c r="AR36">
        <v>0.36583135174684472</v>
      </c>
      <c r="AS36">
        <f t="shared" si="0"/>
        <v>9.3565379336435689E-2</v>
      </c>
      <c r="AT36">
        <f t="shared" si="1"/>
        <v>7.522656498649429E-3</v>
      </c>
      <c r="AU36">
        <f t="shared" si="2"/>
        <v>0.75226564986494293</v>
      </c>
      <c r="AV36">
        <f t="shared" si="3"/>
        <v>3</v>
      </c>
      <c r="AW36">
        <f t="shared" si="4"/>
        <v>9.3923170846247697E-2</v>
      </c>
    </row>
    <row r="37" spans="1:49" x14ac:dyDescent="0.3">
      <c r="A37" t="s">
        <v>63</v>
      </c>
      <c r="B37" t="s">
        <v>64</v>
      </c>
      <c r="C37">
        <v>2</v>
      </c>
      <c r="D37" t="s">
        <v>24</v>
      </c>
      <c r="E37">
        <v>33</v>
      </c>
      <c r="F37">
        <v>32</v>
      </c>
      <c r="G37">
        <v>34</v>
      </c>
      <c r="H37">
        <v>47</v>
      </c>
      <c r="I37">
        <v>31</v>
      </c>
      <c r="J37">
        <v>41</v>
      </c>
      <c r="K37">
        <v>43</v>
      </c>
      <c r="L37">
        <v>51</v>
      </c>
      <c r="M37">
        <v>51</v>
      </c>
      <c r="N37">
        <v>55</v>
      </c>
      <c r="O37">
        <v>70</v>
      </c>
      <c r="P37">
        <v>54</v>
      </c>
      <c r="Q37">
        <v>50</v>
      </c>
      <c r="R37">
        <v>61</v>
      </c>
      <c r="S37">
        <v>74</v>
      </c>
      <c r="T37">
        <v>51</v>
      </c>
      <c r="U37">
        <v>59</v>
      </c>
      <c r="V37">
        <v>68</v>
      </c>
      <c r="W37">
        <v>77</v>
      </c>
      <c r="X37">
        <v>29</v>
      </c>
      <c r="Y37">
        <v>37</v>
      </c>
      <c r="Z37">
        <v>27</v>
      </c>
      <c r="AA37">
        <v>37</v>
      </c>
      <c r="AB37">
        <v>37</v>
      </c>
      <c r="AC37">
        <v>37</v>
      </c>
      <c r="AD37">
        <v>50</v>
      </c>
      <c r="AE37">
        <v>41</v>
      </c>
      <c r="AF37">
        <v>36</v>
      </c>
      <c r="AG37">
        <v>57</v>
      </c>
      <c r="AH37">
        <v>61</v>
      </c>
      <c r="AI37">
        <v>71</v>
      </c>
      <c r="AJ37">
        <v>58</v>
      </c>
      <c r="AK37">
        <v>51</v>
      </c>
      <c r="AL37">
        <v>57</v>
      </c>
      <c r="AM37">
        <v>60</v>
      </c>
      <c r="AN37">
        <v>54</v>
      </c>
      <c r="AO37">
        <v>61</v>
      </c>
      <c r="AP37">
        <v>64</v>
      </c>
      <c r="AQ37">
        <v>1907</v>
      </c>
      <c r="AR37">
        <v>1.048767697954903</v>
      </c>
      <c r="AS37">
        <f t="shared" si="0"/>
        <v>0.32856823244645783</v>
      </c>
      <c r="AT37">
        <f t="shared" si="1"/>
        <v>2.6416885888695209E-2</v>
      </c>
      <c r="AU37">
        <f t="shared" si="2"/>
        <v>2.641688588869521</v>
      </c>
      <c r="AV37">
        <f t="shared" si="3"/>
        <v>3</v>
      </c>
      <c r="AW37">
        <f t="shared" si="4"/>
        <v>9.3923170846247697E-2</v>
      </c>
    </row>
    <row r="38" spans="1:49" x14ac:dyDescent="0.3">
      <c r="A38" t="s">
        <v>65</v>
      </c>
      <c r="B38" t="s">
        <v>66</v>
      </c>
      <c r="C38">
        <v>1</v>
      </c>
      <c r="D38" t="s">
        <v>24</v>
      </c>
      <c r="E38">
        <v>29</v>
      </c>
      <c r="F38">
        <v>40</v>
      </c>
      <c r="G38">
        <v>41</v>
      </c>
      <c r="H38">
        <v>42</v>
      </c>
      <c r="I38">
        <v>53</v>
      </c>
      <c r="J38">
        <v>48</v>
      </c>
      <c r="K38">
        <v>57</v>
      </c>
      <c r="L38">
        <v>66</v>
      </c>
      <c r="M38">
        <v>79</v>
      </c>
      <c r="N38">
        <v>99</v>
      </c>
      <c r="O38">
        <v>86</v>
      </c>
      <c r="P38">
        <v>101</v>
      </c>
      <c r="Q38">
        <v>106</v>
      </c>
      <c r="R38">
        <v>120</v>
      </c>
      <c r="S38">
        <v>125</v>
      </c>
      <c r="T38">
        <v>138</v>
      </c>
      <c r="U38">
        <v>134</v>
      </c>
      <c r="V38">
        <v>145</v>
      </c>
      <c r="W38">
        <v>159</v>
      </c>
      <c r="X38">
        <v>40</v>
      </c>
      <c r="Y38">
        <v>46</v>
      </c>
      <c r="Z38">
        <v>40</v>
      </c>
      <c r="AA38">
        <v>41</v>
      </c>
      <c r="AB38">
        <v>50</v>
      </c>
      <c r="AC38">
        <v>42</v>
      </c>
      <c r="AD38">
        <v>45</v>
      </c>
      <c r="AE38">
        <v>75</v>
      </c>
      <c r="AF38">
        <v>73</v>
      </c>
      <c r="AG38">
        <v>82</v>
      </c>
      <c r="AH38">
        <v>99</v>
      </c>
      <c r="AI38">
        <v>127</v>
      </c>
      <c r="AJ38">
        <v>108</v>
      </c>
      <c r="AK38">
        <v>125</v>
      </c>
      <c r="AL38">
        <v>121</v>
      </c>
      <c r="AM38">
        <v>116</v>
      </c>
      <c r="AN38">
        <v>122</v>
      </c>
      <c r="AO38">
        <v>125</v>
      </c>
      <c r="AP38">
        <v>147</v>
      </c>
      <c r="AQ38">
        <v>3292</v>
      </c>
      <c r="AR38">
        <v>0.3037667071688942</v>
      </c>
      <c r="AS38">
        <f t="shared" si="0"/>
        <v>7.2208530145348157E-2</v>
      </c>
      <c r="AT38">
        <f t="shared" si="1"/>
        <v>5.8055658236859922E-3</v>
      </c>
      <c r="AU38">
        <f t="shared" si="2"/>
        <v>0.58055658236859919</v>
      </c>
      <c r="AV38">
        <f t="shared" si="3"/>
        <v>3</v>
      </c>
      <c r="AW38">
        <f t="shared" si="4"/>
        <v>9.3923170846247697E-2</v>
      </c>
    </row>
    <row r="39" spans="1:49" x14ac:dyDescent="0.3">
      <c r="A39" t="s">
        <v>67</v>
      </c>
      <c r="B39" t="s">
        <v>11</v>
      </c>
      <c r="C39">
        <v>2</v>
      </c>
      <c r="D39" t="s">
        <v>12</v>
      </c>
      <c r="E39">
        <v>138</v>
      </c>
      <c r="F39">
        <v>126</v>
      </c>
      <c r="G39">
        <v>90</v>
      </c>
      <c r="H39">
        <v>95</v>
      </c>
      <c r="I39">
        <v>61</v>
      </c>
      <c r="J39">
        <v>85</v>
      </c>
      <c r="K39">
        <v>75</v>
      </c>
      <c r="L39">
        <v>95</v>
      </c>
      <c r="M39">
        <v>72</v>
      </c>
      <c r="N39">
        <v>76</v>
      </c>
      <c r="O39">
        <v>79</v>
      </c>
      <c r="P39">
        <v>85</v>
      </c>
      <c r="Q39">
        <v>73</v>
      </c>
      <c r="R39">
        <v>91</v>
      </c>
      <c r="S39">
        <v>73</v>
      </c>
      <c r="T39">
        <v>94</v>
      </c>
      <c r="U39">
        <v>73</v>
      </c>
      <c r="V39">
        <v>100</v>
      </c>
      <c r="W39">
        <v>119</v>
      </c>
      <c r="X39">
        <v>134</v>
      </c>
      <c r="Y39">
        <v>103</v>
      </c>
      <c r="Z39">
        <v>89</v>
      </c>
      <c r="AA39">
        <v>72</v>
      </c>
      <c r="AB39">
        <v>86</v>
      </c>
      <c r="AC39">
        <v>52</v>
      </c>
      <c r="AD39">
        <v>61</v>
      </c>
      <c r="AE39">
        <v>85</v>
      </c>
      <c r="AF39">
        <v>59</v>
      </c>
      <c r="AG39">
        <v>76</v>
      </c>
      <c r="AH39">
        <v>87</v>
      </c>
      <c r="AI39">
        <v>64</v>
      </c>
      <c r="AJ39">
        <v>70</v>
      </c>
      <c r="AK39">
        <v>94</v>
      </c>
      <c r="AL39">
        <v>76</v>
      </c>
      <c r="AM39">
        <v>81</v>
      </c>
      <c r="AN39">
        <v>84</v>
      </c>
      <c r="AO39">
        <v>95</v>
      </c>
      <c r="AP39">
        <v>118</v>
      </c>
      <c r="AQ39">
        <v>3286</v>
      </c>
      <c r="AR39">
        <v>0.60864272671941566</v>
      </c>
      <c r="AS39">
        <f t="shared" si="0"/>
        <v>0.17711835788699845</v>
      </c>
      <c r="AT39">
        <f t="shared" si="1"/>
        <v>1.4240315974114676E-2</v>
      </c>
      <c r="AU39">
        <f t="shared" si="2"/>
        <v>1.4240315974114677</v>
      </c>
      <c r="AV39">
        <f t="shared" si="3"/>
        <v>3</v>
      </c>
      <c r="AW39">
        <f t="shared" si="4"/>
        <v>9.3923170846247697E-2</v>
      </c>
    </row>
    <row r="40" spans="1:49" x14ac:dyDescent="0.3">
      <c r="A40" t="s">
        <v>68</v>
      </c>
      <c r="B40" t="s">
        <v>11</v>
      </c>
      <c r="C40">
        <v>1</v>
      </c>
      <c r="D40" t="s">
        <v>12</v>
      </c>
      <c r="E40">
        <v>58</v>
      </c>
      <c r="F40">
        <v>37</v>
      </c>
      <c r="G40">
        <v>55</v>
      </c>
      <c r="H40">
        <v>47</v>
      </c>
      <c r="I40">
        <v>60</v>
      </c>
      <c r="J40">
        <v>50</v>
      </c>
      <c r="K40">
        <v>51</v>
      </c>
      <c r="L40">
        <v>58</v>
      </c>
      <c r="M40">
        <v>77</v>
      </c>
      <c r="N40">
        <v>75</v>
      </c>
      <c r="O40">
        <v>80</v>
      </c>
      <c r="P40">
        <v>70</v>
      </c>
      <c r="Q40">
        <v>88</v>
      </c>
      <c r="R40">
        <v>93</v>
      </c>
      <c r="S40">
        <v>93</v>
      </c>
      <c r="T40">
        <v>109</v>
      </c>
      <c r="U40">
        <v>95</v>
      </c>
      <c r="V40">
        <v>103</v>
      </c>
      <c r="W40">
        <v>115</v>
      </c>
      <c r="X40">
        <v>56</v>
      </c>
      <c r="Y40">
        <v>45</v>
      </c>
      <c r="Z40">
        <v>43</v>
      </c>
      <c r="AA40">
        <v>47</v>
      </c>
      <c r="AB40">
        <v>44</v>
      </c>
      <c r="AC40">
        <v>44</v>
      </c>
      <c r="AD40">
        <v>61</v>
      </c>
      <c r="AE40">
        <v>52</v>
      </c>
      <c r="AF40">
        <v>72</v>
      </c>
      <c r="AG40">
        <v>59</v>
      </c>
      <c r="AH40">
        <v>86</v>
      </c>
      <c r="AI40">
        <v>87</v>
      </c>
      <c r="AJ40">
        <v>72</v>
      </c>
      <c r="AK40">
        <v>95</v>
      </c>
      <c r="AL40">
        <v>105</v>
      </c>
      <c r="AM40">
        <v>91</v>
      </c>
      <c r="AN40">
        <v>93</v>
      </c>
      <c r="AO40">
        <v>108</v>
      </c>
      <c r="AP40">
        <v>116</v>
      </c>
      <c r="AQ40">
        <v>2790</v>
      </c>
      <c r="AR40">
        <v>0.3584229390681003</v>
      </c>
      <c r="AS40">
        <f t="shared" si="0"/>
        <v>9.1016096191398624E-2</v>
      </c>
      <c r="AT40">
        <f t="shared" si="1"/>
        <v>7.3176941337884495E-3</v>
      </c>
      <c r="AU40">
        <f t="shared" si="2"/>
        <v>0.73176941337884494</v>
      </c>
      <c r="AV40">
        <f t="shared" si="3"/>
        <v>3</v>
      </c>
      <c r="AW40">
        <f t="shared" si="4"/>
        <v>9.3923170846247697E-2</v>
      </c>
    </row>
    <row r="41" spans="1:49" x14ac:dyDescent="0.3">
      <c r="A41" t="s">
        <v>69</v>
      </c>
      <c r="B41" t="s">
        <v>70</v>
      </c>
      <c r="C41">
        <v>3</v>
      </c>
      <c r="D41" t="s">
        <v>12</v>
      </c>
      <c r="E41">
        <v>61</v>
      </c>
      <c r="F41">
        <v>50</v>
      </c>
      <c r="G41">
        <v>43</v>
      </c>
      <c r="H41">
        <v>57</v>
      </c>
      <c r="I41">
        <v>46</v>
      </c>
      <c r="J41">
        <v>65</v>
      </c>
      <c r="K41">
        <v>63</v>
      </c>
      <c r="L41">
        <v>77</v>
      </c>
      <c r="M41">
        <v>65</v>
      </c>
      <c r="N41">
        <v>84</v>
      </c>
      <c r="O41">
        <v>83</v>
      </c>
      <c r="P41">
        <v>105</v>
      </c>
      <c r="Q41">
        <v>89</v>
      </c>
      <c r="R41">
        <v>107</v>
      </c>
      <c r="S41">
        <v>120</v>
      </c>
      <c r="T41">
        <v>114</v>
      </c>
      <c r="U41">
        <v>105</v>
      </c>
      <c r="V41">
        <v>124</v>
      </c>
      <c r="W41">
        <v>170</v>
      </c>
      <c r="X41">
        <v>63</v>
      </c>
      <c r="Y41">
        <v>44</v>
      </c>
      <c r="Z41">
        <v>52</v>
      </c>
      <c r="AA41">
        <v>44</v>
      </c>
      <c r="AB41">
        <v>51</v>
      </c>
      <c r="AC41">
        <v>63</v>
      </c>
      <c r="AD41">
        <v>56</v>
      </c>
      <c r="AE41">
        <v>55</v>
      </c>
      <c r="AF41">
        <v>69</v>
      </c>
      <c r="AG41">
        <v>100</v>
      </c>
      <c r="AH41">
        <v>82</v>
      </c>
      <c r="AI41">
        <v>90</v>
      </c>
      <c r="AJ41">
        <v>104</v>
      </c>
      <c r="AK41">
        <v>112</v>
      </c>
      <c r="AL41">
        <v>114</v>
      </c>
      <c r="AM41">
        <v>83</v>
      </c>
      <c r="AN41">
        <v>98</v>
      </c>
      <c r="AO41">
        <v>109</v>
      </c>
      <c r="AP41">
        <v>153</v>
      </c>
      <c r="AQ41">
        <v>3170</v>
      </c>
      <c r="AR41">
        <v>0.94637223974763396</v>
      </c>
      <c r="AS41">
        <f t="shared" si="0"/>
        <v>0.29333328711396073</v>
      </c>
      <c r="AT41">
        <f t="shared" si="1"/>
        <v>2.3583996283962443E-2</v>
      </c>
      <c r="AU41">
        <f t="shared" si="2"/>
        <v>2.3583996283962443</v>
      </c>
      <c r="AV41">
        <f t="shared" si="3"/>
        <v>3</v>
      </c>
      <c r="AW41">
        <f t="shared" si="4"/>
        <v>9.3923170846247697E-2</v>
      </c>
    </row>
    <row r="42" spans="1:49" x14ac:dyDescent="0.3">
      <c r="A42" t="s">
        <v>71</v>
      </c>
      <c r="B42" t="s">
        <v>72</v>
      </c>
      <c r="C42">
        <v>3</v>
      </c>
      <c r="D42" t="s">
        <v>12</v>
      </c>
      <c r="E42">
        <v>70</v>
      </c>
      <c r="F42">
        <v>91</v>
      </c>
      <c r="G42">
        <v>77</v>
      </c>
      <c r="H42">
        <v>80</v>
      </c>
      <c r="I42">
        <v>82</v>
      </c>
      <c r="J42">
        <v>136</v>
      </c>
      <c r="K42">
        <v>146</v>
      </c>
      <c r="L42">
        <v>104</v>
      </c>
      <c r="M42">
        <v>114</v>
      </c>
      <c r="N42">
        <v>186</v>
      </c>
      <c r="O42">
        <v>189</v>
      </c>
      <c r="P42">
        <v>173</v>
      </c>
      <c r="Q42">
        <v>161</v>
      </c>
      <c r="R42">
        <v>109</v>
      </c>
      <c r="S42">
        <v>135</v>
      </c>
      <c r="T42">
        <v>116</v>
      </c>
      <c r="U42">
        <v>105</v>
      </c>
      <c r="V42">
        <v>92</v>
      </c>
      <c r="W42">
        <v>127</v>
      </c>
      <c r="X42">
        <v>83</v>
      </c>
      <c r="Y42">
        <v>76</v>
      </c>
      <c r="Z42">
        <v>74</v>
      </c>
      <c r="AA42">
        <v>79</v>
      </c>
      <c r="AB42">
        <v>82</v>
      </c>
      <c r="AC42">
        <v>118</v>
      </c>
      <c r="AD42">
        <v>129</v>
      </c>
      <c r="AE42">
        <v>136</v>
      </c>
      <c r="AF42">
        <v>130</v>
      </c>
      <c r="AG42">
        <v>173</v>
      </c>
      <c r="AH42">
        <v>199</v>
      </c>
      <c r="AI42">
        <v>151</v>
      </c>
      <c r="AJ42">
        <v>133</v>
      </c>
      <c r="AK42">
        <v>134</v>
      </c>
      <c r="AL42">
        <v>106</v>
      </c>
      <c r="AM42">
        <v>128</v>
      </c>
      <c r="AN42">
        <v>83</v>
      </c>
      <c r="AO42">
        <v>111</v>
      </c>
      <c r="AP42">
        <v>108</v>
      </c>
      <c r="AQ42">
        <v>4526</v>
      </c>
      <c r="AR42">
        <v>0.66283694211224042</v>
      </c>
      <c r="AS42">
        <f t="shared" si="0"/>
        <v>0.19576694103839645</v>
      </c>
      <c r="AT42">
        <f t="shared" si="1"/>
        <v>1.5739662059487073E-2</v>
      </c>
      <c r="AU42">
        <f t="shared" si="2"/>
        <v>1.5739662059487074</v>
      </c>
      <c r="AV42">
        <f t="shared" si="3"/>
        <v>3</v>
      </c>
      <c r="AW42">
        <f t="shared" si="4"/>
        <v>9.3923170846247697E-2</v>
      </c>
    </row>
    <row r="43" spans="1:49" x14ac:dyDescent="0.3">
      <c r="A43" t="s">
        <v>73</v>
      </c>
      <c r="B43" t="s">
        <v>74</v>
      </c>
      <c r="C43">
        <v>1</v>
      </c>
      <c r="D43" t="s">
        <v>17</v>
      </c>
      <c r="E43">
        <v>17</v>
      </c>
      <c r="F43">
        <v>31</v>
      </c>
      <c r="G43">
        <v>12</v>
      </c>
      <c r="H43">
        <v>19</v>
      </c>
      <c r="I43">
        <v>18</v>
      </c>
      <c r="J43">
        <v>20</v>
      </c>
      <c r="K43">
        <v>22</v>
      </c>
      <c r="L43">
        <v>34</v>
      </c>
      <c r="M43">
        <v>30</v>
      </c>
      <c r="N43">
        <v>35</v>
      </c>
      <c r="O43">
        <v>55</v>
      </c>
      <c r="P43">
        <v>60</v>
      </c>
      <c r="Q43">
        <v>64</v>
      </c>
      <c r="R43">
        <v>63</v>
      </c>
      <c r="S43">
        <v>77</v>
      </c>
      <c r="T43">
        <v>60</v>
      </c>
      <c r="U43">
        <v>42</v>
      </c>
      <c r="V43">
        <v>58</v>
      </c>
      <c r="W43">
        <v>68</v>
      </c>
      <c r="X43">
        <v>11</v>
      </c>
      <c r="Y43">
        <v>13</v>
      </c>
      <c r="Z43">
        <v>22</v>
      </c>
      <c r="AA43">
        <v>25</v>
      </c>
      <c r="AB43">
        <v>12</v>
      </c>
      <c r="AC43">
        <v>17</v>
      </c>
      <c r="AD43">
        <v>22</v>
      </c>
      <c r="AE43">
        <v>31</v>
      </c>
      <c r="AF43">
        <v>28</v>
      </c>
      <c r="AG43">
        <v>37</v>
      </c>
      <c r="AH43">
        <v>46</v>
      </c>
      <c r="AI43">
        <v>54</v>
      </c>
      <c r="AJ43">
        <v>51</v>
      </c>
      <c r="AK43">
        <v>61</v>
      </c>
      <c r="AL43">
        <v>58</v>
      </c>
      <c r="AM43">
        <v>63</v>
      </c>
      <c r="AN43">
        <v>57</v>
      </c>
      <c r="AO43">
        <v>50</v>
      </c>
      <c r="AP43">
        <v>65</v>
      </c>
      <c r="AQ43">
        <v>1508</v>
      </c>
      <c r="AR43">
        <v>0.66312997347480107</v>
      </c>
      <c r="AS43">
        <f t="shared" si="0"/>
        <v>0.19586777504237768</v>
      </c>
      <c r="AT43">
        <f t="shared" si="1"/>
        <v>1.5747769113407164E-2</v>
      </c>
      <c r="AU43">
        <f t="shared" si="2"/>
        <v>1.5747769113407164</v>
      </c>
      <c r="AV43">
        <f t="shared" si="3"/>
        <v>3</v>
      </c>
      <c r="AW43">
        <f t="shared" si="4"/>
        <v>9.3923170846247697E-2</v>
      </c>
    </row>
    <row r="44" spans="1:49" x14ac:dyDescent="0.3">
      <c r="A44" t="s">
        <v>75</v>
      </c>
      <c r="B44" t="s">
        <v>66</v>
      </c>
      <c r="C44">
        <v>1</v>
      </c>
      <c r="D44" t="s">
        <v>24</v>
      </c>
      <c r="E44">
        <v>33</v>
      </c>
      <c r="F44">
        <v>34</v>
      </c>
      <c r="G44">
        <v>31</v>
      </c>
      <c r="H44">
        <v>36</v>
      </c>
      <c r="I44">
        <v>53</v>
      </c>
      <c r="J44">
        <v>46</v>
      </c>
      <c r="K44">
        <v>70</v>
      </c>
      <c r="L44">
        <v>60</v>
      </c>
      <c r="M44">
        <v>73</v>
      </c>
      <c r="N44">
        <v>97</v>
      </c>
      <c r="O44">
        <v>111</v>
      </c>
      <c r="P44">
        <v>110</v>
      </c>
      <c r="Q44">
        <v>88</v>
      </c>
      <c r="R44">
        <v>123</v>
      </c>
      <c r="S44">
        <v>122</v>
      </c>
      <c r="T44">
        <v>131</v>
      </c>
      <c r="U44">
        <v>119</v>
      </c>
      <c r="V44">
        <v>116</v>
      </c>
      <c r="W44">
        <v>133</v>
      </c>
      <c r="X44">
        <v>39</v>
      </c>
      <c r="Y44">
        <v>35</v>
      </c>
      <c r="Z44">
        <v>27</v>
      </c>
      <c r="AA44">
        <v>33</v>
      </c>
      <c r="AB44">
        <v>47</v>
      </c>
      <c r="AC44">
        <v>57</v>
      </c>
      <c r="AD44">
        <v>60</v>
      </c>
      <c r="AE44">
        <v>58</v>
      </c>
      <c r="AF44">
        <v>68</v>
      </c>
      <c r="AG44">
        <v>72</v>
      </c>
      <c r="AH44">
        <v>89</v>
      </c>
      <c r="AI44">
        <v>102</v>
      </c>
      <c r="AJ44">
        <v>92</v>
      </c>
      <c r="AK44">
        <v>131</v>
      </c>
      <c r="AL44">
        <v>114</v>
      </c>
      <c r="AM44">
        <v>116</v>
      </c>
      <c r="AN44">
        <v>111</v>
      </c>
      <c r="AO44">
        <v>115</v>
      </c>
      <c r="AP44">
        <v>120</v>
      </c>
      <c r="AQ44">
        <v>3072</v>
      </c>
      <c r="AR44">
        <v>0.32552083333333331</v>
      </c>
      <c r="AS44">
        <f t="shared" si="0"/>
        <v>7.9694266911218142E-2</v>
      </c>
      <c r="AT44">
        <f t="shared" si="1"/>
        <v>6.4074190596619387E-3</v>
      </c>
      <c r="AU44">
        <f t="shared" si="2"/>
        <v>0.64074190596619385</v>
      </c>
      <c r="AV44">
        <f t="shared" si="3"/>
        <v>3</v>
      </c>
      <c r="AW44">
        <f t="shared" si="4"/>
        <v>9.3923170846247697E-2</v>
      </c>
    </row>
    <row r="45" spans="1:49" x14ac:dyDescent="0.3">
      <c r="A45" t="s">
        <v>76</v>
      </c>
      <c r="B45" t="s">
        <v>77</v>
      </c>
      <c r="C45">
        <v>3</v>
      </c>
      <c r="D45" t="s">
        <v>24</v>
      </c>
      <c r="E45">
        <v>42</v>
      </c>
      <c r="F45">
        <v>50</v>
      </c>
      <c r="G45">
        <v>50</v>
      </c>
      <c r="H45">
        <v>55</v>
      </c>
      <c r="I45">
        <v>56</v>
      </c>
      <c r="J45">
        <v>47</v>
      </c>
      <c r="K45">
        <v>59</v>
      </c>
      <c r="L45">
        <v>58</v>
      </c>
      <c r="M45">
        <v>66</v>
      </c>
      <c r="N45">
        <v>73</v>
      </c>
      <c r="O45">
        <v>90</v>
      </c>
      <c r="P45">
        <v>69</v>
      </c>
      <c r="Q45">
        <v>69</v>
      </c>
      <c r="R45">
        <v>102</v>
      </c>
      <c r="S45">
        <v>119</v>
      </c>
      <c r="T45">
        <v>119</v>
      </c>
      <c r="U45">
        <v>103</v>
      </c>
      <c r="V45">
        <v>120</v>
      </c>
      <c r="W45">
        <v>136</v>
      </c>
      <c r="X45">
        <v>59</v>
      </c>
      <c r="Y45">
        <v>46</v>
      </c>
      <c r="Z45">
        <v>59</v>
      </c>
      <c r="AA45">
        <v>51</v>
      </c>
      <c r="AB45">
        <v>44</v>
      </c>
      <c r="AC45">
        <v>60</v>
      </c>
      <c r="AD45">
        <v>55</v>
      </c>
      <c r="AE45">
        <v>60</v>
      </c>
      <c r="AF45">
        <v>64</v>
      </c>
      <c r="AG45">
        <v>58</v>
      </c>
      <c r="AH45">
        <v>70</v>
      </c>
      <c r="AI45">
        <v>62</v>
      </c>
      <c r="AJ45">
        <v>69</v>
      </c>
      <c r="AK45">
        <v>82</v>
      </c>
      <c r="AL45">
        <v>92</v>
      </c>
      <c r="AM45">
        <v>112</v>
      </c>
      <c r="AN45">
        <v>106</v>
      </c>
      <c r="AO45">
        <v>92</v>
      </c>
      <c r="AP45">
        <v>137</v>
      </c>
      <c r="AQ45">
        <v>2861</v>
      </c>
      <c r="AR45">
        <v>1.048584411045089</v>
      </c>
      <c r="AS45">
        <f t="shared" si="0"/>
        <v>0.32850516222478471</v>
      </c>
      <c r="AT45">
        <f t="shared" si="1"/>
        <v>2.641181504287269E-2</v>
      </c>
      <c r="AU45">
        <f t="shared" si="2"/>
        <v>2.6411815042872688</v>
      </c>
      <c r="AV45">
        <f t="shared" si="3"/>
        <v>3</v>
      </c>
      <c r="AW45">
        <f t="shared" si="4"/>
        <v>9.3923170846247697E-2</v>
      </c>
    </row>
    <row r="46" spans="1:49" x14ac:dyDescent="0.3">
      <c r="A46" t="s">
        <v>78</v>
      </c>
      <c r="B46" t="s">
        <v>79</v>
      </c>
      <c r="C46">
        <v>1</v>
      </c>
      <c r="D46" t="s">
        <v>24</v>
      </c>
      <c r="E46">
        <v>30</v>
      </c>
      <c r="F46">
        <v>21</v>
      </c>
      <c r="G46">
        <v>21</v>
      </c>
      <c r="H46">
        <v>17</v>
      </c>
      <c r="I46">
        <v>25</v>
      </c>
      <c r="J46">
        <v>24</v>
      </c>
      <c r="K46">
        <v>19</v>
      </c>
      <c r="L46">
        <v>13</v>
      </c>
      <c r="M46">
        <v>10</v>
      </c>
      <c r="N46">
        <v>13</v>
      </c>
      <c r="O46">
        <v>18</v>
      </c>
      <c r="P46">
        <v>15</v>
      </c>
      <c r="Q46">
        <v>14</v>
      </c>
      <c r="R46">
        <v>16</v>
      </c>
      <c r="S46">
        <v>18</v>
      </c>
      <c r="T46">
        <v>24</v>
      </c>
      <c r="U46">
        <v>19</v>
      </c>
      <c r="V46">
        <v>24</v>
      </c>
      <c r="W46">
        <v>19</v>
      </c>
      <c r="X46">
        <v>29</v>
      </c>
      <c r="Y46">
        <v>22</v>
      </c>
      <c r="Z46">
        <v>21</v>
      </c>
      <c r="AA46">
        <v>13</v>
      </c>
      <c r="AB46">
        <v>28</v>
      </c>
      <c r="AC46">
        <v>23</v>
      </c>
      <c r="AD46">
        <v>15</v>
      </c>
      <c r="AE46">
        <v>15</v>
      </c>
      <c r="AF46">
        <v>19</v>
      </c>
      <c r="AG46">
        <v>22</v>
      </c>
      <c r="AH46">
        <v>21</v>
      </c>
      <c r="AI46">
        <v>10</v>
      </c>
      <c r="AJ46">
        <v>16</v>
      </c>
      <c r="AK46">
        <v>16</v>
      </c>
      <c r="AL46">
        <v>23</v>
      </c>
      <c r="AM46">
        <v>22</v>
      </c>
      <c r="AN46">
        <v>22</v>
      </c>
      <c r="AO46">
        <v>12</v>
      </c>
      <c r="AP46">
        <v>43</v>
      </c>
      <c r="AQ46">
        <v>752</v>
      </c>
      <c r="AR46">
        <v>1.3297872340425529</v>
      </c>
      <c r="AS46">
        <f t="shared" si="0"/>
        <v>0.42526888855728839</v>
      </c>
      <c r="AT46">
        <f t="shared" si="1"/>
        <v>3.4191618640005986E-2</v>
      </c>
      <c r="AU46">
        <f t="shared" si="2"/>
        <v>3.4191618640005985</v>
      </c>
      <c r="AV46">
        <f t="shared" si="3"/>
        <v>3</v>
      </c>
      <c r="AW46">
        <f t="shared" si="4"/>
        <v>9.3923170846247697E-2</v>
      </c>
    </row>
    <row r="47" spans="1:49" x14ac:dyDescent="0.3">
      <c r="A47" t="s">
        <v>80</v>
      </c>
      <c r="B47" t="s">
        <v>79</v>
      </c>
      <c r="C47">
        <v>3</v>
      </c>
      <c r="D47" t="s">
        <v>24</v>
      </c>
      <c r="E47">
        <v>13</v>
      </c>
      <c r="F47">
        <v>10</v>
      </c>
      <c r="G47">
        <v>7</v>
      </c>
      <c r="H47">
        <v>5</v>
      </c>
      <c r="I47">
        <v>7</v>
      </c>
      <c r="J47">
        <v>7</v>
      </c>
      <c r="K47">
        <v>5</v>
      </c>
      <c r="L47">
        <v>8</v>
      </c>
      <c r="M47">
        <v>11</v>
      </c>
      <c r="N47">
        <v>21</v>
      </c>
      <c r="O47">
        <v>11</v>
      </c>
      <c r="P47">
        <v>17</v>
      </c>
      <c r="Q47">
        <v>21</v>
      </c>
      <c r="R47">
        <v>22</v>
      </c>
      <c r="S47">
        <v>23</v>
      </c>
      <c r="T47">
        <v>26</v>
      </c>
      <c r="U47">
        <v>29</v>
      </c>
      <c r="V47">
        <v>21</v>
      </c>
      <c r="W47">
        <v>31</v>
      </c>
      <c r="X47">
        <v>9</v>
      </c>
      <c r="Y47">
        <v>6</v>
      </c>
      <c r="Z47">
        <v>12</v>
      </c>
      <c r="AA47">
        <v>10</v>
      </c>
      <c r="AB47">
        <v>6</v>
      </c>
      <c r="AC47">
        <v>10</v>
      </c>
      <c r="AD47">
        <v>7</v>
      </c>
      <c r="AE47">
        <v>15</v>
      </c>
      <c r="AF47">
        <v>10</v>
      </c>
      <c r="AG47">
        <v>14</v>
      </c>
      <c r="AH47">
        <v>10</v>
      </c>
      <c r="AI47">
        <v>23</v>
      </c>
      <c r="AJ47">
        <v>23</v>
      </c>
      <c r="AK47">
        <v>19</v>
      </c>
      <c r="AL47">
        <v>22</v>
      </c>
      <c r="AM47">
        <v>28</v>
      </c>
      <c r="AN47">
        <v>21</v>
      </c>
      <c r="AO47">
        <v>23</v>
      </c>
      <c r="AP47">
        <v>31</v>
      </c>
      <c r="AQ47">
        <v>594</v>
      </c>
      <c r="AR47">
        <v>3</v>
      </c>
      <c r="AS47">
        <f t="shared" si="0"/>
        <v>1</v>
      </c>
      <c r="AT47">
        <f t="shared" si="1"/>
        <v>8.0399999999999999E-2</v>
      </c>
      <c r="AU47">
        <f t="shared" si="2"/>
        <v>8.0399999999999991</v>
      </c>
      <c r="AV47">
        <f t="shared" si="3"/>
        <v>3</v>
      </c>
      <c r="AW47">
        <f t="shared" si="4"/>
        <v>9.3923170846247697E-2</v>
      </c>
    </row>
    <row r="48" spans="1:49" x14ac:dyDescent="0.3">
      <c r="A48" t="s">
        <v>81</v>
      </c>
      <c r="B48" t="s">
        <v>79</v>
      </c>
      <c r="C48">
        <v>3</v>
      </c>
      <c r="D48" t="s">
        <v>24</v>
      </c>
      <c r="E48">
        <v>26</v>
      </c>
      <c r="F48">
        <v>24</v>
      </c>
      <c r="G48">
        <v>20</v>
      </c>
      <c r="H48">
        <v>23</v>
      </c>
      <c r="I48">
        <v>13</v>
      </c>
      <c r="J48">
        <v>24</v>
      </c>
      <c r="K48">
        <v>19</v>
      </c>
      <c r="L48">
        <v>22</v>
      </c>
      <c r="M48">
        <v>26</v>
      </c>
      <c r="N48">
        <v>34</v>
      </c>
      <c r="O48">
        <v>36</v>
      </c>
      <c r="P48">
        <v>35</v>
      </c>
      <c r="Q48">
        <v>47</v>
      </c>
      <c r="R48">
        <v>44</v>
      </c>
      <c r="S48">
        <v>48</v>
      </c>
      <c r="T48">
        <v>41</v>
      </c>
      <c r="U48">
        <v>40</v>
      </c>
      <c r="V48">
        <v>45</v>
      </c>
      <c r="W48">
        <v>50</v>
      </c>
      <c r="X48">
        <v>19</v>
      </c>
      <c r="Y48">
        <v>25</v>
      </c>
      <c r="Z48">
        <v>19</v>
      </c>
      <c r="AA48">
        <v>17</v>
      </c>
      <c r="AB48">
        <v>16</v>
      </c>
      <c r="AC48">
        <v>26</v>
      </c>
      <c r="AD48">
        <v>23</v>
      </c>
      <c r="AE48">
        <v>29</v>
      </c>
      <c r="AF48">
        <v>19</v>
      </c>
      <c r="AG48">
        <v>32</v>
      </c>
      <c r="AH48">
        <v>38</v>
      </c>
      <c r="AI48">
        <v>44</v>
      </c>
      <c r="AJ48">
        <v>32</v>
      </c>
      <c r="AK48">
        <v>42</v>
      </c>
      <c r="AL48">
        <v>40</v>
      </c>
      <c r="AM48">
        <v>45</v>
      </c>
      <c r="AN48">
        <v>39</v>
      </c>
      <c r="AO48">
        <v>58</v>
      </c>
      <c r="AP48">
        <v>67</v>
      </c>
      <c r="AQ48">
        <v>1247</v>
      </c>
      <c r="AR48">
        <v>2.4057738572574179</v>
      </c>
      <c r="AS48">
        <f t="shared" si="0"/>
        <v>0.79552290676512483</v>
      </c>
      <c r="AT48">
        <f t="shared" si="1"/>
        <v>6.3960041703916032E-2</v>
      </c>
      <c r="AU48">
        <f t="shared" si="2"/>
        <v>6.3960041703916035</v>
      </c>
      <c r="AV48">
        <f t="shared" si="3"/>
        <v>3</v>
      </c>
      <c r="AW48">
        <f t="shared" si="4"/>
        <v>9.3923170846247697E-2</v>
      </c>
    </row>
    <row r="49" spans="1:49" x14ac:dyDescent="0.3">
      <c r="A49" t="s">
        <v>82</v>
      </c>
      <c r="B49" t="s">
        <v>79</v>
      </c>
      <c r="C49">
        <v>2</v>
      </c>
      <c r="D49" t="s">
        <v>24</v>
      </c>
      <c r="E49">
        <v>33</v>
      </c>
      <c r="F49">
        <v>34</v>
      </c>
      <c r="G49">
        <v>40</v>
      </c>
      <c r="H49">
        <v>37</v>
      </c>
      <c r="I49">
        <v>52</v>
      </c>
      <c r="J49">
        <v>37</v>
      </c>
      <c r="K49">
        <v>43</v>
      </c>
      <c r="L49">
        <v>42</v>
      </c>
      <c r="M49">
        <v>57</v>
      </c>
      <c r="N49">
        <v>50</v>
      </c>
      <c r="O49">
        <v>60</v>
      </c>
      <c r="P49">
        <v>47</v>
      </c>
      <c r="Q49">
        <v>45</v>
      </c>
      <c r="R49">
        <v>70</v>
      </c>
      <c r="S49">
        <v>62</v>
      </c>
      <c r="T49">
        <v>61</v>
      </c>
      <c r="U49">
        <v>67</v>
      </c>
      <c r="V49">
        <v>63</v>
      </c>
      <c r="W49">
        <v>70</v>
      </c>
      <c r="X49">
        <v>41</v>
      </c>
      <c r="Y49">
        <v>32</v>
      </c>
      <c r="Z49">
        <v>41</v>
      </c>
      <c r="AA49">
        <v>42</v>
      </c>
      <c r="AB49">
        <v>29</v>
      </c>
      <c r="AC49">
        <v>35</v>
      </c>
      <c r="AD49">
        <v>41</v>
      </c>
      <c r="AE49">
        <v>53</v>
      </c>
      <c r="AF49">
        <v>43</v>
      </c>
      <c r="AG49">
        <v>44</v>
      </c>
      <c r="AH49">
        <v>71</v>
      </c>
      <c r="AI49">
        <v>47</v>
      </c>
      <c r="AJ49">
        <v>63</v>
      </c>
      <c r="AK49">
        <v>74</v>
      </c>
      <c r="AL49">
        <v>58</v>
      </c>
      <c r="AM49">
        <v>67</v>
      </c>
      <c r="AN49">
        <v>61</v>
      </c>
      <c r="AO49">
        <v>57</v>
      </c>
      <c r="AP49">
        <v>64</v>
      </c>
      <c r="AQ49">
        <v>1933</v>
      </c>
      <c r="AR49">
        <v>1.034661148473875</v>
      </c>
      <c r="AS49">
        <f t="shared" si="0"/>
        <v>0.32371407672025299</v>
      </c>
      <c r="AT49">
        <f t="shared" si="1"/>
        <v>2.6026611768308339E-2</v>
      </c>
      <c r="AU49">
        <f t="shared" si="2"/>
        <v>2.6026611768308339</v>
      </c>
      <c r="AV49">
        <f t="shared" si="3"/>
        <v>3</v>
      </c>
      <c r="AW49">
        <f t="shared" si="4"/>
        <v>9.3923170846247697E-2</v>
      </c>
    </row>
    <row r="50" spans="1:49" x14ac:dyDescent="0.3">
      <c r="A50" t="s">
        <v>83</v>
      </c>
      <c r="B50" t="s">
        <v>79</v>
      </c>
      <c r="C50">
        <v>6</v>
      </c>
      <c r="D50" t="s">
        <v>24</v>
      </c>
      <c r="E50">
        <v>102</v>
      </c>
      <c r="F50">
        <v>100</v>
      </c>
      <c r="G50">
        <v>103</v>
      </c>
      <c r="H50">
        <v>94</v>
      </c>
      <c r="I50">
        <v>76</v>
      </c>
      <c r="J50">
        <v>70</v>
      </c>
      <c r="K50">
        <v>80</v>
      </c>
      <c r="L50">
        <v>86</v>
      </c>
      <c r="M50">
        <v>99</v>
      </c>
      <c r="N50">
        <v>93</v>
      </c>
      <c r="O50">
        <v>109</v>
      </c>
      <c r="P50">
        <v>86</v>
      </c>
      <c r="Q50">
        <v>96</v>
      </c>
      <c r="R50">
        <v>96</v>
      </c>
      <c r="S50">
        <v>92</v>
      </c>
      <c r="T50">
        <v>103</v>
      </c>
      <c r="U50">
        <v>87</v>
      </c>
      <c r="V50">
        <v>88</v>
      </c>
      <c r="W50">
        <v>107</v>
      </c>
      <c r="X50">
        <v>110</v>
      </c>
      <c r="Y50">
        <v>108</v>
      </c>
      <c r="Z50">
        <v>83</v>
      </c>
      <c r="AA50">
        <v>84</v>
      </c>
      <c r="AB50">
        <v>75</v>
      </c>
      <c r="AC50">
        <v>72</v>
      </c>
      <c r="AD50">
        <v>77</v>
      </c>
      <c r="AE50">
        <v>92</v>
      </c>
      <c r="AF50">
        <v>82</v>
      </c>
      <c r="AG50">
        <v>106</v>
      </c>
      <c r="AH50">
        <v>98</v>
      </c>
      <c r="AI50">
        <v>92</v>
      </c>
      <c r="AJ50">
        <v>77</v>
      </c>
      <c r="AK50">
        <v>101</v>
      </c>
      <c r="AL50">
        <v>111</v>
      </c>
      <c r="AM50">
        <v>95</v>
      </c>
      <c r="AN50">
        <v>94</v>
      </c>
      <c r="AO50">
        <v>108</v>
      </c>
      <c r="AP50">
        <v>112</v>
      </c>
      <c r="AQ50">
        <v>3544</v>
      </c>
      <c r="AR50">
        <v>1.693002257336343</v>
      </c>
      <c r="AS50">
        <f t="shared" si="0"/>
        <v>0.55025354816780458</v>
      </c>
      <c r="AT50">
        <f t="shared" si="1"/>
        <v>4.4240385272691488E-2</v>
      </c>
      <c r="AU50">
        <f t="shared" si="2"/>
        <v>4.4240385272691487</v>
      </c>
      <c r="AV50">
        <f t="shared" si="3"/>
        <v>3</v>
      </c>
      <c r="AW50">
        <f t="shared" si="4"/>
        <v>9.3923170846247697E-2</v>
      </c>
    </row>
    <row r="51" spans="1:49" x14ac:dyDescent="0.3">
      <c r="A51" t="s">
        <v>84</v>
      </c>
      <c r="B51" t="s">
        <v>85</v>
      </c>
      <c r="C51">
        <v>2</v>
      </c>
      <c r="D51" t="s">
        <v>24</v>
      </c>
      <c r="E51">
        <v>25</v>
      </c>
      <c r="F51">
        <v>31</v>
      </c>
      <c r="G51">
        <v>26</v>
      </c>
      <c r="H51">
        <v>38</v>
      </c>
      <c r="I51">
        <v>36</v>
      </c>
      <c r="J51">
        <v>44</v>
      </c>
      <c r="K51">
        <v>40</v>
      </c>
      <c r="L51">
        <v>27</v>
      </c>
      <c r="M51">
        <v>50</v>
      </c>
      <c r="N51">
        <v>46</v>
      </c>
      <c r="O51">
        <v>50</v>
      </c>
      <c r="P51">
        <v>50</v>
      </c>
      <c r="Q51">
        <v>57</v>
      </c>
      <c r="R51">
        <v>53</v>
      </c>
      <c r="S51">
        <v>72</v>
      </c>
      <c r="T51">
        <v>61</v>
      </c>
      <c r="U51">
        <v>69</v>
      </c>
      <c r="V51">
        <v>66</v>
      </c>
      <c r="W51">
        <v>70</v>
      </c>
      <c r="X51">
        <v>29</v>
      </c>
      <c r="Y51">
        <v>33</v>
      </c>
      <c r="Z51">
        <v>33</v>
      </c>
      <c r="AA51">
        <v>30</v>
      </c>
      <c r="AB51">
        <v>28</v>
      </c>
      <c r="AC51">
        <v>32</v>
      </c>
      <c r="AD51">
        <v>39</v>
      </c>
      <c r="AE51">
        <v>41</v>
      </c>
      <c r="AF51">
        <v>44</v>
      </c>
      <c r="AG51">
        <v>46</v>
      </c>
      <c r="AH51">
        <v>41</v>
      </c>
      <c r="AI51">
        <v>32</v>
      </c>
      <c r="AJ51">
        <v>52</v>
      </c>
      <c r="AK51">
        <v>68</v>
      </c>
      <c r="AL51">
        <v>64</v>
      </c>
      <c r="AM51">
        <v>50</v>
      </c>
      <c r="AN51">
        <v>61</v>
      </c>
      <c r="AO51">
        <v>66</v>
      </c>
      <c r="AP51">
        <v>94</v>
      </c>
      <c r="AQ51">
        <v>1794</v>
      </c>
      <c r="AR51">
        <v>1.114827201783724</v>
      </c>
      <c r="AS51">
        <f t="shared" si="0"/>
        <v>0.35129973877351439</v>
      </c>
      <c r="AT51">
        <f t="shared" si="1"/>
        <v>2.8244498997390555E-2</v>
      </c>
      <c r="AU51">
        <f t="shared" si="2"/>
        <v>2.8244498997390557</v>
      </c>
      <c r="AV51">
        <f t="shared" si="3"/>
        <v>3</v>
      </c>
      <c r="AW51">
        <f t="shared" si="4"/>
        <v>9.3923170846247697E-2</v>
      </c>
    </row>
    <row r="52" spans="1:49" x14ac:dyDescent="0.3">
      <c r="A52" t="s">
        <v>86</v>
      </c>
      <c r="B52" t="s">
        <v>31</v>
      </c>
      <c r="C52">
        <v>4</v>
      </c>
      <c r="D52" t="s">
        <v>24</v>
      </c>
      <c r="E52">
        <v>23</v>
      </c>
      <c r="F52">
        <v>23</v>
      </c>
      <c r="G52">
        <v>15</v>
      </c>
      <c r="H52">
        <v>17</v>
      </c>
      <c r="I52">
        <v>11</v>
      </c>
      <c r="J52">
        <v>14</v>
      </c>
      <c r="K52">
        <v>20</v>
      </c>
      <c r="L52">
        <v>16</v>
      </c>
      <c r="M52">
        <v>30</v>
      </c>
      <c r="N52">
        <v>26</v>
      </c>
      <c r="O52">
        <v>36</v>
      </c>
      <c r="P52">
        <v>35</v>
      </c>
      <c r="Q52">
        <v>35</v>
      </c>
      <c r="R52">
        <v>51</v>
      </c>
      <c r="S52">
        <v>34</v>
      </c>
      <c r="T52">
        <v>42</v>
      </c>
      <c r="U52">
        <v>40</v>
      </c>
      <c r="V52">
        <v>49</v>
      </c>
      <c r="W52">
        <v>57</v>
      </c>
      <c r="X52">
        <v>12</v>
      </c>
      <c r="Y52">
        <v>16</v>
      </c>
      <c r="Z52">
        <v>19</v>
      </c>
      <c r="AA52">
        <v>27</v>
      </c>
      <c r="AB52">
        <v>14</v>
      </c>
      <c r="AC52">
        <v>23</v>
      </c>
      <c r="AD52">
        <v>20</v>
      </c>
      <c r="AE52">
        <v>23</v>
      </c>
      <c r="AF52">
        <v>25</v>
      </c>
      <c r="AG52">
        <v>29</v>
      </c>
      <c r="AH52">
        <v>30</v>
      </c>
      <c r="AI52">
        <v>39</v>
      </c>
      <c r="AJ52">
        <v>25</v>
      </c>
      <c r="AK52">
        <v>47</v>
      </c>
      <c r="AL52">
        <v>47</v>
      </c>
      <c r="AM52">
        <v>48</v>
      </c>
      <c r="AN52">
        <v>35</v>
      </c>
      <c r="AO52">
        <v>46</v>
      </c>
      <c r="AP52">
        <v>48</v>
      </c>
      <c r="AQ52">
        <v>1147</v>
      </c>
      <c r="AR52">
        <v>3</v>
      </c>
      <c r="AS52">
        <f t="shared" si="0"/>
        <v>1</v>
      </c>
      <c r="AT52">
        <f t="shared" si="1"/>
        <v>8.0399999999999999E-2</v>
      </c>
      <c r="AU52">
        <f t="shared" si="2"/>
        <v>8.0399999999999991</v>
      </c>
      <c r="AV52">
        <f t="shared" si="3"/>
        <v>3</v>
      </c>
      <c r="AW52">
        <f t="shared" si="4"/>
        <v>9.3923170846247697E-2</v>
      </c>
    </row>
    <row r="53" spans="1:49" x14ac:dyDescent="0.3">
      <c r="A53" t="s">
        <v>87</v>
      </c>
      <c r="B53" t="s">
        <v>31</v>
      </c>
      <c r="C53">
        <v>1</v>
      </c>
      <c r="D53" t="s">
        <v>24</v>
      </c>
      <c r="E53">
        <v>50</v>
      </c>
      <c r="F53">
        <v>47</v>
      </c>
      <c r="G53">
        <v>48</v>
      </c>
      <c r="H53">
        <v>59</v>
      </c>
      <c r="I53">
        <v>54</v>
      </c>
      <c r="J53">
        <v>50</v>
      </c>
      <c r="K53">
        <v>66</v>
      </c>
      <c r="L53">
        <v>73</v>
      </c>
      <c r="M53">
        <v>53</v>
      </c>
      <c r="N53">
        <v>88</v>
      </c>
      <c r="O53">
        <v>95</v>
      </c>
      <c r="P53">
        <v>100</v>
      </c>
      <c r="Q53">
        <v>114</v>
      </c>
      <c r="R53">
        <v>99</v>
      </c>
      <c r="S53">
        <v>95</v>
      </c>
      <c r="T53">
        <v>116</v>
      </c>
      <c r="U53">
        <v>113</v>
      </c>
      <c r="V53">
        <v>107</v>
      </c>
      <c r="W53">
        <v>147</v>
      </c>
      <c r="X53">
        <v>45</v>
      </c>
      <c r="Y53">
        <v>43</v>
      </c>
      <c r="Z53">
        <v>42</v>
      </c>
      <c r="AA53">
        <v>35</v>
      </c>
      <c r="AB53">
        <v>47</v>
      </c>
      <c r="AC53">
        <v>50</v>
      </c>
      <c r="AD53">
        <v>59</v>
      </c>
      <c r="AE53">
        <v>69</v>
      </c>
      <c r="AF53">
        <v>63</v>
      </c>
      <c r="AG53">
        <v>64</v>
      </c>
      <c r="AH53">
        <v>74</v>
      </c>
      <c r="AI53">
        <v>86</v>
      </c>
      <c r="AJ53">
        <v>100</v>
      </c>
      <c r="AK53">
        <v>109</v>
      </c>
      <c r="AL53">
        <v>106</v>
      </c>
      <c r="AM53">
        <v>132</v>
      </c>
      <c r="AN53">
        <v>103</v>
      </c>
      <c r="AO53">
        <v>135</v>
      </c>
      <c r="AP53">
        <v>115</v>
      </c>
      <c r="AQ53">
        <v>3051</v>
      </c>
      <c r="AR53">
        <v>0.32776138970829238</v>
      </c>
      <c r="AS53">
        <f t="shared" si="0"/>
        <v>8.046525698019423E-2</v>
      </c>
      <c r="AT53">
        <f t="shared" si="1"/>
        <v>6.469406661207616E-3</v>
      </c>
      <c r="AU53">
        <f t="shared" si="2"/>
        <v>0.64694066612076162</v>
      </c>
      <c r="AV53">
        <f t="shared" si="3"/>
        <v>3</v>
      </c>
      <c r="AW53">
        <f t="shared" si="4"/>
        <v>9.3923170846247697E-2</v>
      </c>
    </row>
    <row r="54" spans="1:49" x14ac:dyDescent="0.3">
      <c r="A54" t="s">
        <v>88</v>
      </c>
      <c r="B54" t="s">
        <v>89</v>
      </c>
      <c r="C54">
        <v>1</v>
      </c>
      <c r="D54" t="s">
        <v>24</v>
      </c>
      <c r="E54">
        <v>136</v>
      </c>
      <c r="F54">
        <v>138</v>
      </c>
      <c r="G54">
        <v>128</v>
      </c>
      <c r="H54">
        <v>105</v>
      </c>
      <c r="I54">
        <v>116</v>
      </c>
      <c r="J54">
        <v>119</v>
      </c>
      <c r="K54">
        <v>134</v>
      </c>
      <c r="L54">
        <v>132</v>
      </c>
      <c r="M54">
        <v>133</v>
      </c>
      <c r="N54">
        <v>189</v>
      </c>
      <c r="O54">
        <v>195</v>
      </c>
      <c r="P54">
        <v>170</v>
      </c>
      <c r="Q54">
        <v>158</v>
      </c>
      <c r="R54">
        <v>181</v>
      </c>
      <c r="S54">
        <v>183</v>
      </c>
      <c r="T54">
        <v>161</v>
      </c>
      <c r="U54">
        <v>136</v>
      </c>
      <c r="V54">
        <v>171</v>
      </c>
      <c r="W54">
        <v>173</v>
      </c>
      <c r="X54">
        <v>117</v>
      </c>
      <c r="Y54">
        <v>126</v>
      </c>
      <c r="Z54">
        <v>113</v>
      </c>
      <c r="AA54">
        <v>126</v>
      </c>
      <c r="AB54">
        <v>106</v>
      </c>
      <c r="AC54">
        <v>120</v>
      </c>
      <c r="AD54">
        <v>97</v>
      </c>
      <c r="AE54">
        <v>125</v>
      </c>
      <c r="AF54">
        <v>144</v>
      </c>
      <c r="AG54">
        <v>154</v>
      </c>
      <c r="AH54">
        <v>173</v>
      </c>
      <c r="AI54">
        <v>179</v>
      </c>
      <c r="AJ54">
        <v>187</v>
      </c>
      <c r="AK54">
        <v>194</v>
      </c>
      <c r="AL54">
        <v>158</v>
      </c>
      <c r="AM54">
        <v>165</v>
      </c>
      <c r="AN54">
        <v>135</v>
      </c>
      <c r="AO54">
        <v>164</v>
      </c>
      <c r="AP54">
        <v>178</v>
      </c>
      <c r="AQ54">
        <v>5619</v>
      </c>
      <c r="AR54">
        <v>0.1779676098949991</v>
      </c>
      <c r="AS54">
        <f t="shared" si="0"/>
        <v>2.8920239893735048E-2</v>
      </c>
      <c r="AT54">
        <f t="shared" si="1"/>
        <v>2.3251872874562977E-3</v>
      </c>
      <c r="AU54">
        <f t="shared" si="2"/>
        <v>0.23251872874562979</v>
      </c>
      <c r="AV54">
        <f t="shared" si="3"/>
        <v>3</v>
      </c>
      <c r="AW54">
        <f t="shared" si="4"/>
        <v>9.3923170846247697E-2</v>
      </c>
    </row>
    <row r="55" spans="1:49" x14ac:dyDescent="0.3">
      <c r="A55" t="s">
        <v>90</v>
      </c>
      <c r="B55" t="s">
        <v>91</v>
      </c>
      <c r="C55">
        <v>1</v>
      </c>
      <c r="D55" t="s">
        <v>24</v>
      </c>
      <c r="E55">
        <v>169</v>
      </c>
      <c r="F55">
        <v>165</v>
      </c>
      <c r="G55">
        <v>168</v>
      </c>
      <c r="H55">
        <v>196</v>
      </c>
      <c r="I55">
        <v>177</v>
      </c>
      <c r="J55">
        <v>239</v>
      </c>
      <c r="K55">
        <v>244</v>
      </c>
      <c r="L55">
        <v>265</v>
      </c>
      <c r="M55">
        <v>292</v>
      </c>
      <c r="N55">
        <v>315</v>
      </c>
      <c r="O55">
        <v>303</v>
      </c>
      <c r="P55">
        <v>288</v>
      </c>
      <c r="Q55">
        <v>284</v>
      </c>
      <c r="R55">
        <v>312</v>
      </c>
      <c r="S55">
        <v>314</v>
      </c>
      <c r="T55">
        <v>254</v>
      </c>
      <c r="U55">
        <v>230</v>
      </c>
      <c r="V55">
        <v>193</v>
      </c>
      <c r="W55">
        <v>228</v>
      </c>
      <c r="X55">
        <v>174</v>
      </c>
      <c r="Y55">
        <v>147</v>
      </c>
      <c r="Z55">
        <v>142</v>
      </c>
      <c r="AA55">
        <v>180</v>
      </c>
      <c r="AB55">
        <v>190</v>
      </c>
      <c r="AC55">
        <v>205</v>
      </c>
      <c r="AD55">
        <v>233</v>
      </c>
      <c r="AE55">
        <v>206</v>
      </c>
      <c r="AF55">
        <v>272</v>
      </c>
      <c r="AG55">
        <v>309</v>
      </c>
      <c r="AH55">
        <v>320</v>
      </c>
      <c r="AI55">
        <v>353</v>
      </c>
      <c r="AJ55">
        <v>281</v>
      </c>
      <c r="AK55">
        <v>319</v>
      </c>
      <c r="AL55">
        <v>314</v>
      </c>
      <c r="AM55">
        <v>257</v>
      </c>
      <c r="AN55">
        <v>278</v>
      </c>
      <c r="AO55">
        <v>199</v>
      </c>
      <c r="AP55">
        <v>217</v>
      </c>
      <c r="AQ55">
        <v>9232</v>
      </c>
      <c r="AR55">
        <v>0.10831889081455801</v>
      </c>
      <c r="AS55">
        <f t="shared" si="0"/>
        <v>4.9536611778093738E-3</v>
      </c>
      <c r="AT55">
        <f t="shared" si="1"/>
        <v>3.9827435869587368E-4</v>
      </c>
      <c r="AU55">
        <f t="shared" si="2"/>
        <v>3.9827435869587369E-2</v>
      </c>
      <c r="AV55">
        <f t="shared" si="3"/>
        <v>3</v>
      </c>
      <c r="AW55">
        <f t="shared" si="4"/>
        <v>9.3923170846247697E-2</v>
      </c>
    </row>
    <row r="56" spans="1:49" x14ac:dyDescent="0.3">
      <c r="A56" t="s">
        <v>92</v>
      </c>
      <c r="B56" t="s">
        <v>11</v>
      </c>
      <c r="C56">
        <v>1</v>
      </c>
      <c r="D56" t="s">
        <v>12</v>
      </c>
      <c r="E56">
        <v>29</v>
      </c>
      <c r="F56">
        <v>24</v>
      </c>
      <c r="G56">
        <v>26</v>
      </c>
      <c r="H56">
        <v>27</v>
      </c>
      <c r="I56">
        <v>19</v>
      </c>
      <c r="J56">
        <v>26</v>
      </c>
      <c r="K56">
        <v>28</v>
      </c>
      <c r="L56">
        <v>23</v>
      </c>
      <c r="M56">
        <v>33</v>
      </c>
      <c r="N56">
        <v>29</v>
      </c>
      <c r="O56">
        <v>39</v>
      </c>
      <c r="P56">
        <v>37</v>
      </c>
      <c r="Q56">
        <v>37</v>
      </c>
      <c r="R56">
        <v>58</v>
      </c>
      <c r="S56">
        <v>54</v>
      </c>
      <c r="T56">
        <v>66</v>
      </c>
      <c r="U56">
        <v>55</v>
      </c>
      <c r="V56">
        <v>61</v>
      </c>
      <c r="W56">
        <v>82</v>
      </c>
      <c r="X56">
        <v>34</v>
      </c>
      <c r="Y56">
        <v>30</v>
      </c>
      <c r="Z56">
        <v>22</v>
      </c>
      <c r="AA56">
        <v>25</v>
      </c>
      <c r="AB56">
        <v>27</v>
      </c>
      <c r="AC56">
        <v>29</v>
      </c>
      <c r="AD56">
        <v>25</v>
      </c>
      <c r="AE56">
        <v>18</v>
      </c>
      <c r="AF56">
        <v>25</v>
      </c>
      <c r="AG56">
        <v>27</v>
      </c>
      <c r="AH56">
        <v>36</v>
      </c>
      <c r="AI56">
        <v>39</v>
      </c>
      <c r="AJ56">
        <v>43</v>
      </c>
      <c r="AK56">
        <v>62</v>
      </c>
      <c r="AL56">
        <v>46</v>
      </c>
      <c r="AM56">
        <v>59</v>
      </c>
      <c r="AN56">
        <v>59</v>
      </c>
      <c r="AO56">
        <v>57</v>
      </c>
      <c r="AP56">
        <v>58</v>
      </c>
      <c r="AQ56">
        <v>1474</v>
      </c>
      <c r="AR56">
        <v>0.67842605156037983</v>
      </c>
      <c r="AS56">
        <f t="shared" si="0"/>
        <v>0.2011312553234661</v>
      </c>
      <c r="AT56">
        <f t="shared" si="1"/>
        <v>1.6170952928006674E-2</v>
      </c>
      <c r="AU56">
        <f t="shared" si="2"/>
        <v>1.6170952928006674</v>
      </c>
      <c r="AV56">
        <f t="shared" si="3"/>
        <v>3</v>
      </c>
      <c r="AW56">
        <f t="shared" si="4"/>
        <v>9.3923170846247697E-2</v>
      </c>
    </row>
    <row r="57" spans="1:49" x14ac:dyDescent="0.3">
      <c r="A57" t="s">
        <v>93</v>
      </c>
      <c r="B57" t="s">
        <v>11</v>
      </c>
      <c r="C57">
        <v>1</v>
      </c>
      <c r="D57" t="s">
        <v>12</v>
      </c>
      <c r="E57">
        <v>51</v>
      </c>
      <c r="F57">
        <v>39</v>
      </c>
      <c r="G57">
        <v>38</v>
      </c>
      <c r="H57">
        <v>29</v>
      </c>
      <c r="I57">
        <v>34</v>
      </c>
      <c r="J57">
        <v>36</v>
      </c>
      <c r="K57">
        <v>38</v>
      </c>
      <c r="L57">
        <v>48</v>
      </c>
      <c r="M57">
        <v>45</v>
      </c>
      <c r="N57">
        <v>36</v>
      </c>
      <c r="O57">
        <v>51</v>
      </c>
      <c r="P57">
        <v>50</v>
      </c>
      <c r="Q57">
        <v>60</v>
      </c>
      <c r="R57">
        <v>68</v>
      </c>
      <c r="S57">
        <v>65</v>
      </c>
      <c r="T57">
        <v>71</v>
      </c>
      <c r="U57">
        <v>62</v>
      </c>
      <c r="V57">
        <v>53</v>
      </c>
      <c r="W57">
        <v>70</v>
      </c>
      <c r="X57">
        <v>47</v>
      </c>
      <c r="Y57">
        <v>32</v>
      </c>
      <c r="Z57">
        <v>36</v>
      </c>
      <c r="AA57">
        <v>45</v>
      </c>
      <c r="AB57">
        <v>27</v>
      </c>
      <c r="AC57">
        <v>26</v>
      </c>
      <c r="AD57">
        <v>29</v>
      </c>
      <c r="AE57">
        <v>31</v>
      </c>
      <c r="AF57">
        <v>38</v>
      </c>
      <c r="AG57">
        <v>53</v>
      </c>
      <c r="AH57">
        <v>48</v>
      </c>
      <c r="AI57">
        <v>55</v>
      </c>
      <c r="AJ57">
        <v>36</v>
      </c>
      <c r="AK57">
        <v>66</v>
      </c>
      <c r="AL57">
        <v>66</v>
      </c>
      <c r="AM57">
        <v>50</v>
      </c>
      <c r="AN57">
        <v>69</v>
      </c>
      <c r="AO57">
        <v>69</v>
      </c>
      <c r="AP57">
        <v>68</v>
      </c>
      <c r="AQ57">
        <v>1835</v>
      </c>
      <c r="AR57">
        <v>0.54495912806539515</v>
      </c>
      <c r="AS57">
        <f t="shared" si="0"/>
        <v>0.15520441603413795</v>
      </c>
      <c r="AT57">
        <f t="shared" si="1"/>
        <v>1.2478435049144691E-2</v>
      </c>
      <c r="AU57">
        <f t="shared" si="2"/>
        <v>1.2478435049144692</v>
      </c>
      <c r="AV57">
        <f t="shared" si="3"/>
        <v>3</v>
      </c>
      <c r="AW57">
        <f t="shared" si="4"/>
        <v>9.3923170846247697E-2</v>
      </c>
    </row>
    <row r="58" spans="1:49" x14ac:dyDescent="0.3">
      <c r="A58" t="s">
        <v>94</v>
      </c>
      <c r="B58" t="s">
        <v>11</v>
      </c>
      <c r="C58">
        <v>3</v>
      </c>
      <c r="D58" t="s">
        <v>12</v>
      </c>
      <c r="E58">
        <v>37</v>
      </c>
      <c r="F58">
        <v>29</v>
      </c>
      <c r="G58">
        <v>12</v>
      </c>
      <c r="H58">
        <v>35</v>
      </c>
      <c r="I58">
        <v>21</v>
      </c>
      <c r="J58">
        <v>17</v>
      </c>
      <c r="K58">
        <v>23</v>
      </c>
      <c r="L58">
        <v>21</v>
      </c>
      <c r="M58">
        <v>34</v>
      </c>
      <c r="N58">
        <v>22</v>
      </c>
      <c r="O58">
        <v>30</v>
      </c>
      <c r="P58">
        <v>31</v>
      </c>
      <c r="Q58">
        <v>22</v>
      </c>
      <c r="R58">
        <v>32</v>
      </c>
      <c r="S58">
        <v>34</v>
      </c>
      <c r="T58">
        <v>42</v>
      </c>
      <c r="U58">
        <v>37</v>
      </c>
      <c r="V58">
        <v>34</v>
      </c>
      <c r="W58">
        <v>44</v>
      </c>
      <c r="X58">
        <v>46</v>
      </c>
      <c r="Y58">
        <v>28</v>
      </c>
      <c r="Z58">
        <v>24</v>
      </c>
      <c r="AA58">
        <v>16</v>
      </c>
      <c r="AB58">
        <v>17</v>
      </c>
      <c r="AC58">
        <v>13</v>
      </c>
      <c r="AD58">
        <v>22</v>
      </c>
      <c r="AE58">
        <v>21</v>
      </c>
      <c r="AF58">
        <v>27</v>
      </c>
      <c r="AG58">
        <v>21</v>
      </c>
      <c r="AH58">
        <v>22</v>
      </c>
      <c r="AI58">
        <v>35</v>
      </c>
      <c r="AJ58">
        <v>21</v>
      </c>
      <c r="AK58">
        <v>34</v>
      </c>
      <c r="AL58">
        <v>25</v>
      </c>
      <c r="AM58">
        <v>52</v>
      </c>
      <c r="AN58">
        <v>39</v>
      </c>
      <c r="AO58">
        <v>39</v>
      </c>
      <c r="AP58">
        <v>65</v>
      </c>
      <c r="AQ58">
        <v>1124</v>
      </c>
      <c r="AR58">
        <v>2.6690391459074729</v>
      </c>
      <c r="AS58">
        <f t="shared" si="0"/>
        <v>0.88611421048049077</v>
      </c>
      <c r="AT58">
        <f t="shared" si="1"/>
        <v>7.1243582522631452E-2</v>
      </c>
      <c r="AU58">
        <f t="shared" si="2"/>
        <v>7.1243582522631455</v>
      </c>
      <c r="AV58">
        <f t="shared" si="3"/>
        <v>3</v>
      </c>
      <c r="AW58">
        <f t="shared" si="4"/>
        <v>9.3923170846247697E-2</v>
      </c>
    </row>
    <row r="59" spans="1:49" x14ac:dyDescent="0.3">
      <c r="A59" t="s">
        <v>95</v>
      </c>
      <c r="B59" t="s">
        <v>11</v>
      </c>
      <c r="C59">
        <v>2</v>
      </c>
      <c r="D59" t="s">
        <v>12</v>
      </c>
      <c r="E59">
        <v>83</v>
      </c>
      <c r="F59">
        <v>91</v>
      </c>
      <c r="G59">
        <v>91</v>
      </c>
      <c r="H59">
        <v>70</v>
      </c>
      <c r="I59">
        <v>78</v>
      </c>
      <c r="J59">
        <v>71</v>
      </c>
      <c r="K59">
        <v>64</v>
      </c>
      <c r="L59">
        <v>58</v>
      </c>
      <c r="M59">
        <v>65</v>
      </c>
      <c r="N59">
        <v>74</v>
      </c>
      <c r="O59">
        <v>51</v>
      </c>
      <c r="P59">
        <v>63</v>
      </c>
      <c r="Q59">
        <v>48</v>
      </c>
      <c r="R59">
        <v>62</v>
      </c>
      <c r="S59">
        <v>53</v>
      </c>
      <c r="T59">
        <v>68</v>
      </c>
      <c r="U59">
        <v>45</v>
      </c>
      <c r="V59">
        <v>63</v>
      </c>
      <c r="W59">
        <v>84</v>
      </c>
      <c r="X59">
        <v>83</v>
      </c>
      <c r="Y59">
        <v>86</v>
      </c>
      <c r="Z59">
        <v>58</v>
      </c>
      <c r="AA59">
        <v>51</v>
      </c>
      <c r="AB59">
        <v>65</v>
      </c>
      <c r="AC59">
        <v>42</v>
      </c>
      <c r="AD59">
        <v>67</v>
      </c>
      <c r="AE59">
        <v>58</v>
      </c>
      <c r="AF59">
        <v>52</v>
      </c>
      <c r="AG59">
        <v>57</v>
      </c>
      <c r="AH59">
        <v>74</v>
      </c>
      <c r="AI59">
        <v>55</v>
      </c>
      <c r="AJ59">
        <v>45</v>
      </c>
      <c r="AK59">
        <v>66</v>
      </c>
      <c r="AL59">
        <v>50</v>
      </c>
      <c r="AM59">
        <v>62</v>
      </c>
      <c r="AN59">
        <v>58</v>
      </c>
      <c r="AO59">
        <v>65</v>
      </c>
      <c r="AP59">
        <v>79</v>
      </c>
      <c r="AQ59">
        <v>2455</v>
      </c>
      <c r="AR59">
        <v>0.81466395112016299</v>
      </c>
      <c r="AS59">
        <f t="shared" si="0"/>
        <v>0.24801160555820354</v>
      </c>
      <c r="AT59">
        <f t="shared" si="1"/>
        <v>1.9940133086879565E-2</v>
      </c>
      <c r="AU59">
        <f t="shared" si="2"/>
        <v>1.9940133086879566</v>
      </c>
      <c r="AV59">
        <f t="shared" si="3"/>
        <v>3</v>
      </c>
      <c r="AW59">
        <f t="shared" si="4"/>
        <v>9.3923170846247697E-2</v>
      </c>
    </row>
    <row r="60" spans="1:49" x14ac:dyDescent="0.3">
      <c r="A60" t="s">
        <v>96</v>
      </c>
      <c r="B60" t="s">
        <v>97</v>
      </c>
      <c r="C60">
        <v>1</v>
      </c>
      <c r="D60" t="s">
        <v>24</v>
      </c>
      <c r="E60">
        <v>76</v>
      </c>
      <c r="F60">
        <v>69</v>
      </c>
      <c r="G60">
        <v>57</v>
      </c>
      <c r="H60">
        <v>65</v>
      </c>
      <c r="I60">
        <v>57</v>
      </c>
      <c r="J60">
        <v>47</v>
      </c>
      <c r="K60">
        <v>65</v>
      </c>
      <c r="L60">
        <v>69</v>
      </c>
      <c r="M60">
        <v>84</v>
      </c>
      <c r="N60">
        <v>85</v>
      </c>
      <c r="O60">
        <v>120</v>
      </c>
      <c r="P60">
        <v>112</v>
      </c>
      <c r="Q60">
        <v>130</v>
      </c>
      <c r="R60">
        <v>112</v>
      </c>
      <c r="S60">
        <v>109</v>
      </c>
      <c r="T60">
        <v>113</v>
      </c>
      <c r="U60">
        <v>111</v>
      </c>
      <c r="V60">
        <v>122</v>
      </c>
      <c r="W60">
        <v>97</v>
      </c>
      <c r="X60">
        <v>62</v>
      </c>
      <c r="Y60">
        <v>67</v>
      </c>
      <c r="Z60">
        <v>58</v>
      </c>
      <c r="AA60">
        <v>58</v>
      </c>
      <c r="AB60">
        <v>81</v>
      </c>
      <c r="AC60">
        <v>58</v>
      </c>
      <c r="AD60">
        <v>80</v>
      </c>
      <c r="AE60">
        <v>83</v>
      </c>
      <c r="AF60">
        <v>77</v>
      </c>
      <c r="AG60">
        <v>96</v>
      </c>
      <c r="AH60">
        <v>106</v>
      </c>
      <c r="AI60">
        <v>114</v>
      </c>
      <c r="AJ60">
        <v>122</v>
      </c>
      <c r="AK60">
        <v>97</v>
      </c>
      <c r="AL60">
        <v>116</v>
      </c>
      <c r="AM60">
        <v>117</v>
      </c>
      <c r="AN60">
        <v>84</v>
      </c>
      <c r="AO60">
        <v>121</v>
      </c>
      <c r="AP60">
        <v>97</v>
      </c>
      <c r="AQ60">
        <v>3394</v>
      </c>
      <c r="AR60">
        <v>0.2946375957572186</v>
      </c>
      <c r="AS60">
        <f t="shared" si="0"/>
        <v>6.9067143338195511E-2</v>
      </c>
      <c r="AT60">
        <f t="shared" si="1"/>
        <v>5.5529983243909186E-3</v>
      </c>
      <c r="AU60">
        <f t="shared" si="2"/>
        <v>0.55529983243909187</v>
      </c>
      <c r="AV60">
        <f t="shared" si="3"/>
        <v>3</v>
      </c>
      <c r="AW60">
        <f t="shared" si="4"/>
        <v>9.3923170846247697E-2</v>
      </c>
    </row>
    <row r="61" spans="1:49" x14ac:dyDescent="0.3">
      <c r="A61" t="s">
        <v>98</v>
      </c>
      <c r="B61" t="s">
        <v>36</v>
      </c>
      <c r="C61">
        <v>2</v>
      </c>
      <c r="D61" t="s">
        <v>12</v>
      </c>
      <c r="E61">
        <v>44</v>
      </c>
      <c r="F61">
        <v>36</v>
      </c>
      <c r="G61">
        <v>32</v>
      </c>
      <c r="H61">
        <v>46</v>
      </c>
      <c r="I61">
        <v>57</v>
      </c>
      <c r="J61">
        <v>55</v>
      </c>
      <c r="K61">
        <v>55</v>
      </c>
      <c r="L61">
        <v>52</v>
      </c>
      <c r="M61">
        <v>69</v>
      </c>
      <c r="N61">
        <v>89</v>
      </c>
      <c r="O61">
        <v>94</v>
      </c>
      <c r="P61">
        <v>88</v>
      </c>
      <c r="Q61">
        <v>96</v>
      </c>
      <c r="R61">
        <v>97</v>
      </c>
      <c r="S61">
        <v>112</v>
      </c>
      <c r="T61">
        <v>127</v>
      </c>
      <c r="U61">
        <v>101</v>
      </c>
      <c r="V61">
        <v>122</v>
      </c>
      <c r="W61">
        <v>133</v>
      </c>
      <c r="X61">
        <v>34</v>
      </c>
      <c r="Y61">
        <v>37</v>
      </c>
      <c r="Z61">
        <v>29</v>
      </c>
      <c r="AA61">
        <v>44</v>
      </c>
      <c r="AB61">
        <v>53</v>
      </c>
      <c r="AC61">
        <v>35</v>
      </c>
      <c r="AD61">
        <v>50</v>
      </c>
      <c r="AE61">
        <v>50</v>
      </c>
      <c r="AF61">
        <v>81</v>
      </c>
      <c r="AG61">
        <v>84</v>
      </c>
      <c r="AH61">
        <v>93</v>
      </c>
      <c r="AI61">
        <v>109</v>
      </c>
      <c r="AJ61">
        <v>89</v>
      </c>
      <c r="AK61">
        <v>114</v>
      </c>
      <c r="AL61">
        <v>127</v>
      </c>
      <c r="AM61">
        <v>118</v>
      </c>
      <c r="AN61">
        <v>123</v>
      </c>
      <c r="AO61">
        <v>146</v>
      </c>
      <c r="AP61">
        <v>128</v>
      </c>
      <c r="AQ61">
        <v>3049</v>
      </c>
      <c r="AR61">
        <v>0.65595277140045916</v>
      </c>
      <c r="AS61">
        <f t="shared" si="0"/>
        <v>0.19339805297503923</v>
      </c>
      <c r="AT61">
        <f t="shared" si="1"/>
        <v>1.5549203459193153E-2</v>
      </c>
      <c r="AU61">
        <f t="shared" si="2"/>
        <v>1.5549203459193153</v>
      </c>
      <c r="AV61">
        <f t="shared" si="3"/>
        <v>3</v>
      </c>
      <c r="AW61">
        <f t="shared" si="4"/>
        <v>9.3923170846247697E-2</v>
      </c>
    </row>
    <row r="62" spans="1:49" x14ac:dyDescent="0.3">
      <c r="A62" t="s">
        <v>99</v>
      </c>
      <c r="B62" t="s">
        <v>89</v>
      </c>
      <c r="C62">
        <v>1</v>
      </c>
      <c r="D62" t="s">
        <v>24</v>
      </c>
      <c r="E62">
        <v>80</v>
      </c>
      <c r="F62">
        <v>61</v>
      </c>
      <c r="G62">
        <v>64</v>
      </c>
      <c r="H62">
        <v>90</v>
      </c>
      <c r="I62">
        <v>87</v>
      </c>
      <c r="J62">
        <v>96</v>
      </c>
      <c r="K62">
        <v>97</v>
      </c>
      <c r="L62">
        <v>114</v>
      </c>
      <c r="M62">
        <v>142</v>
      </c>
      <c r="N62">
        <v>158</v>
      </c>
      <c r="O62">
        <v>173</v>
      </c>
      <c r="P62">
        <v>194</v>
      </c>
      <c r="Q62">
        <v>165</v>
      </c>
      <c r="R62">
        <v>224</v>
      </c>
      <c r="S62">
        <v>226</v>
      </c>
      <c r="T62">
        <v>224</v>
      </c>
      <c r="U62">
        <v>248</v>
      </c>
      <c r="V62">
        <v>236</v>
      </c>
      <c r="W62">
        <v>276</v>
      </c>
      <c r="X62">
        <v>68</v>
      </c>
      <c r="Y62">
        <v>73</v>
      </c>
      <c r="Z62">
        <v>80</v>
      </c>
      <c r="AA62">
        <v>78</v>
      </c>
      <c r="AB62">
        <v>67</v>
      </c>
      <c r="AC62">
        <v>108</v>
      </c>
      <c r="AD62">
        <v>80</v>
      </c>
      <c r="AE62">
        <v>96</v>
      </c>
      <c r="AF62">
        <v>124</v>
      </c>
      <c r="AG62">
        <v>168</v>
      </c>
      <c r="AH62">
        <v>148</v>
      </c>
      <c r="AI62">
        <v>173</v>
      </c>
      <c r="AJ62">
        <v>196</v>
      </c>
      <c r="AK62">
        <v>215</v>
      </c>
      <c r="AL62">
        <v>228</v>
      </c>
      <c r="AM62">
        <v>225</v>
      </c>
      <c r="AN62">
        <v>218</v>
      </c>
      <c r="AO62">
        <v>234</v>
      </c>
      <c r="AP62">
        <v>253</v>
      </c>
      <c r="AQ62">
        <v>5787</v>
      </c>
      <c r="AR62">
        <v>0.1728011059270779</v>
      </c>
      <c r="AS62">
        <f t="shared" si="0"/>
        <v>2.7142412165269355E-2</v>
      </c>
      <c r="AT62">
        <f t="shared" si="1"/>
        <v>2.182249938087656E-3</v>
      </c>
      <c r="AU62">
        <f t="shared" si="2"/>
        <v>0.21822499380876559</v>
      </c>
      <c r="AV62">
        <f t="shared" si="3"/>
        <v>3</v>
      </c>
      <c r="AW62">
        <f t="shared" si="4"/>
        <v>9.3923170846247697E-2</v>
      </c>
    </row>
    <row r="63" spans="1:49" x14ac:dyDescent="0.3">
      <c r="A63" t="s">
        <v>100</v>
      </c>
      <c r="B63" t="s">
        <v>26</v>
      </c>
      <c r="C63">
        <v>2</v>
      </c>
      <c r="D63" t="s">
        <v>17</v>
      </c>
      <c r="E63">
        <v>63</v>
      </c>
      <c r="F63">
        <v>81</v>
      </c>
      <c r="G63">
        <v>63</v>
      </c>
      <c r="H63">
        <v>73</v>
      </c>
      <c r="I63">
        <v>83</v>
      </c>
      <c r="J63">
        <v>91</v>
      </c>
      <c r="K63">
        <v>103</v>
      </c>
      <c r="L63">
        <v>119</v>
      </c>
      <c r="M63">
        <v>121</v>
      </c>
      <c r="N63">
        <v>143</v>
      </c>
      <c r="O63">
        <v>151</v>
      </c>
      <c r="P63">
        <v>146</v>
      </c>
      <c r="Q63">
        <v>159</v>
      </c>
      <c r="R63">
        <v>197</v>
      </c>
      <c r="S63">
        <v>173</v>
      </c>
      <c r="T63">
        <v>167</v>
      </c>
      <c r="U63">
        <v>147</v>
      </c>
      <c r="V63">
        <v>123</v>
      </c>
      <c r="W63">
        <v>140</v>
      </c>
      <c r="X63">
        <v>72</v>
      </c>
      <c r="Y63">
        <v>54</v>
      </c>
      <c r="Z63">
        <v>56</v>
      </c>
      <c r="AA63">
        <v>66</v>
      </c>
      <c r="AB63">
        <v>62</v>
      </c>
      <c r="AC63">
        <v>71</v>
      </c>
      <c r="AD63">
        <v>92</v>
      </c>
      <c r="AE63">
        <v>116</v>
      </c>
      <c r="AF63">
        <v>89</v>
      </c>
      <c r="AG63">
        <v>137</v>
      </c>
      <c r="AH63">
        <v>130</v>
      </c>
      <c r="AI63">
        <v>165</v>
      </c>
      <c r="AJ63">
        <v>152</v>
      </c>
      <c r="AK63">
        <v>161</v>
      </c>
      <c r="AL63">
        <v>177</v>
      </c>
      <c r="AM63">
        <v>174</v>
      </c>
      <c r="AN63">
        <v>155</v>
      </c>
      <c r="AO63">
        <v>151</v>
      </c>
      <c r="AP63">
        <v>144</v>
      </c>
      <c r="AQ63">
        <v>4567</v>
      </c>
      <c r="AR63">
        <v>0.43792423910663458</v>
      </c>
      <c r="AS63">
        <f t="shared" si="0"/>
        <v>0.11837301230627126</v>
      </c>
      <c r="AT63">
        <f t="shared" si="1"/>
        <v>9.517190189424209E-3</v>
      </c>
      <c r="AU63">
        <f t="shared" si="2"/>
        <v>0.95171901894242095</v>
      </c>
      <c r="AV63">
        <f t="shared" si="3"/>
        <v>3</v>
      </c>
      <c r="AW63">
        <f t="shared" si="4"/>
        <v>9.3923170846247697E-2</v>
      </c>
    </row>
    <row r="64" spans="1:49" x14ac:dyDescent="0.3">
      <c r="A64" t="s">
        <v>101</v>
      </c>
      <c r="B64" t="s">
        <v>26</v>
      </c>
      <c r="C64">
        <v>3</v>
      </c>
      <c r="D64" t="s">
        <v>17</v>
      </c>
      <c r="E64">
        <v>119</v>
      </c>
      <c r="F64">
        <v>93</v>
      </c>
      <c r="G64">
        <v>104</v>
      </c>
      <c r="H64">
        <v>116</v>
      </c>
      <c r="I64">
        <v>105</v>
      </c>
      <c r="J64">
        <v>124</v>
      </c>
      <c r="K64">
        <v>132</v>
      </c>
      <c r="L64">
        <v>165</v>
      </c>
      <c r="M64">
        <v>156</v>
      </c>
      <c r="N64">
        <v>180</v>
      </c>
      <c r="O64">
        <v>238</v>
      </c>
      <c r="P64">
        <v>230</v>
      </c>
      <c r="Q64">
        <v>229</v>
      </c>
      <c r="R64">
        <v>273</v>
      </c>
      <c r="S64">
        <v>240</v>
      </c>
      <c r="T64">
        <v>239</v>
      </c>
      <c r="U64">
        <v>254</v>
      </c>
      <c r="V64">
        <v>225</v>
      </c>
      <c r="W64">
        <v>191</v>
      </c>
      <c r="X64">
        <v>120</v>
      </c>
      <c r="Y64">
        <v>117</v>
      </c>
      <c r="Z64">
        <v>95</v>
      </c>
      <c r="AA64">
        <v>120</v>
      </c>
      <c r="AB64">
        <v>101</v>
      </c>
      <c r="AC64">
        <v>125</v>
      </c>
      <c r="AD64">
        <v>115</v>
      </c>
      <c r="AE64">
        <v>123</v>
      </c>
      <c r="AF64">
        <v>170</v>
      </c>
      <c r="AG64">
        <v>169</v>
      </c>
      <c r="AH64">
        <v>204</v>
      </c>
      <c r="AI64">
        <v>210</v>
      </c>
      <c r="AJ64">
        <v>201</v>
      </c>
      <c r="AK64">
        <v>229</v>
      </c>
      <c r="AL64">
        <v>229</v>
      </c>
      <c r="AM64">
        <v>233</v>
      </c>
      <c r="AN64">
        <v>189</v>
      </c>
      <c r="AO64">
        <v>217</v>
      </c>
      <c r="AP64">
        <v>233</v>
      </c>
      <c r="AQ64">
        <v>6613</v>
      </c>
      <c r="AR64">
        <v>0.45365189777710568</v>
      </c>
      <c r="AS64">
        <f t="shared" si="0"/>
        <v>0.12378500228282359</v>
      </c>
      <c r="AT64">
        <f t="shared" si="1"/>
        <v>9.9523141835390159E-3</v>
      </c>
      <c r="AU64">
        <f t="shared" si="2"/>
        <v>0.99523141835390161</v>
      </c>
      <c r="AV64">
        <f t="shared" si="3"/>
        <v>3</v>
      </c>
      <c r="AW64">
        <f t="shared" si="4"/>
        <v>9.3923170846247697E-2</v>
      </c>
    </row>
    <row r="65" spans="1:49" x14ac:dyDescent="0.3">
      <c r="A65" t="s">
        <v>102</v>
      </c>
      <c r="B65" t="s">
        <v>26</v>
      </c>
      <c r="C65">
        <v>2</v>
      </c>
      <c r="D65" t="s">
        <v>17</v>
      </c>
      <c r="E65">
        <v>53</v>
      </c>
      <c r="F65">
        <v>34</v>
      </c>
      <c r="G65">
        <v>35</v>
      </c>
      <c r="H65">
        <v>33</v>
      </c>
      <c r="I65">
        <v>42</v>
      </c>
      <c r="J65">
        <v>50</v>
      </c>
      <c r="K65">
        <v>43</v>
      </c>
      <c r="L65">
        <v>49</v>
      </c>
      <c r="M65">
        <v>59</v>
      </c>
      <c r="N65">
        <v>63</v>
      </c>
      <c r="O65">
        <v>71</v>
      </c>
      <c r="P65">
        <v>75</v>
      </c>
      <c r="Q65">
        <v>82</v>
      </c>
      <c r="R65">
        <v>75</v>
      </c>
      <c r="S65">
        <v>84</v>
      </c>
      <c r="T65">
        <v>80</v>
      </c>
      <c r="U65">
        <v>77</v>
      </c>
      <c r="V65">
        <v>74</v>
      </c>
      <c r="W65">
        <v>86</v>
      </c>
      <c r="X65">
        <v>43</v>
      </c>
      <c r="Y65">
        <v>36</v>
      </c>
      <c r="Z65">
        <v>27</v>
      </c>
      <c r="AA65">
        <v>34</v>
      </c>
      <c r="AB65">
        <v>33</v>
      </c>
      <c r="AC65">
        <v>40</v>
      </c>
      <c r="AD65">
        <v>30</v>
      </c>
      <c r="AE65">
        <v>45</v>
      </c>
      <c r="AF65">
        <v>52</v>
      </c>
      <c r="AG65">
        <v>75</v>
      </c>
      <c r="AH65">
        <v>56</v>
      </c>
      <c r="AI65">
        <v>58</v>
      </c>
      <c r="AJ65">
        <v>77</v>
      </c>
      <c r="AK65">
        <v>82</v>
      </c>
      <c r="AL65">
        <v>67</v>
      </c>
      <c r="AM65">
        <v>72</v>
      </c>
      <c r="AN65">
        <v>92</v>
      </c>
      <c r="AO65">
        <v>58</v>
      </c>
      <c r="AP65">
        <v>88</v>
      </c>
      <c r="AQ65">
        <v>2230</v>
      </c>
      <c r="AR65">
        <v>0.89686098654708524</v>
      </c>
      <c r="AS65">
        <f t="shared" si="0"/>
        <v>0.27629614181076295</v>
      </c>
      <c r="AT65">
        <f t="shared" si="1"/>
        <v>2.2214209801585342E-2</v>
      </c>
      <c r="AU65">
        <f t="shared" si="2"/>
        <v>2.2214209801585341</v>
      </c>
      <c r="AV65">
        <f t="shared" si="3"/>
        <v>3</v>
      </c>
      <c r="AW65">
        <f t="shared" si="4"/>
        <v>9.3923170846247697E-2</v>
      </c>
    </row>
    <row r="66" spans="1:49" x14ac:dyDescent="0.3">
      <c r="A66" t="s">
        <v>103</v>
      </c>
      <c r="B66" t="s">
        <v>26</v>
      </c>
      <c r="C66">
        <v>3</v>
      </c>
      <c r="D66" t="s">
        <v>17</v>
      </c>
      <c r="E66">
        <v>15</v>
      </c>
      <c r="F66">
        <v>14</v>
      </c>
      <c r="G66">
        <v>6</v>
      </c>
      <c r="H66">
        <v>9</v>
      </c>
      <c r="I66">
        <v>16</v>
      </c>
      <c r="J66">
        <v>16</v>
      </c>
      <c r="K66">
        <v>10</v>
      </c>
      <c r="L66">
        <v>17</v>
      </c>
      <c r="M66">
        <v>17</v>
      </c>
      <c r="N66">
        <v>31</v>
      </c>
      <c r="O66">
        <v>32</v>
      </c>
      <c r="P66">
        <v>25</v>
      </c>
      <c r="Q66">
        <v>27</v>
      </c>
      <c r="R66">
        <v>32</v>
      </c>
      <c r="S66">
        <v>37</v>
      </c>
      <c r="T66">
        <v>39</v>
      </c>
      <c r="U66">
        <v>30</v>
      </c>
      <c r="V66">
        <v>48</v>
      </c>
      <c r="W66">
        <v>46</v>
      </c>
      <c r="X66">
        <v>5</v>
      </c>
      <c r="Y66">
        <v>12</v>
      </c>
      <c r="Z66">
        <v>9</v>
      </c>
      <c r="AA66">
        <v>15</v>
      </c>
      <c r="AB66">
        <v>10</v>
      </c>
      <c r="AC66">
        <v>12</v>
      </c>
      <c r="AD66">
        <v>14</v>
      </c>
      <c r="AE66">
        <v>20</v>
      </c>
      <c r="AF66">
        <v>23</v>
      </c>
      <c r="AG66">
        <v>15</v>
      </c>
      <c r="AH66">
        <v>25</v>
      </c>
      <c r="AI66">
        <v>18</v>
      </c>
      <c r="AJ66">
        <v>27</v>
      </c>
      <c r="AK66">
        <v>33</v>
      </c>
      <c r="AL66">
        <v>30</v>
      </c>
      <c r="AM66">
        <v>27</v>
      </c>
      <c r="AN66">
        <v>30</v>
      </c>
      <c r="AO66">
        <v>31</v>
      </c>
      <c r="AP66">
        <v>34</v>
      </c>
      <c r="AQ66">
        <v>857</v>
      </c>
      <c r="AR66">
        <v>3</v>
      </c>
      <c r="AS66">
        <f t="shared" si="0"/>
        <v>1</v>
      </c>
      <c r="AT66">
        <f t="shared" si="1"/>
        <v>8.0399999999999999E-2</v>
      </c>
      <c r="AU66">
        <f t="shared" si="2"/>
        <v>8.0399999999999991</v>
      </c>
      <c r="AV66">
        <f t="shared" si="3"/>
        <v>3</v>
      </c>
      <c r="AW66">
        <f t="shared" si="4"/>
        <v>9.3923170846247697E-2</v>
      </c>
    </row>
    <row r="67" spans="1:49" x14ac:dyDescent="0.3">
      <c r="A67" t="s">
        <v>104</v>
      </c>
      <c r="B67" t="s">
        <v>105</v>
      </c>
      <c r="C67">
        <v>1</v>
      </c>
      <c r="D67" t="s">
        <v>12</v>
      </c>
      <c r="E67">
        <v>40</v>
      </c>
      <c r="F67">
        <v>35</v>
      </c>
      <c r="G67">
        <v>24</v>
      </c>
      <c r="H67">
        <v>28</v>
      </c>
      <c r="I67">
        <v>32</v>
      </c>
      <c r="J67">
        <v>28</v>
      </c>
      <c r="K67">
        <v>27</v>
      </c>
      <c r="L67">
        <v>38</v>
      </c>
      <c r="M67">
        <v>43</v>
      </c>
      <c r="N67">
        <v>49</v>
      </c>
      <c r="O67">
        <v>46</v>
      </c>
      <c r="P67">
        <v>40</v>
      </c>
      <c r="Q67">
        <v>54</v>
      </c>
      <c r="R67">
        <v>61</v>
      </c>
      <c r="S67">
        <v>45</v>
      </c>
      <c r="T67">
        <v>71</v>
      </c>
      <c r="U67">
        <v>59</v>
      </c>
      <c r="V67">
        <v>56</v>
      </c>
      <c r="W67">
        <v>57</v>
      </c>
      <c r="X67">
        <v>27</v>
      </c>
      <c r="Y67">
        <v>38</v>
      </c>
      <c r="Z67">
        <v>38</v>
      </c>
      <c r="AA67">
        <v>30</v>
      </c>
      <c r="AB67">
        <v>21</v>
      </c>
      <c r="AC67">
        <v>40</v>
      </c>
      <c r="AD67">
        <v>22</v>
      </c>
      <c r="AE67">
        <v>39</v>
      </c>
      <c r="AF67">
        <v>35</v>
      </c>
      <c r="AG67">
        <v>40</v>
      </c>
      <c r="AH67">
        <v>54</v>
      </c>
      <c r="AI67">
        <v>52</v>
      </c>
      <c r="AJ67">
        <v>41</v>
      </c>
      <c r="AK67">
        <v>56</v>
      </c>
      <c r="AL67">
        <v>51</v>
      </c>
      <c r="AM67">
        <v>71</v>
      </c>
      <c r="AN67">
        <v>57</v>
      </c>
      <c r="AO67">
        <v>76</v>
      </c>
      <c r="AP67">
        <v>79</v>
      </c>
      <c r="AQ67">
        <v>1700</v>
      </c>
      <c r="AR67">
        <v>0.58823529411764697</v>
      </c>
      <c r="AS67">
        <f t="shared" ref="AS67:AS130" si="5">(AR67-AW67)/(AV67-AW67)</f>
        <v>0.17009602716365302</v>
      </c>
      <c r="AT67">
        <f t="shared" ref="AT67:AT130" si="6">AS67*0.0804</f>
        <v>1.3675720583957702E-2</v>
      </c>
      <c r="AU67">
        <f t="shared" ref="AU67:AU130" si="7">AT67*100</f>
        <v>1.3675720583957702</v>
      </c>
      <c r="AV67">
        <f t="shared" ref="AV67:AV130" si="8">MAX(AR:AR)</f>
        <v>3</v>
      </c>
      <c r="AW67">
        <f t="shared" ref="AW67:AW130" si="9">MIN(AR:AR)</f>
        <v>9.3923170846247697E-2</v>
      </c>
    </row>
    <row r="68" spans="1:49" x14ac:dyDescent="0.3">
      <c r="A68" t="s">
        <v>106</v>
      </c>
      <c r="B68" t="s">
        <v>105</v>
      </c>
      <c r="C68">
        <v>1</v>
      </c>
      <c r="D68" t="s">
        <v>12</v>
      </c>
      <c r="E68">
        <v>51</v>
      </c>
      <c r="F68">
        <v>35</v>
      </c>
      <c r="G68">
        <v>43</v>
      </c>
      <c r="H68">
        <v>39</v>
      </c>
      <c r="I68">
        <v>44</v>
      </c>
      <c r="J68">
        <v>53</v>
      </c>
      <c r="K68">
        <v>56</v>
      </c>
      <c r="L68">
        <v>65</v>
      </c>
      <c r="M68">
        <v>63</v>
      </c>
      <c r="N68">
        <v>73</v>
      </c>
      <c r="O68">
        <v>79</v>
      </c>
      <c r="P68">
        <v>81</v>
      </c>
      <c r="Q68">
        <v>101</v>
      </c>
      <c r="R68">
        <v>105</v>
      </c>
      <c r="S68">
        <v>108</v>
      </c>
      <c r="T68">
        <v>103</v>
      </c>
      <c r="U68">
        <v>104</v>
      </c>
      <c r="V68">
        <v>109</v>
      </c>
      <c r="W68">
        <v>119</v>
      </c>
      <c r="X68">
        <v>49</v>
      </c>
      <c r="Y68">
        <v>44</v>
      </c>
      <c r="Z68">
        <v>30</v>
      </c>
      <c r="AA68">
        <v>35</v>
      </c>
      <c r="AB68">
        <v>43</v>
      </c>
      <c r="AC68">
        <v>43</v>
      </c>
      <c r="AD68">
        <v>54</v>
      </c>
      <c r="AE68">
        <v>69</v>
      </c>
      <c r="AF68">
        <v>59</v>
      </c>
      <c r="AG68">
        <v>91</v>
      </c>
      <c r="AH68">
        <v>78</v>
      </c>
      <c r="AI68">
        <v>84</v>
      </c>
      <c r="AJ68">
        <v>82</v>
      </c>
      <c r="AK68">
        <v>107</v>
      </c>
      <c r="AL68">
        <v>99</v>
      </c>
      <c r="AM68">
        <v>95</v>
      </c>
      <c r="AN68">
        <v>81</v>
      </c>
      <c r="AO68">
        <v>106</v>
      </c>
      <c r="AP68">
        <v>121</v>
      </c>
      <c r="AQ68">
        <v>2801</v>
      </c>
      <c r="AR68">
        <v>0.35701535166012138</v>
      </c>
      <c r="AS68">
        <f t="shared" si="5"/>
        <v>9.0531736179351452E-2</v>
      </c>
      <c r="AT68">
        <f t="shared" si="6"/>
        <v>7.2787515888198566E-3</v>
      </c>
      <c r="AU68">
        <f t="shared" si="7"/>
        <v>0.72787515888198562</v>
      </c>
      <c r="AV68">
        <f t="shared" si="8"/>
        <v>3</v>
      </c>
      <c r="AW68">
        <f t="shared" si="9"/>
        <v>9.3923170846247697E-2</v>
      </c>
    </row>
    <row r="69" spans="1:49" x14ac:dyDescent="0.3">
      <c r="A69" t="s">
        <v>107</v>
      </c>
      <c r="B69" t="s">
        <v>105</v>
      </c>
      <c r="C69">
        <v>1</v>
      </c>
      <c r="D69" t="s">
        <v>12</v>
      </c>
      <c r="E69">
        <v>23</v>
      </c>
      <c r="F69">
        <v>23</v>
      </c>
      <c r="G69">
        <v>22</v>
      </c>
      <c r="H69">
        <v>22</v>
      </c>
      <c r="I69">
        <v>23</v>
      </c>
      <c r="J69">
        <v>24</v>
      </c>
      <c r="K69">
        <v>27</v>
      </c>
      <c r="L69">
        <v>36</v>
      </c>
      <c r="M69">
        <v>23</v>
      </c>
      <c r="N69">
        <v>43</v>
      </c>
      <c r="O69">
        <v>42</v>
      </c>
      <c r="P69">
        <v>46</v>
      </c>
      <c r="Q69">
        <v>33</v>
      </c>
      <c r="R69">
        <v>50</v>
      </c>
      <c r="S69">
        <v>44</v>
      </c>
      <c r="T69">
        <v>51</v>
      </c>
      <c r="U69">
        <v>41</v>
      </c>
      <c r="V69">
        <v>57</v>
      </c>
      <c r="W69">
        <v>62</v>
      </c>
      <c r="X69">
        <v>26</v>
      </c>
      <c r="Y69">
        <v>14</v>
      </c>
      <c r="Z69">
        <v>16</v>
      </c>
      <c r="AA69">
        <v>20</v>
      </c>
      <c r="AB69">
        <v>26</v>
      </c>
      <c r="AC69">
        <v>22</v>
      </c>
      <c r="AD69">
        <v>24</v>
      </c>
      <c r="AE69">
        <v>25</v>
      </c>
      <c r="AF69">
        <v>34</v>
      </c>
      <c r="AG69">
        <v>39</v>
      </c>
      <c r="AH69">
        <v>26</v>
      </c>
      <c r="AI69">
        <v>42</v>
      </c>
      <c r="AJ69">
        <v>28</v>
      </c>
      <c r="AK69">
        <v>38</v>
      </c>
      <c r="AL69">
        <v>37</v>
      </c>
      <c r="AM69">
        <v>46</v>
      </c>
      <c r="AN69">
        <v>35</v>
      </c>
      <c r="AO69">
        <v>29</v>
      </c>
      <c r="AP69">
        <v>50</v>
      </c>
      <c r="AQ69">
        <v>1269</v>
      </c>
      <c r="AR69">
        <v>0.78802206461780933</v>
      </c>
      <c r="AS69">
        <f t="shared" si="5"/>
        <v>0.2388439585658452</v>
      </c>
      <c r="AT69">
        <f t="shared" si="6"/>
        <v>1.9203054268693953E-2</v>
      </c>
      <c r="AU69">
        <f t="shared" si="7"/>
        <v>1.9203054268693953</v>
      </c>
      <c r="AV69">
        <f t="shared" si="8"/>
        <v>3</v>
      </c>
      <c r="AW69">
        <f t="shared" si="9"/>
        <v>9.3923170846247697E-2</v>
      </c>
    </row>
    <row r="70" spans="1:49" x14ac:dyDescent="0.3">
      <c r="A70" t="s">
        <v>108</v>
      </c>
      <c r="B70" t="s">
        <v>109</v>
      </c>
      <c r="C70">
        <v>6</v>
      </c>
      <c r="D70" t="s">
        <v>24</v>
      </c>
      <c r="E70">
        <v>27</v>
      </c>
      <c r="F70">
        <v>15</v>
      </c>
      <c r="G70">
        <v>19</v>
      </c>
      <c r="H70">
        <v>14</v>
      </c>
      <c r="I70">
        <v>21</v>
      </c>
      <c r="J70">
        <v>17</v>
      </c>
      <c r="K70">
        <v>13</v>
      </c>
      <c r="L70">
        <v>22</v>
      </c>
      <c r="M70">
        <v>33</v>
      </c>
      <c r="N70">
        <v>34</v>
      </c>
      <c r="O70">
        <v>27</v>
      </c>
      <c r="P70">
        <v>29</v>
      </c>
      <c r="Q70">
        <v>25</v>
      </c>
      <c r="R70">
        <v>36</v>
      </c>
      <c r="S70">
        <v>39</v>
      </c>
      <c r="T70">
        <v>45</v>
      </c>
      <c r="U70">
        <v>34</v>
      </c>
      <c r="V70">
        <v>51</v>
      </c>
      <c r="W70">
        <v>51</v>
      </c>
      <c r="X70">
        <v>15</v>
      </c>
      <c r="Y70">
        <v>12</v>
      </c>
      <c r="Z70">
        <v>16</v>
      </c>
      <c r="AA70">
        <v>14</v>
      </c>
      <c r="AB70">
        <v>16</v>
      </c>
      <c r="AC70">
        <v>14</v>
      </c>
      <c r="AD70">
        <v>28</v>
      </c>
      <c r="AE70">
        <v>26</v>
      </c>
      <c r="AF70">
        <v>14</v>
      </c>
      <c r="AG70">
        <v>26</v>
      </c>
      <c r="AH70">
        <v>25</v>
      </c>
      <c r="AI70">
        <v>23</v>
      </c>
      <c r="AJ70">
        <v>30</v>
      </c>
      <c r="AK70">
        <v>39</v>
      </c>
      <c r="AL70">
        <v>34</v>
      </c>
      <c r="AM70">
        <v>42</v>
      </c>
      <c r="AN70">
        <v>40</v>
      </c>
      <c r="AO70">
        <v>34</v>
      </c>
      <c r="AP70">
        <v>50</v>
      </c>
      <c r="AQ70">
        <v>1050</v>
      </c>
      <c r="AR70">
        <v>3</v>
      </c>
      <c r="AS70">
        <f t="shared" si="5"/>
        <v>1</v>
      </c>
      <c r="AT70">
        <f t="shared" si="6"/>
        <v>8.0399999999999999E-2</v>
      </c>
      <c r="AU70">
        <f t="shared" si="7"/>
        <v>8.0399999999999991</v>
      </c>
      <c r="AV70">
        <f t="shared" si="8"/>
        <v>3</v>
      </c>
      <c r="AW70">
        <f t="shared" si="9"/>
        <v>9.3923170846247697E-2</v>
      </c>
    </row>
    <row r="71" spans="1:49" x14ac:dyDescent="0.3">
      <c r="A71" t="s">
        <v>108</v>
      </c>
      <c r="B71" t="s">
        <v>97</v>
      </c>
      <c r="C71">
        <v>1</v>
      </c>
      <c r="D71" t="s">
        <v>24</v>
      </c>
      <c r="E71">
        <v>93</v>
      </c>
      <c r="F71">
        <v>64</v>
      </c>
      <c r="G71">
        <v>63</v>
      </c>
      <c r="H71">
        <v>69</v>
      </c>
      <c r="I71">
        <v>76</v>
      </c>
      <c r="J71">
        <v>85</v>
      </c>
      <c r="K71">
        <v>72</v>
      </c>
      <c r="L71">
        <v>95</v>
      </c>
      <c r="M71">
        <v>90</v>
      </c>
      <c r="N71">
        <v>85</v>
      </c>
      <c r="O71">
        <v>107</v>
      </c>
      <c r="P71">
        <v>108</v>
      </c>
      <c r="Q71">
        <v>103</v>
      </c>
      <c r="R71">
        <v>98</v>
      </c>
      <c r="S71">
        <v>96</v>
      </c>
      <c r="T71">
        <v>95</v>
      </c>
      <c r="U71">
        <v>101</v>
      </c>
      <c r="V71">
        <v>112</v>
      </c>
      <c r="W71">
        <v>126</v>
      </c>
      <c r="X71">
        <v>72</v>
      </c>
      <c r="Y71">
        <v>60</v>
      </c>
      <c r="Z71">
        <v>56</v>
      </c>
      <c r="AA71">
        <v>53</v>
      </c>
      <c r="AB71">
        <v>57</v>
      </c>
      <c r="AC71">
        <v>52</v>
      </c>
      <c r="AD71">
        <v>75</v>
      </c>
      <c r="AE71">
        <v>85</v>
      </c>
      <c r="AF71">
        <v>86</v>
      </c>
      <c r="AG71">
        <v>93</v>
      </c>
      <c r="AH71">
        <v>100</v>
      </c>
      <c r="AI71">
        <v>95</v>
      </c>
      <c r="AJ71">
        <v>81</v>
      </c>
      <c r="AK71">
        <v>104</v>
      </c>
      <c r="AL71">
        <v>117</v>
      </c>
      <c r="AM71">
        <v>96</v>
      </c>
      <c r="AN71">
        <v>101</v>
      </c>
      <c r="AO71">
        <v>123</v>
      </c>
      <c r="AP71">
        <v>115</v>
      </c>
      <c r="AQ71">
        <v>3359</v>
      </c>
      <c r="AR71">
        <v>0.29770765108663289</v>
      </c>
      <c r="AS71">
        <f t="shared" si="5"/>
        <v>7.0123569410147732E-2</v>
      </c>
      <c r="AT71">
        <f t="shared" si="6"/>
        <v>5.6379349805758773E-3</v>
      </c>
      <c r="AU71">
        <f t="shared" si="7"/>
        <v>0.56379349805758772</v>
      </c>
      <c r="AV71">
        <f t="shared" si="8"/>
        <v>3</v>
      </c>
      <c r="AW71">
        <f t="shared" si="9"/>
        <v>9.3923170846247697E-2</v>
      </c>
    </row>
    <row r="72" spans="1:49" x14ac:dyDescent="0.3">
      <c r="A72" t="s">
        <v>110</v>
      </c>
      <c r="B72" t="s">
        <v>111</v>
      </c>
      <c r="C72">
        <v>2</v>
      </c>
      <c r="D72" t="s">
        <v>24</v>
      </c>
      <c r="E72">
        <v>150</v>
      </c>
      <c r="F72">
        <v>98</v>
      </c>
      <c r="G72">
        <v>92</v>
      </c>
      <c r="H72">
        <v>98</v>
      </c>
      <c r="I72">
        <v>105</v>
      </c>
      <c r="J72">
        <v>105</v>
      </c>
      <c r="K72">
        <v>110</v>
      </c>
      <c r="L72">
        <v>107</v>
      </c>
      <c r="M72">
        <v>101</v>
      </c>
      <c r="N72">
        <v>117</v>
      </c>
      <c r="O72">
        <v>86</v>
      </c>
      <c r="P72">
        <v>51</v>
      </c>
      <c r="Q72">
        <v>53</v>
      </c>
      <c r="R72">
        <v>59</v>
      </c>
      <c r="S72">
        <v>65</v>
      </c>
      <c r="T72">
        <v>52</v>
      </c>
      <c r="U72">
        <v>52</v>
      </c>
      <c r="V72">
        <v>56</v>
      </c>
      <c r="W72">
        <v>58</v>
      </c>
      <c r="X72">
        <v>112</v>
      </c>
      <c r="Y72">
        <v>135</v>
      </c>
      <c r="Z72">
        <v>104</v>
      </c>
      <c r="AA72">
        <v>122</v>
      </c>
      <c r="AB72">
        <v>117</v>
      </c>
      <c r="AC72">
        <v>103</v>
      </c>
      <c r="AD72">
        <v>123</v>
      </c>
      <c r="AE72">
        <v>105</v>
      </c>
      <c r="AF72">
        <v>85</v>
      </c>
      <c r="AG72">
        <v>86</v>
      </c>
      <c r="AH72">
        <v>89</v>
      </c>
      <c r="AI72">
        <v>60</v>
      </c>
      <c r="AJ72">
        <v>68</v>
      </c>
      <c r="AK72">
        <v>55</v>
      </c>
      <c r="AL72">
        <v>60</v>
      </c>
      <c r="AM72">
        <v>49</v>
      </c>
      <c r="AN72">
        <v>37</v>
      </c>
      <c r="AO72">
        <v>59</v>
      </c>
      <c r="AP72">
        <v>53</v>
      </c>
      <c r="AQ72">
        <v>3237</v>
      </c>
      <c r="AR72">
        <v>0.61785603954278656</v>
      </c>
      <c r="AS72">
        <f t="shared" si="5"/>
        <v>0.1802887189493568</v>
      </c>
      <c r="AT72">
        <f t="shared" si="6"/>
        <v>1.4495213003528287E-2</v>
      </c>
      <c r="AU72">
        <f t="shared" si="7"/>
        <v>1.4495213003528287</v>
      </c>
      <c r="AV72">
        <f t="shared" si="8"/>
        <v>3</v>
      </c>
      <c r="AW72">
        <f t="shared" si="9"/>
        <v>9.3923170846247697E-2</v>
      </c>
    </row>
    <row r="73" spans="1:49" x14ac:dyDescent="0.3">
      <c r="A73" t="s">
        <v>112</v>
      </c>
      <c r="B73" t="s">
        <v>111</v>
      </c>
      <c r="C73">
        <v>1</v>
      </c>
      <c r="D73" t="s">
        <v>24</v>
      </c>
      <c r="E73">
        <v>52</v>
      </c>
      <c r="F73">
        <v>45</v>
      </c>
      <c r="G73">
        <v>37</v>
      </c>
      <c r="H73">
        <v>41</v>
      </c>
      <c r="I73">
        <v>34</v>
      </c>
      <c r="J73">
        <v>35</v>
      </c>
      <c r="K73">
        <v>40</v>
      </c>
      <c r="L73">
        <v>40</v>
      </c>
      <c r="M73">
        <v>52</v>
      </c>
      <c r="N73">
        <v>58</v>
      </c>
      <c r="O73">
        <v>57</v>
      </c>
      <c r="P73">
        <v>64</v>
      </c>
      <c r="Q73">
        <v>70</v>
      </c>
      <c r="R73">
        <v>63</v>
      </c>
      <c r="S73">
        <v>78</v>
      </c>
      <c r="T73">
        <v>78</v>
      </c>
      <c r="U73">
        <v>76</v>
      </c>
      <c r="V73">
        <v>91</v>
      </c>
      <c r="W73">
        <v>94</v>
      </c>
      <c r="X73">
        <v>48</v>
      </c>
      <c r="Y73">
        <v>33</v>
      </c>
      <c r="Z73">
        <v>33</v>
      </c>
      <c r="AA73">
        <v>38</v>
      </c>
      <c r="AB73">
        <v>43</v>
      </c>
      <c r="AC73">
        <v>46</v>
      </c>
      <c r="AD73">
        <v>48</v>
      </c>
      <c r="AE73">
        <v>48</v>
      </c>
      <c r="AF73">
        <v>50</v>
      </c>
      <c r="AG73">
        <v>52</v>
      </c>
      <c r="AH73">
        <v>68</v>
      </c>
      <c r="AI73">
        <v>64</v>
      </c>
      <c r="AJ73">
        <v>52</v>
      </c>
      <c r="AK73">
        <v>66</v>
      </c>
      <c r="AL73">
        <v>77</v>
      </c>
      <c r="AM73">
        <v>71</v>
      </c>
      <c r="AN73">
        <v>85</v>
      </c>
      <c r="AO73">
        <v>84</v>
      </c>
      <c r="AP73">
        <v>91</v>
      </c>
      <c r="AQ73">
        <v>2202</v>
      </c>
      <c r="AR73">
        <v>0.45413260672116251</v>
      </c>
      <c r="AS73">
        <f t="shared" si="5"/>
        <v>0.12395041736725439</v>
      </c>
      <c r="AT73">
        <f t="shared" si="6"/>
        <v>9.9656135563272533E-3</v>
      </c>
      <c r="AU73">
        <f t="shared" si="7"/>
        <v>0.9965613556327253</v>
      </c>
      <c r="AV73">
        <f t="shared" si="8"/>
        <v>3</v>
      </c>
      <c r="AW73">
        <f t="shared" si="9"/>
        <v>9.3923170846247697E-2</v>
      </c>
    </row>
    <row r="74" spans="1:49" x14ac:dyDescent="0.3">
      <c r="A74" t="s">
        <v>113</v>
      </c>
      <c r="B74" t="s">
        <v>114</v>
      </c>
      <c r="C74">
        <v>1</v>
      </c>
      <c r="D74" t="s">
        <v>17</v>
      </c>
      <c r="E74">
        <v>1</v>
      </c>
      <c r="F74">
        <v>0</v>
      </c>
      <c r="G74">
        <v>0</v>
      </c>
      <c r="H74">
        <v>1</v>
      </c>
      <c r="I74">
        <v>1</v>
      </c>
      <c r="J74">
        <v>2</v>
      </c>
      <c r="K74">
        <v>6</v>
      </c>
      <c r="L74">
        <v>6</v>
      </c>
      <c r="M74">
        <v>1</v>
      </c>
      <c r="N74">
        <v>4</v>
      </c>
      <c r="O74">
        <v>2</v>
      </c>
      <c r="P74">
        <v>3</v>
      </c>
      <c r="Q74">
        <v>0</v>
      </c>
      <c r="R74">
        <v>6</v>
      </c>
      <c r="S74">
        <v>2</v>
      </c>
      <c r="T74">
        <v>8</v>
      </c>
      <c r="U74">
        <v>5</v>
      </c>
      <c r="V74">
        <v>5</v>
      </c>
      <c r="W74">
        <v>8</v>
      </c>
      <c r="X74">
        <v>1</v>
      </c>
      <c r="Y74">
        <v>2</v>
      </c>
      <c r="Z74">
        <v>0</v>
      </c>
      <c r="AA74">
        <v>1</v>
      </c>
      <c r="AB74">
        <v>0</v>
      </c>
      <c r="AC74">
        <v>2</v>
      </c>
      <c r="AD74">
        <v>4</v>
      </c>
      <c r="AE74">
        <v>6</v>
      </c>
      <c r="AF74">
        <v>2</v>
      </c>
      <c r="AG74">
        <v>3</v>
      </c>
      <c r="AH74">
        <v>3</v>
      </c>
      <c r="AI74">
        <v>1</v>
      </c>
      <c r="AJ74">
        <v>4</v>
      </c>
      <c r="AK74">
        <v>2</v>
      </c>
      <c r="AL74">
        <v>3</v>
      </c>
      <c r="AM74">
        <v>5</v>
      </c>
      <c r="AN74">
        <v>3</v>
      </c>
      <c r="AO74">
        <v>4</v>
      </c>
      <c r="AP74">
        <v>9</v>
      </c>
      <c r="AQ74">
        <v>116</v>
      </c>
      <c r="AR74">
        <v>3</v>
      </c>
      <c r="AS74">
        <f t="shared" si="5"/>
        <v>1</v>
      </c>
      <c r="AT74">
        <f t="shared" si="6"/>
        <v>8.0399999999999999E-2</v>
      </c>
      <c r="AU74">
        <f t="shared" si="7"/>
        <v>8.0399999999999991</v>
      </c>
      <c r="AV74">
        <f t="shared" si="8"/>
        <v>3</v>
      </c>
      <c r="AW74">
        <f t="shared" si="9"/>
        <v>9.3923170846247697E-2</v>
      </c>
    </row>
    <row r="75" spans="1:49" x14ac:dyDescent="0.3">
      <c r="A75" t="s">
        <v>115</v>
      </c>
      <c r="B75" t="s">
        <v>116</v>
      </c>
      <c r="C75">
        <v>1</v>
      </c>
      <c r="D75" t="s">
        <v>12</v>
      </c>
      <c r="E75">
        <v>116</v>
      </c>
      <c r="F75">
        <v>46</v>
      </c>
      <c r="G75">
        <v>48</v>
      </c>
      <c r="H75">
        <v>79</v>
      </c>
      <c r="I75">
        <v>75</v>
      </c>
      <c r="J75">
        <v>60</v>
      </c>
      <c r="K75">
        <v>70</v>
      </c>
      <c r="L75">
        <v>58</v>
      </c>
      <c r="M75">
        <v>60</v>
      </c>
      <c r="N75">
        <v>67</v>
      </c>
      <c r="O75">
        <v>67</v>
      </c>
      <c r="P75">
        <v>63</v>
      </c>
      <c r="Q75">
        <v>55</v>
      </c>
      <c r="R75">
        <v>53</v>
      </c>
      <c r="S75">
        <v>54</v>
      </c>
      <c r="T75">
        <v>43</v>
      </c>
      <c r="U75">
        <v>68</v>
      </c>
      <c r="V75">
        <v>55</v>
      </c>
      <c r="W75">
        <v>68</v>
      </c>
      <c r="X75">
        <v>79</v>
      </c>
      <c r="Y75">
        <v>73</v>
      </c>
      <c r="Z75">
        <v>68</v>
      </c>
      <c r="AA75">
        <v>41</v>
      </c>
      <c r="AB75">
        <v>77</v>
      </c>
      <c r="AC75">
        <v>52</v>
      </c>
      <c r="AD75">
        <v>67</v>
      </c>
      <c r="AE75">
        <v>68</v>
      </c>
      <c r="AF75">
        <v>62</v>
      </c>
      <c r="AG75">
        <v>59</v>
      </c>
      <c r="AH75">
        <v>61</v>
      </c>
      <c r="AI75">
        <v>60</v>
      </c>
      <c r="AJ75">
        <v>48</v>
      </c>
      <c r="AK75">
        <v>60</v>
      </c>
      <c r="AL75">
        <v>44</v>
      </c>
      <c r="AM75">
        <v>45</v>
      </c>
      <c r="AN75">
        <v>40</v>
      </c>
      <c r="AO75">
        <v>68</v>
      </c>
      <c r="AP75">
        <v>64</v>
      </c>
      <c r="AQ75">
        <v>2341</v>
      </c>
      <c r="AR75">
        <v>0.42716787697565139</v>
      </c>
      <c r="AS75">
        <f t="shared" si="5"/>
        <v>0.11467167790826932</v>
      </c>
      <c r="AT75">
        <f t="shared" si="6"/>
        <v>9.2196029038248539E-3</v>
      </c>
      <c r="AU75">
        <f t="shared" si="7"/>
        <v>0.92196029038248539</v>
      </c>
      <c r="AV75">
        <f t="shared" si="8"/>
        <v>3</v>
      </c>
      <c r="AW75">
        <f t="shared" si="9"/>
        <v>9.3923170846247697E-2</v>
      </c>
    </row>
    <row r="76" spans="1:49" x14ac:dyDescent="0.3">
      <c r="A76" t="s">
        <v>117</v>
      </c>
      <c r="B76" t="s">
        <v>89</v>
      </c>
      <c r="C76">
        <v>1</v>
      </c>
      <c r="D76" t="s">
        <v>24</v>
      </c>
      <c r="E76">
        <v>48</v>
      </c>
      <c r="F76">
        <v>34</v>
      </c>
      <c r="G76">
        <v>34</v>
      </c>
      <c r="H76">
        <v>37</v>
      </c>
      <c r="I76">
        <v>48</v>
      </c>
      <c r="J76">
        <v>46</v>
      </c>
      <c r="K76">
        <v>45</v>
      </c>
      <c r="L76">
        <v>60</v>
      </c>
      <c r="M76">
        <v>69</v>
      </c>
      <c r="N76">
        <v>94</v>
      </c>
      <c r="O76">
        <v>73</v>
      </c>
      <c r="P76">
        <v>90</v>
      </c>
      <c r="Q76">
        <v>75</v>
      </c>
      <c r="R76">
        <v>93</v>
      </c>
      <c r="S76">
        <v>93</v>
      </c>
      <c r="T76">
        <v>117</v>
      </c>
      <c r="U76">
        <v>106</v>
      </c>
      <c r="V76">
        <v>82</v>
      </c>
      <c r="W76">
        <v>104</v>
      </c>
      <c r="X76">
        <v>58</v>
      </c>
      <c r="Y76">
        <v>35</v>
      </c>
      <c r="Z76">
        <v>25</v>
      </c>
      <c r="AA76">
        <v>38</v>
      </c>
      <c r="AB76">
        <v>51</v>
      </c>
      <c r="AC76">
        <v>49</v>
      </c>
      <c r="AD76">
        <v>42</v>
      </c>
      <c r="AE76">
        <v>54</v>
      </c>
      <c r="AF76">
        <v>69</v>
      </c>
      <c r="AG76">
        <v>83</v>
      </c>
      <c r="AH76">
        <v>83</v>
      </c>
      <c r="AI76">
        <v>81</v>
      </c>
      <c r="AJ76">
        <v>86</v>
      </c>
      <c r="AK76">
        <v>84</v>
      </c>
      <c r="AL76">
        <v>99</v>
      </c>
      <c r="AM76">
        <v>130</v>
      </c>
      <c r="AN76">
        <v>99</v>
      </c>
      <c r="AO76">
        <v>94</v>
      </c>
      <c r="AP76">
        <v>112</v>
      </c>
      <c r="AQ76">
        <v>2720</v>
      </c>
      <c r="AR76">
        <v>0.36764705882352938</v>
      </c>
      <c r="AS76">
        <f t="shared" si="5"/>
        <v>9.4190175989596905E-2</v>
      </c>
      <c r="AT76">
        <f t="shared" si="6"/>
        <v>7.5728901495635912E-3</v>
      </c>
      <c r="AU76">
        <f t="shared" si="7"/>
        <v>0.75728901495635914</v>
      </c>
      <c r="AV76">
        <f t="shared" si="8"/>
        <v>3</v>
      </c>
      <c r="AW76">
        <f t="shared" si="9"/>
        <v>9.3923170846247697E-2</v>
      </c>
    </row>
    <row r="77" spans="1:49" x14ac:dyDescent="0.3">
      <c r="A77" t="s">
        <v>118</v>
      </c>
      <c r="B77" t="s">
        <v>39</v>
      </c>
      <c r="C77">
        <v>4</v>
      </c>
      <c r="D77" t="s">
        <v>12</v>
      </c>
      <c r="E77">
        <v>133</v>
      </c>
      <c r="F77">
        <v>116</v>
      </c>
      <c r="G77">
        <v>98</v>
      </c>
      <c r="H77">
        <v>110</v>
      </c>
      <c r="I77">
        <v>104</v>
      </c>
      <c r="J77">
        <v>95</v>
      </c>
      <c r="K77">
        <v>104</v>
      </c>
      <c r="L77">
        <v>109</v>
      </c>
      <c r="M77">
        <v>108</v>
      </c>
      <c r="N77">
        <v>135</v>
      </c>
      <c r="O77">
        <v>127</v>
      </c>
      <c r="P77">
        <v>130</v>
      </c>
      <c r="Q77">
        <v>119</v>
      </c>
      <c r="R77">
        <v>148</v>
      </c>
      <c r="S77">
        <v>142</v>
      </c>
      <c r="T77">
        <v>153</v>
      </c>
      <c r="U77">
        <v>132</v>
      </c>
      <c r="V77">
        <v>139</v>
      </c>
      <c r="W77">
        <v>151</v>
      </c>
      <c r="X77">
        <v>111</v>
      </c>
      <c r="Y77">
        <v>120</v>
      </c>
      <c r="Z77">
        <v>108</v>
      </c>
      <c r="AA77">
        <v>105</v>
      </c>
      <c r="AB77">
        <v>112</v>
      </c>
      <c r="AC77">
        <v>85</v>
      </c>
      <c r="AD77">
        <v>86</v>
      </c>
      <c r="AE77">
        <v>100</v>
      </c>
      <c r="AF77">
        <v>100</v>
      </c>
      <c r="AG77">
        <v>91</v>
      </c>
      <c r="AH77">
        <v>109</v>
      </c>
      <c r="AI77">
        <v>119</v>
      </c>
      <c r="AJ77">
        <v>106</v>
      </c>
      <c r="AK77">
        <v>130</v>
      </c>
      <c r="AL77">
        <v>127</v>
      </c>
      <c r="AM77">
        <v>131</v>
      </c>
      <c r="AN77">
        <v>141</v>
      </c>
      <c r="AO77">
        <v>140</v>
      </c>
      <c r="AP77">
        <v>152</v>
      </c>
      <c r="AQ77">
        <v>4526</v>
      </c>
      <c r="AR77">
        <v>0.88378258948298727</v>
      </c>
      <c r="AS77">
        <f t="shared" si="5"/>
        <v>0.27179578004024968</v>
      </c>
      <c r="AT77">
        <f t="shared" si="6"/>
        <v>2.1852380715236073E-2</v>
      </c>
      <c r="AU77">
        <f t="shared" si="7"/>
        <v>2.1852380715236075</v>
      </c>
      <c r="AV77">
        <f t="shared" si="8"/>
        <v>3</v>
      </c>
      <c r="AW77">
        <f t="shared" si="9"/>
        <v>9.3923170846247697E-2</v>
      </c>
    </row>
    <row r="78" spans="1:49" x14ac:dyDescent="0.3">
      <c r="A78" t="s">
        <v>119</v>
      </c>
      <c r="B78" t="s">
        <v>41</v>
      </c>
      <c r="C78">
        <v>1</v>
      </c>
      <c r="D78" t="s">
        <v>17</v>
      </c>
      <c r="E78">
        <v>8</v>
      </c>
      <c r="F78">
        <v>10</v>
      </c>
      <c r="G78">
        <v>7</v>
      </c>
      <c r="H78">
        <v>12</v>
      </c>
      <c r="I78">
        <v>13</v>
      </c>
      <c r="J78">
        <v>12</v>
      </c>
      <c r="K78">
        <v>8</v>
      </c>
      <c r="L78">
        <v>13</v>
      </c>
      <c r="M78">
        <v>13</v>
      </c>
      <c r="N78">
        <v>16</v>
      </c>
      <c r="O78">
        <v>14</v>
      </c>
      <c r="P78">
        <v>17</v>
      </c>
      <c r="Q78">
        <v>14</v>
      </c>
      <c r="R78">
        <v>18</v>
      </c>
      <c r="S78">
        <v>20</v>
      </c>
      <c r="T78">
        <v>29</v>
      </c>
      <c r="U78">
        <v>21</v>
      </c>
      <c r="V78">
        <v>25</v>
      </c>
      <c r="W78">
        <v>25</v>
      </c>
      <c r="X78">
        <v>7</v>
      </c>
      <c r="Y78">
        <v>9</v>
      </c>
      <c r="Z78">
        <v>12</v>
      </c>
      <c r="AA78">
        <v>14</v>
      </c>
      <c r="AB78">
        <v>9</v>
      </c>
      <c r="AC78">
        <v>5</v>
      </c>
      <c r="AD78">
        <v>10</v>
      </c>
      <c r="AE78">
        <v>9</v>
      </c>
      <c r="AF78">
        <v>8</v>
      </c>
      <c r="AG78">
        <v>10</v>
      </c>
      <c r="AH78">
        <v>18</v>
      </c>
      <c r="AI78">
        <v>15</v>
      </c>
      <c r="AJ78">
        <v>17</v>
      </c>
      <c r="AK78">
        <v>16</v>
      </c>
      <c r="AL78">
        <v>21</v>
      </c>
      <c r="AM78">
        <v>21</v>
      </c>
      <c r="AN78">
        <v>14</v>
      </c>
      <c r="AO78">
        <v>19</v>
      </c>
      <c r="AP78">
        <v>21</v>
      </c>
      <c r="AQ78">
        <v>550</v>
      </c>
      <c r="AR78">
        <v>1.8181818181818179</v>
      </c>
      <c r="AS78">
        <f t="shared" si="5"/>
        <v>0.59332865189172335</v>
      </c>
      <c r="AT78">
        <f t="shared" si="6"/>
        <v>4.7703623612094556E-2</v>
      </c>
      <c r="AU78">
        <f t="shared" si="7"/>
        <v>4.7703623612094557</v>
      </c>
      <c r="AV78">
        <f t="shared" si="8"/>
        <v>3</v>
      </c>
      <c r="AW78">
        <f t="shared" si="9"/>
        <v>9.3923170846247697E-2</v>
      </c>
    </row>
    <row r="79" spans="1:49" x14ac:dyDescent="0.3">
      <c r="A79" t="s">
        <v>120</v>
      </c>
      <c r="B79" t="s">
        <v>121</v>
      </c>
      <c r="C79">
        <v>1</v>
      </c>
      <c r="D79" t="s">
        <v>12</v>
      </c>
      <c r="E79">
        <v>102</v>
      </c>
      <c r="F79">
        <v>94</v>
      </c>
      <c r="G79">
        <v>89</v>
      </c>
      <c r="H79">
        <v>102</v>
      </c>
      <c r="I79">
        <v>114</v>
      </c>
      <c r="J79">
        <v>136</v>
      </c>
      <c r="K79">
        <v>151</v>
      </c>
      <c r="L79">
        <v>167</v>
      </c>
      <c r="M79">
        <v>179</v>
      </c>
      <c r="N79">
        <v>211</v>
      </c>
      <c r="O79">
        <v>259</v>
      </c>
      <c r="P79">
        <v>244</v>
      </c>
      <c r="Q79">
        <v>277</v>
      </c>
      <c r="R79">
        <v>271</v>
      </c>
      <c r="S79">
        <v>274</v>
      </c>
      <c r="T79">
        <v>266</v>
      </c>
      <c r="U79">
        <v>251</v>
      </c>
      <c r="V79">
        <v>232</v>
      </c>
      <c r="W79">
        <v>249</v>
      </c>
      <c r="X79">
        <v>91</v>
      </c>
      <c r="Y79">
        <v>78</v>
      </c>
      <c r="Z79">
        <v>94</v>
      </c>
      <c r="AA79">
        <v>120</v>
      </c>
      <c r="AB79">
        <v>102</v>
      </c>
      <c r="AC79">
        <v>139</v>
      </c>
      <c r="AD79">
        <v>154</v>
      </c>
      <c r="AE79">
        <v>153</v>
      </c>
      <c r="AF79">
        <v>165</v>
      </c>
      <c r="AG79">
        <v>191</v>
      </c>
      <c r="AH79">
        <v>276</v>
      </c>
      <c r="AI79">
        <v>229</v>
      </c>
      <c r="AJ79">
        <v>269</v>
      </c>
      <c r="AK79">
        <v>322</v>
      </c>
      <c r="AL79">
        <v>302</v>
      </c>
      <c r="AM79">
        <v>265</v>
      </c>
      <c r="AN79">
        <v>237</v>
      </c>
      <c r="AO79">
        <v>239</v>
      </c>
      <c r="AP79">
        <v>254</v>
      </c>
      <c r="AQ79">
        <v>7348</v>
      </c>
      <c r="AR79">
        <v>0.13609145345672291</v>
      </c>
      <c r="AS79">
        <f t="shared" si="5"/>
        <v>1.4510381207903092E-2</v>
      </c>
      <c r="AT79">
        <f t="shared" si="6"/>
        <v>1.1666346491154085E-3</v>
      </c>
      <c r="AU79">
        <f t="shared" si="7"/>
        <v>0.11666346491154085</v>
      </c>
      <c r="AV79">
        <f t="shared" si="8"/>
        <v>3</v>
      </c>
      <c r="AW79">
        <f t="shared" si="9"/>
        <v>9.3923170846247697E-2</v>
      </c>
    </row>
    <row r="80" spans="1:49" x14ac:dyDescent="0.3">
      <c r="A80" t="s">
        <v>122</v>
      </c>
      <c r="B80" t="s">
        <v>91</v>
      </c>
      <c r="C80">
        <v>2</v>
      </c>
      <c r="D80" t="s">
        <v>24</v>
      </c>
      <c r="E80">
        <v>141</v>
      </c>
      <c r="F80">
        <v>138</v>
      </c>
      <c r="G80">
        <v>148</v>
      </c>
      <c r="H80">
        <v>168</v>
      </c>
      <c r="I80">
        <v>197</v>
      </c>
      <c r="J80">
        <v>214</v>
      </c>
      <c r="K80">
        <v>206</v>
      </c>
      <c r="L80">
        <v>260</v>
      </c>
      <c r="M80">
        <v>226</v>
      </c>
      <c r="N80">
        <v>277</v>
      </c>
      <c r="O80">
        <v>302</v>
      </c>
      <c r="P80">
        <v>279</v>
      </c>
      <c r="Q80">
        <v>275</v>
      </c>
      <c r="R80">
        <v>311</v>
      </c>
      <c r="S80">
        <v>319</v>
      </c>
      <c r="T80">
        <v>312</v>
      </c>
      <c r="U80">
        <v>287</v>
      </c>
      <c r="V80">
        <v>287</v>
      </c>
      <c r="W80">
        <v>307</v>
      </c>
      <c r="X80">
        <v>124</v>
      </c>
      <c r="Y80">
        <v>156</v>
      </c>
      <c r="Z80">
        <v>135</v>
      </c>
      <c r="AA80">
        <v>160</v>
      </c>
      <c r="AB80">
        <v>167</v>
      </c>
      <c r="AC80">
        <v>169</v>
      </c>
      <c r="AD80">
        <v>199</v>
      </c>
      <c r="AE80">
        <v>223</v>
      </c>
      <c r="AF80">
        <v>214</v>
      </c>
      <c r="AG80">
        <v>293</v>
      </c>
      <c r="AH80">
        <v>305</v>
      </c>
      <c r="AI80">
        <v>298</v>
      </c>
      <c r="AJ80">
        <v>285</v>
      </c>
      <c r="AK80">
        <v>330</v>
      </c>
      <c r="AL80">
        <v>314</v>
      </c>
      <c r="AM80">
        <v>277</v>
      </c>
      <c r="AN80">
        <v>255</v>
      </c>
      <c r="AO80">
        <v>324</v>
      </c>
      <c r="AP80">
        <v>272</v>
      </c>
      <c r="AQ80">
        <v>9154</v>
      </c>
      <c r="AR80">
        <v>0.21848372296263921</v>
      </c>
      <c r="AS80">
        <f t="shared" si="5"/>
        <v>4.2862098781009675E-2</v>
      </c>
      <c r="AT80">
        <f t="shared" si="6"/>
        <v>3.4461127419931777E-3</v>
      </c>
      <c r="AU80">
        <f t="shared" si="7"/>
        <v>0.34461127419931775</v>
      </c>
      <c r="AV80">
        <f t="shared" si="8"/>
        <v>3</v>
      </c>
      <c r="AW80">
        <f t="shared" si="9"/>
        <v>9.3923170846247697E-2</v>
      </c>
    </row>
    <row r="81" spans="1:49" x14ac:dyDescent="0.3">
      <c r="A81" t="s">
        <v>123</v>
      </c>
      <c r="B81" t="s">
        <v>124</v>
      </c>
      <c r="C81">
        <v>2</v>
      </c>
      <c r="D81" t="s">
        <v>12</v>
      </c>
      <c r="E81">
        <v>22</v>
      </c>
      <c r="F81">
        <v>22</v>
      </c>
      <c r="G81">
        <v>21</v>
      </c>
      <c r="H81">
        <v>15</v>
      </c>
      <c r="I81">
        <v>29</v>
      </c>
      <c r="J81">
        <v>32</v>
      </c>
      <c r="K81">
        <v>35</v>
      </c>
      <c r="L81">
        <v>36</v>
      </c>
      <c r="M81">
        <v>43</v>
      </c>
      <c r="N81">
        <v>42</v>
      </c>
      <c r="O81">
        <v>51</v>
      </c>
      <c r="P81">
        <v>55</v>
      </c>
      <c r="Q81">
        <v>66</v>
      </c>
      <c r="R81">
        <v>56</v>
      </c>
      <c r="S81">
        <v>67</v>
      </c>
      <c r="T81">
        <v>85</v>
      </c>
      <c r="U81">
        <v>92</v>
      </c>
      <c r="V81">
        <v>87</v>
      </c>
      <c r="W81">
        <v>91</v>
      </c>
      <c r="X81">
        <v>32</v>
      </c>
      <c r="Y81">
        <v>38</v>
      </c>
      <c r="Z81">
        <v>29</v>
      </c>
      <c r="AA81">
        <v>25</v>
      </c>
      <c r="AB81">
        <v>41</v>
      </c>
      <c r="AC81">
        <v>31</v>
      </c>
      <c r="AD81">
        <v>30</v>
      </c>
      <c r="AE81">
        <v>32</v>
      </c>
      <c r="AF81">
        <v>35</v>
      </c>
      <c r="AG81">
        <v>50</v>
      </c>
      <c r="AH81">
        <v>57</v>
      </c>
      <c r="AI81">
        <v>51</v>
      </c>
      <c r="AJ81">
        <v>73</v>
      </c>
      <c r="AK81">
        <v>58</v>
      </c>
      <c r="AL81">
        <v>72</v>
      </c>
      <c r="AM81">
        <v>65</v>
      </c>
      <c r="AN81">
        <v>66</v>
      </c>
      <c r="AO81">
        <v>73</v>
      </c>
      <c r="AP81">
        <v>72</v>
      </c>
      <c r="AQ81">
        <v>1877</v>
      </c>
      <c r="AR81">
        <v>1.06553010122536</v>
      </c>
      <c r="AS81">
        <f t="shared" si="5"/>
        <v>0.33433628479190741</v>
      </c>
      <c r="AT81">
        <f t="shared" si="6"/>
        <v>2.6880637297269357E-2</v>
      </c>
      <c r="AU81">
        <f t="shared" si="7"/>
        <v>2.6880637297269359</v>
      </c>
      <c r="AV81">
        <f t="shared" si="8"/>
        <v>3</v>
      </c>
      <c r="AW81">
        <f t="shared" si="9"/>
        <v>9.3923170846247697E-2</v>
      </c>
    </row>
    <row r="82" spans="1:49" x14ac:dyDescent="0.3">
      <c r="A82" t="s">
        <v>125</v>
      </c>
      <c r="B82" t="s">
        <v>124</v>
      </c>
      <c r="C82">
        <v>2</v>
      </c>
      <c r="D82" t="s">
        <v>12</v>
      </c>
      <c r="E82">
        <v>40</v>
      </c>
      <c r="F82">
        <v>29</v>
      </c>
      <c r="G82">
        <v>25</v>
      </c>
      <c r="H82">
        <v>31</v>
      </c>
      <c r="I82">
        <v>25</v>
      </c>
      <c r="J82">
        <v>26</v>
      </c>
      <c r="K82">
        <v>35</v>
      </c>
      <c r="L82">
        <v>29</v>
      </c>
      <c r="M82">
        <v>48</v>
      </c>
      <c r="N82">
        <v>40</v>
      </c>
      <c r="O82">
        <v>53</v>
      </c>
      <c r="P82">
        <v>66</v>
      </c>
      <c r="Q82">
        <v>59</v>
      </c>
      <c r="R82">
        <v>75</v>
      </c>
      <c r="S82">
        <v>71</v>
      </c>
      <c r="T82">
        <v>62</v>
      </c>
      <c r="U82">
        <v>63</v>
      </c>
      <c r="V82">
        <v>69</v>
      </c>
      <c r="W82">
        <v>81</v>
      </c>
      <c r="X82">
        <v>29</v>
      </c>
      <c r="Y82">
        <v>33</v>
      </c>
      <c r="Z82">
        <v>28</v>
      </c>
      <c r="AA82">
        <v>29</v>
      </c>
      <c r="AB82">
        <v>44</v>
      </c>
      <c r="AC82">
        <v>34</v>
      </c>
      <c r="AD82">
        <v>38</v>
      </c>
      <c r="AE82">
        <v>32</v>
      </c>
      <c r="AF82">
        <v>52</v>
      </c>
      <c r="AG82">
        <v>43</v>
      </c>
      <c r="AH82">
        <v>59</v>
      </c>
      <c r="AI82">
        <v>62</v>
      </c>
      <c r="AJ82">
        <v>60</v>
      </c>
      <c r="AK82">
        <v>57</v>
      </c>
      <c r="AL82">
        <v>73</v>
      </c>
      <c r="AM82">
        <v>67</v>
      </c>
      <c r="AN82">
        <v>68</v>
      </c>
      <c r="AO82">
        <v>66</v>
      </c>
      <c r="AP82">
        <v>86</v>
      </c>
      <c r="AQ82">
        <v>1887</v>
      </c>
      <c r="AR82">
        <v>1.0598834128245891</v>
      </c>
      <c r="AS82">
        <f t="shared" si="5"/>
        <v>0.33239322246673991</v>
      </c>
      <c r="AT82">
        <f t="shared" si="6"/>
        <v>2.6724415086325889E-2</v>
      </c>
      <c r="AU82">
        <f t="shared" si="7"/>
        <v>2.672441508632589</v>
      </c>
      <c r="AV82">
        <f t="shared" si="8"/>
        <v>3</v>
      </c>
      <c r="AW82">
        <f t="shared" si="9"/>
        <v>9.3923170846247697E-2</v>
      </c>
    </row>
    <row r="83" spans="1:49" x14ac:dyDescent="0.3">
      <c r="A83" t="s">
        <v>126</v>
      </c>
      <c r="B83" t="s">
        <v>127</v>
      </c>
      <c r="C83">
        <v>1</v>
      </c>
      <c r="D83" t="s">
        <v>12</v>
      </c>
      <c r="E83">
        <v>68</v>
      </c>
      <c r="F83">
        <v>83</v>
      </c>
      <c r="G83">
        <v>61</v>
      </c>
      <c r="H83">
        <v>89</v>
      </c>
      <c r="I83">
        <v>97</v>
      </c>
      <c r="J83">
        <v>88</v>
      </c>
      <c r="K83">
        <v>112</v>
      </c>
      <c r="L83">
        <v>112</v>
      </c>
      <c r="M83">
        <v>115</v>
      </c>
      <c r="N83">
        <v>143</v>
      </c>
      <c r="O83">
        <v>179</v>
      </c>
      <c r="P83">
        <v>135</v>
      </c>
      <c r="Q83">
        <v>120</v>
      </c>
      <c r="R83">
        <v>133</v>
      </c>
      <c r="S83">
        <v>107</v>
      </c>
      <c r="T83">
        <v>119</v>
      </c>
      <c r="U83">
        <v>103</v>
      </c>
      <c r="V83">
        <v>106</v>
      </c>
      <c r="W83">
        <v>113</v>
      </c>
      <c r="X83">
        <v>78</v>
      </c>
      <c r="Y83">
        <v>77</v>
      </c>
      <c r="Z83">
        <v>83</v>
      </c>
      <c r="AA83">
        <v>80</v>
      </c>
      <c r="AB83">
        <v>97</v>
      </c>
      <c r="AC83">
        <v>79</v>
      </c>
      <c r="AD83">
        <v>107</v>
      </c>
      <c r="AE83">
        <v>90</v>
      </c>
      <c r="AF83">
        <v>127</v>
      </c>
      <c r="AG83">
        <v>149</v>
      </c>
      <c r="AH83">
        <v>144</v>
      </c>
      <c r="AI83">
        <v>150</v>
      </c>
      <c r="AJ83">
        <v>125</v>
      </c>
      <c r="AK83">
        <v>134</v>
      </c>
      <c r="AL83">
        <v>121</v>
      </c>
      <c r="AM83">
        <v>116</v>
      </c>
      <c r="AN83">
        <v>123</v>
      </c>
      <c r="AO83">
        <v>111</v>
      </c>
      <c r="AP83">
        <v>131</v>
      </c>
      <c r="AQ83">
        <v>4205</v>
      </c>
      <c r="AR83">
        <v>0.23781212841854929</v>
      </c>
      <c r="AS83">
        <f t="shared" si="5"/>
        <v>4.9513129222465167E-2</v>
      </c>
      <c r="AT83">
        <f t="shared" si="6"/>
        <v>3.9808555894861996E-3</v>
      </c>
      <c r="AU83">
        <f t="shared" si="7"/>
        <v>0.39808555894861997</v>
      </c>
      <c r="AV83">
        <f t="shared" si="8"/>
        <v>3</v>
      </c>
      <c r="AW83">
        <f t="shared" si="9"/>
        <v>9.3923170846247697E-2</v>
      </c>
    </row>
    <row r="84" spans="1:49" x14ac:dyDescent="0.3">
      <c r="A84" t="s">
        <v>128</v>
      </c>
      <c r="B84" t="s">
        <v>129</v>
      </c>
      <c r="C84">
        <v>1</v>
      </c>
      <c r="D84" t="s">
        <v>12</v>
      </c>
      <c r="E84">
        <v>13</v>
      </c>
      <c r="F84">
        <v>9</v>
      </c>
      <c r="G84">
        <v>8</v>
      </c>
      <c r="H84">
        <v>6</v>
      </c>
      <c r="I84">
        <v>5</v>
      </c>
      <c r="J84">
        <v>4</v>
      </c>
      <c r="K84">
        <v>7</v>
      </c>
      <c r="L84">
        <v>3</v>
      </c>
      <c r="M84">
        <v>7</v>
      </c>
      <c r="N84">
        <v>14</v>
      </c>
      <c r="O84">
        <v>8</v>
      </c>
      <c r="P84">
        <v>13</v>
      </c>
      <c r="Q84">
        <v>9</v>
      </c>
      <c r="R84">
        <v>7</v>
      </c>
      <c r="S84">
        <v>6</v>
      </c>
      <c r="T84">
        <v>11</v>
      </c>
      <c r="U84">
        <v>9</v>
      </c>
      <c r="V84">
        <v>9</v>
      </c>
      <c r="W84">
        <v>11</v>
      </c>
      <c r="X84">
        <v>14</v>
      </c>
      <c r="Y84">
        <v>10</v>
      </c>
      <c r="Z84">
        <v>7</v>
      </c>
      <c r="AA84">
        <v>6</v>
      </c>
      <c r="AB84">
        <v>3</v>
      </c>
      <c r="AC84">
        <v>7</v>
      </c>
      <c r="AD84">
        <v>6</v>
      </c>
      <c r="AE84">
        <v>8</v>
      </c>
      <c r="AF84">
        <v>4</v>
      </c>
      <c r="AG84">
        <v>11</v>
      </c>
      <c r="AH84">
        <v>4</v>
      </c>
      <c r="AI84">
        <v>5</v>
      </c>
      <c r="AJ84">
        <v>5</v>
      </c>
      <c r="AK84">
        <v>3</v>
      </c>
      <c r="AL84">
        <v>13</v>
      </c>
      <c r="AM84">
        <v>7</v>
      </c>
      <c r="AN84">
        <v>8</v>
      </c>
      <c r="AO84">
        <v>11</v>
      </c>
      <c r="AP84">
        <v>11</v>
      </c>
      <c r="AQ84">
        <v>302</v>
      </c>
      <c r="AR84">
        <v>3</v>
      </c>
      <c r="AS84">
        <f t="shared" si="5"/>
        <v>1</v>
      </c>
      <c r="AT84">
        <f t="shared" si="6"/>
        <v>8.0399999999999999E-2</v>
      </c>
      <c r="AU84">
        <f t="shared" si="7"/>
        <v>8.0399999999999991</v>
      </c>
      <c r="AV84">
        <f t="shared" si="8"/>
        <v>3</v>
      </c>
      <c r="AW84">
        <f t="shared" si="9"/>
        <v>9.3923170846247697E-2</v>
      </c>
    </row>
    <row r="85" spans="1:49" x14ac:dyDescent="0.3">
      <c r="A85" t="s">
        <v>130</v>
      </c>
      <c r="B85" t="s">
        <v>26</v>
      </c>
      <c r="C85">
        <v>2</v>
      </c>
      <c r="D85" t="s">
        <v>17</v>
      </c>
      <c r="E85">
        <v>21</v>
      </c>
      <c r="F85">
        <v>27</v>
      </c>
      <c r="G85">
        <v>20</v>
      </c>
      <c r="H85">
        <v>27</v>
      </c>
      <c r="I85">
        <v>24</v>
      </c>
      <c r="J85">
        <v>35</v>
      </c>
      <c r="K85">
        <v>30</v>
      </c>
      <c r="L85">
        <v>42</v>
      </c>
      <c r="M85">
        <v>44</v>
      </c>
      <c r="N85">
        <v>55</v>
      </c>
      <c r="O85">
        <v>57</v>
      </c>
      <c r="P85">
        <v>64</v>
      </c>
      <c r="Q85">
        <v>54</v>
      </c>
      <c r="R85">
        <v>68</v>
      </c>
      <c r="S85">
        <v>74</v>
      </c>
      <c r="T85">
        <v>79</v>
      </c>
      <c r="U85">
        <v>80</v>
      </c>
      <c r="V85">
        <v>77</v>
      </c>
      <c r="W85">
        <v>113</v>
      </c>
      <c r="X85">
        <v>19</v>
      </c>
      <c r="Y85">
        <v>24</v>
      </c>
      <c r="Z85">
        <v>29</v>
      </c>
      <c r="AA85">
        <v>18</v>
      </c>
      <c r="AB85">
        <v>33</v>
      </c>
      <c r="AC85">
        <v>29</v>
      </c>
      <c r="AD85">
        <v>36</v>
      </c>
      <c r="AE85">
        <v>36</v>
      </c>
      <c r="AF85">
        <v>38</v>
      </c>
      <c r="AG85">
        <v>43</v>
      </c>
      <c r="AH85">
        <v>59</v>
      </c>
      <c r="AI85">
        <v>72</v>
      </c>
      <c r="AJ85">
        <v>54</v>
      </c>
      <c r="AK85">
        <v>61</v>
      </c>
      <c r="AL85">
        <v>67</v>
      </c>
      <c r="AM85">
        <v>73</v>
      </c>
      <c r="AN85">
        <v>68</v>
      </c>
      <c r="AO85">
        <v>61</v>
      </c>
      <c r="AP85">
        <v>88</v>
      </c>
      <c r="AQ85">
        <v>1899</v>
      </c>
      <c r="AR85">
        <v>1.05318588730911</v>
      </c>
      <c r="AS85">
        <f t="shared" si="5"/>
        <v>0.33008856023335037</v>
      </c>
      <c r="AT85">
        <f t="shared" si="6"/>
        <v>2.6539120242761369E-2</v>
      </c>
      <c r="AU85">
        <f t="shared" si="7"/>
        <v>2.6539120242761371</v>
      </c>
      <c r="AV85">
        <f t="shared" si="8"/>
        <v>3</v>
      </c>
      <c r="AW85">
        <f t="shared" si="9"/>
        <v>9.3923170846247697E-2</v>
      </c>
    </row>
    <row r="86" spans="1:49" x14ac:dyDescent="0.3">
      <c r="A86" t="s">
        <v>131</v>
      </c>
      <c r="B86" t="s">
        <v>132</v>
      </c>
      <c r="C86">
        <v>1</v>
      </c>
      <c r="D86" t="s">
        <v>12</v>
      </c>
      <c r="E86">
        <v>96</v>
      </c>
      <c r="F86">
        <v>90</v>
      </c>
      <c r="G86">
        <v>72</v>
      </c>
      <c r="H86">
        <v>68</v>
      </c>
      <c r="I86">
        <v>84</v>
      </c>
      <c r="J86">
        <v>71</v>
      </c>
      <c r="K86">
        <v>60</v>
      </c>
      <c r="L86">
        <v>80</v>
      </c>
      <c r="M86">
        <v>68</v>
      </c>
      <c r="N86">
        <v>58</v>
      </c>
      <c r="O86">
        <v>91</v>
      </c>
      <c r="P86">
        <v>80</v>
      </c>
      <c r="Q86">
        <v>71</v>
      </c>
      <c r="R86">
        <v>106</v>
      </c>
      <c r="S86">
        <v>75</v>
      </c>
      <c r="T86">
        <v>96</v>
      </c>
      <c r="U86">
        <v>78</v>
      </c>
      <c r="V86">
        <v>93</v>
      </c>
      <c r="W86">
        <v>111</v>
      </c>
      <c r="X86">
        <v>74</v>
      </c>
      <c r="Y86">
        <v>59</v>
      </c>
      <c r="Z86">
        <v>64</v>
      </c>
      <c r="AA86">
        <v>46</v>
      </c>
      <c r="AB86">
        <v>71</v>
      </c>
      <c r="AC86">
        <v>46</v>
      </c>
      <c r="AD86">
        <v>54</v>
      </c>
      <c r="AE86">
        <v>53</v>
      </c>
      <c r="AF86">
        <v>57</v>
      </c>
      <c r="AG86">
        <v>77</v>
      </c>
      <c r="AH86">
        <v>73</v>
      </c>
      <c r="AI86">
        <v>89</v>
      </c>
      <c r="AJ86">
        <v>85</v>
      </c>
      <c r="AK86">
        <v>83</v>
      </c>
      <c r="AL86">
        <v>70</v>
      </c>
      <c r="AM86">
        <v>86</v>
      </c>
      <c r="AN86">
        <v>79</v>
      </c>
      <c r="AO86">
        <v>79</v>
      </c>
      <c r="AP86">
        <v>82</v>
      </c>
      <c r="AQ86">
        <v>2875</v>
      </c>
      <c r="AR86">
        <v>0.34782608695652178</v>
      </c>
      <c r="AS86">
        <f t="shared" si="5"/>
        <v>8.7369650231928123E-2</v>
      </c>
      <c r="AT86">
        <f t="shared" si="6"/>
        <v>7.0245198786470214E-3</v>
      </c>
      <c r="AU86">
        <f t="shared" si="7"/>
        <v>0.70245198786470209</v>
      </c>
      <c r="AV86">
        <f t="shared" si="8"/>
        <v>3</v>
      </c>
      <c r="AW86">
        <f t="shared" si="9"/>
        <v>9.3923170846247697E-2</v>
      </c>
    </row>
    <row r="87" spans="1:49" x14ac:dyDescent="0.3">
      <c r="A87" t="s">
        <v>133</v>
      </c>
      <c r="B87" t="s">
        <v>132</v>
      </c>
      <c r="C87">
        <v>1</v>
      </c>
      <c r="D87" t="s">
        <v>12</v>
      </c>
      <c r="E87">
        <v>6</v>
      </c>
      <c r="F87">
        <v>8</v>
      </c>
      <c r="G87">
        <v>2</v>
      </c>
      <c r="H87">
        <v>4</v>
      </c>
      <c r="I87">
        <v>5</v>
      </c>
      <c r="J87">
        <v>5</v>
      </c>
      <c r="K87">
        <v>4</v>
      </c>
      <c r="L87">
        <v>4</v>
      </c>
      <c r="M87">
        <v>5</v>
      </c>
      <c r="N87">
        <v>7</v>
      </c>
      <c r="O87">
        <v>6</v>
      </c>
      <c r="P87">
        <v>9</v>
      </c>
      <c r="Q87">
        <v>8</v>
      </c>
      <c r="R87">
        <v>13</v>
      </c>
      <c r="S87">
        <v>15</v>
      </c>
      <c r="T87">
        <v>14</v>
      </c>
      <c r="U87">
        <v>9</v>
      </c>
      <c r="V87">
        <v>7</v>
      </c>
      <c r="W87">
        <v>20</v>
      </c>
      <c r="X87">
        <v>3</v>
      </c>
      <c r="Y87">
        <v>4</v>
      </c>
      <c r="Z87">
        <v>3</v>
      </c>
      <c r="AA87">
        <v>6</v>
      </c>
      <c r="AB87">
        <v>7</v>
      </c>
      <c r="AC87">
        <v>4</v>
      </c>
      <c r="AD87">
        <v>4</v>
      </c>
      <c r="AE87">
        <v>10</v>
      </c>
      <c r="AF87">
        <v>6</v>
      </c>
      <c r="AG87">
        <v>10</v>
      </c>
      <c r="AH87">
        <v>7</v>
      </c>
      <c r="AI87">
        <v>5</v>
      </c>
      <c r="AJ87">
        <v>5</v>
      </c>
      <c r="AK87">
        <v>6</v>
      </c>
      <c r="AL87">
        <v>10</v>
      </c>
      <c r="AM87">
        <v>16</v>
      </c>
      <c r="AN87">
        <v>11</v>
      </c>
      <c r="AO87">
        <v>12</v>
      </c>
      <c r="AP87">
        <v>23</v>
      </c>
      <c r="AQ87">
        <v>303</v>
      </c>
      <c r="AR87">
        <v>3</v>
      </c>
      <c r="AS87">
        <f t="shared" si="5"/>
        <v>1</v>
      </c>
      <c r="AT87">
        <f t="shared" si="6"/>
        <v>8.0399999999999999E-2</v>
      </c>
      <c r="AU87">
        <f t="shared" si="7"/>
        <v>8.0399999999999991</v>
      </c>
      <c r="AV87">
        <f t="shared" si="8"/>
        <v>3</v>
      </c>
      <c r="AW87">
        <f t="shared" si="9"/>
        <v>9.3923170846247697E-2</v>
      </c>
    </row>
    <row r="88" spans="1:49" x14ac:dyDescent="0.3">
      <c r="A88" t="s">
        <v>134</v>
      </c>
      <c r="B88" t="s">
        <v>36</v>
      </c>
      <c r="C88">
        <v>2</v>
      </c>
      <c r="D88" t="s">
        <v>12</v>
      </c>
      <c r="E88">
        <v>94</v>
      </c>
      <c r="F88">
        <v>78</v>
      </c>
      <c r="G88">
        <v>78</v>
      </c>
      <c r="H88">
        <v>76</v>
      </c>
      <c r="I88">
        <v>91</v>
      </c>
      <c r="J88">
        <v>78</v>
      </c>
      <c r="K88">
        <v>67</v>
      </c>
      <c r="L88">
        <v>80</v>
      </c>
      <c r="M88">
        <v>93</v>
      </c>
      <c r="N88">
        <v>93</v>
      </c>
      <c r="O88">
        <v>105</v>
      </c>
      <c r="P88">
        <v>104</v>
      </c>
      <c r="Q88">
        <v>96</v>
      </c>
      <c r="R88">
        <v>115</v>
      </c>
      <c r="S88">
        <v>85</v>
      </c>
      <c r="T88">
        <v>98</v>
      </c>
      <c r="U88">
        <v>88</v>
      </c>
      <c r="V88">
        <v>96</v>
      </c>
      <c r="W88">
        <v>105</v>
      </c>
      <c r="X88">
        <v>75</v>
      </c>
      <c r="Y88">
        <v>73</v>
      </c>
      <c r="Z88">
        <v>70</v>
      </c>
      <c r="AA88">
        <v>94</v>
      </c>
      <c r="AB88">
        <v>89</v>
      </c>
      <c r="AC88">
        <v>75</v>
      </c>
      <c r="AD88">
        <v>90</v>
      </c>
      <c r="AE88">
        <v>74</v>
      </c>
      <c r="AF88">
        <v>81</v>
      </c>
      <c r="AG88">
        <v>92</v>
      </c>
      <c r="AH88">
        <v>116</v>
      </c>
      <c r="AI88">
        <v>118</v>
      </c>
      <c r="AJ88">
        <v>75</v>
      </c>
      <c r="AK88">
        <v>106</v>
      </c>
      <c r="AL88">
        <v>107</v>
      </c>
      <c r="AM88">
        <v>111</v>
      </c>
      <c r="AN88">
        <v>99</v>
      </c>
      <c r="AO88">
        <v>99</v>
      </c>
      <c r="AP88">
        <v>104</v>
      </c>
      <c r="AQ88">
        <v>3468</v>
      </c>
      <c r="AR88">
        <v>0.57670126874279126</v>
      </c>
      <c r="AS88">
        <f t="shared" si="5"/>
        <v>0.16612709376893117</v>
      </c>
      <c r="AT88">
        <f t="shared" si="6"/>
        <v>1.3356618339022066E-2</v>
      </c>
      <c r="AU88">
        <f t="shared" si="7"/>
        <v>1.3356618339022066</v>
      </c>
      <c r="AV88">
        <f t="shared" si="8"/>
        <v>3</v>
      </c>
      <c r="AW88">
        <f t="shared" si="9"/>
        <v>9.3923170846247697E-2</v>
      </c>
    </row>
    <row r="89" spans="1:49" x14ac:dyDescent="0.3">
      <c r="A89" t="s">
        <v>135</v>
      </c>
      <c r="B89" t="s">
        <v>26</v>
      </c>
      <c r="C89">
        <v>3</v>
      </c>
      <c r="D89" t="s">
        <v>17</v>
      </c>
      <c r="E89">
        <v>59</v>
      </c>
      <c r="F89">
        <v>75</v>
      </c>
      <c r="G89">
        <v>55</v>
      </c>
      <c r="H89">
        <v>70</v>
      </c>
      <c r="I89">
        <v>78</v>
      </c>
      <c r="J89">
        <v>75</v>
      </c>
      <c r="K89">
        <v>87</v>
      </c>
      <c r="L89">
        <v>104</v>
      </c>
      <c r="M89">
        <v>115</v>
      </c>
      <c r="N89">
        <v>116</v>
      </c>
      <c r="O89">
        <v>153</v>
      </c>
      <c r="P89">
        <v>151</v>
      </c>
      <c r="Q89">
        <v>150</v>
      </c>
      <c r="R89">
        <v>169</v>
      </c>
      <c r="S89">
        <v>158</v>
      </c>
      <c r="T89">
        <v>166</v>
      </c>
      <c r="U89">
        <v>177</v>
      </c>
      <c r="V89">
        <v>158</v>
      </c>
      <c r="W89">
        <v>189</v>
      </c>
      <c r="X89">
        <v>66</v>
      </c>
      <c r="Y89">
        <v>66</v>
      </c>
      <c r="Z89">
        <v>64</v>
      </c>
      <c r="AA89">
        <v>65</v>
      </c>
      <c r="AB89">
        <v>72</v>
      </c>
      <c r="AC89">
        <v>79</v>
      </c>
      <c r="AD89">
        <v>89</v>
      </c>
      <c r="AE89">
        <v>86</v>
      </c>
      <c r="AF89">
        <v>103</v>
      </c>
      <c r="AG89">
        <v>114</v>
      </c>
      <c r="AH89">
        <v>164</v>
      </c>
      <c r="AI89">
        <v>146</v>
      </c>
      <c r="AJ89">
        <v>137</v>
      </c>
      <c r="AK89">
        <v>182</v>
      </c>
      <c r="AL89">
        <v>150</v>
      </c>
      <c r="AM89">
        <v>146</v>
      </c>
      <c r="AN89">
        <v>166</v>
      </c>
      <c r="AO89">
        <v>148</v>
      </c>
      <c r="AP89">
        <v>194</v>
      </c>
      <c r="AQ89">
        <v>4542</v>
      </c>
      <c r="AR89">
        <v>0.66050198150594452</v>
      </c>
      <c r="AS89">
        <f t="shared" si="5"/>
        <v>0.19496346585739929</v>
      </c>
      <c r="AT89">
        <f t="shared" si="6"/>
        <v>1.5675062654934901E-2</v>
      </c>
      <c r="AU89">
        <f t="shared" si="7"/>
        <v>1.5675062654934901</v>
      </c>
      <c r="AV89">
        <f t="shared" si="8"/>
        <v>3</v>
      </c>
      <c r="AW89">
        <f t="shared" si="9"/>
        <v>9.3923170846247697E-2</v>
      </c>
    </row>
    <row r="90" spans="1:49" x14ac:dyDescent="0.3">
      <c r="A90" t="s">
        <v>136</v>
      </c>
      <c r="B90" t="s">
        <v>26</v>
      </c>
      <c r="C90">
        <v>1</v>
      </c>
      <c r="D90" t="s">
        <v>17</v>
      </c>
      <c r="E90">
        <v>45</v>
      </c>
      <c r="F90">
        <v>44</v>
      </c>
      <c r="G90">
        <v>42</v>
      </c>
      <c r="H90">
        <v>46</v>
      </c>
      <c r="I90">
        <v>52</v>
      </c>
      <c r="J90">
        <v>58</v>
      </c>
      <c r="K90">
        <v>59</v>
      </c>
      <c r="L90">
        <v>77</v>
      </c>
      <c r="M90">
        <v>98</v>
      </c>
      <c r="N90">
        <v>113</v>
      </c>
      <c r="O90">
        <v>111</v>
      </c>
      <c r="P90">
        <v>117</v>
      </c>
      <c r="Q90">
        <v>143</v>
      </c>
      <c r="R90">
        <v>147</v>
      </c>
      <c r="S90">
        <v>158</v>
      </c>
      <c r="T90">
        <v>162</v>
      </c>
      <c r="U90">
        <v>146</v>
      </c>
      <c r="V90">
        <v>144</v>
      </c>
      <c r="W90">
        <v>188</v>
      </c>
      <c r="X90">
        <v>39</v>
      </c>
      <c r="Y90">
        <v>44</v>
      </c>
      <c r="Z90">
        <v>38</v>
      </c>
      <c r="AA90">
        <v>44</v>
      </c>
      <c r="AB90">
        <v>55</v>
      </c>
      <c r="AC90">
        <v>62</v>
      </c>
      <c r="AD90">
        <v>54</v>
      </c>
      <c r="AE90">
        <v>74</v>
      </c>
      <c r="AF90">
        <v>85</v>
      </c>
      <c r="AG90">
        <v>114</v>
      </c>
      <c r="AH90">
        <v>92</v>
      </c>
      <c r="AI90">
        <v>114</v>
      </c>
      <c r="AJ90">
        <v>118</v>
      </c>
      <c r="AK90">
        <v>140</v>
      </c>
      <c r="AL90">
        <v>130</v>
      </c>
      <c r="AM90">
        <v>161</v>
      </c>
      <c r="AN90">
        <v>148</v>
      </c>
      <c r="AO90">
        <v>131</v>
      </c>
      <c r="AP90">
        <v>160</v>
      </c>
      <c r="AQ90">
        <v>3753</v>
      </c>
      <c r="AR90">
        <v>0.2664535038635758</v>
      </c>
      <c r="AS90">
        <f t="shared" si="5"/>
        <v>5.9368813407307208E-2</v>
      </c>
      <c r="AT90">
        <f t="shared" si="6"/>
        <v>4.7732525979474992E-3</v>
      </c>
      <c r="AU90">
        <f t="shared" si="7"/>
        <v>0.47732525979474993</v>
      </c>
      <c r="AV90">
        <f t="shared" si="8"/>
        <v>3</v>
      </c>
      <c r="AW90">
        <f t="shared" si="9"/>
        <v>9.3923170846247697E-2</v>
      </c>
    </row>
    <row r="91" spans="1:49" x14ac:dyDescent="0.3">
      <c r="A91" t="s">
        <v>137</v>
      </c>
      <c r="B91" t="s">
        <v>26</v>
      </c>
      <c r="C91">
        <v>1</v>
      </c>
      <c r="D91" t="s">
        <v>17</v>
      </c>
      <c r="E91">
        <v>92</v>
      </c>
      <c r="F91">
        <v>107</v>
      </c>
      <c r="G91">
        <v>97</v>
      </c>
      <c r="H91">
        <v>113</v>
      </c>
      <c r="I91">
        <v>112</v>
      </c>
      <c r="J91">
        <v>129</v>
      </c>
      <c r="K91">
        <v>137</v>
      </c>
      <c r="L91">
        <v>183</v>
      </c>
      <c r="M91">
        <v>192</v>
      </c>
      <c r="N91">
        <v>209</v>
      </c>
      <c r="O91">
        <v>235</v>
      </c>
      <c r="P91">
        <v>227</v>
      </c>
      <c r="Q91">
        <v>262</v>
      </c>
      <c r="R91">
        <v>304</v>
      </c>
      <c r="S91">
        <v>300</v>
      </c>
      <c r="T91">
        <v>313</v>
      </c>
      <c r="U91">
        <v>259</v>
      </c>
      <c r="V91">
        <v>254</v>
      </c>
      <c r="W91">
        <v>291</v>
      </c>
      <c r="X91">
        <v>92</v>
      </c>
      <c r="Y91">
        <v>114</v>
      </c>
      <c r="Z91">
        <v>82</v>
      </c>
      <c r="AA91">
        <v>121</v>
      </c>
      <c r="AB91">
        <v>106</v>
      </c>
      <c r="AC91">
        <v>124</v>
      </c>
      <c r="AD91">
        <v>120</v>
      </c>
      <c r="AE91">
        <v>158</v>
      </c>
      <c r="AF91">
        <v>166</v>
      </c>
      <c r="AG91">
        <v>211</v>
      </c>
      <c r="AH91">
        <v>224</v>
      </c>
      <c r="AI91">
        <v>221</v>
      </c>
      <c r="AJ91">
        <v>262</v>
      </c>
      <c r="AK91">
        <v>293</v>
      </c>
      <c r="AL91">
        <v>280</v>
      </c>
      <c r="AM91">
        <v>285</v>
      </c>
      <c r="AN91">
        <v>283</v>
      </c>
      <c r="AO91">
        <v>278</v>
      </c>
      <c r="AP91">
        <v>287</v>
      </c>
      <c r="AQ91">
        <v>7523</v>
      </c>
      <c r="AR91">
        <v>0.1329256945367539</v>
      </c>
      <c r="AS91">
        <f t="shared" si="5"/>
        <v>1.3421022905944201E-2</v>
      </c>
      <c r="AT91">
        <f t="shared" si="6"/>
        <v>1.0790502416379137E-3</v>
      </c>
      <c r="AU91">
        <f t="shared" si="7"/>
        <v>0.10790502416379137</v>
      </c>
      <c r="AV91">
        <f t="shared" si="8"/>
        <v>3</v>
      </c>
      <c r="AW91">
        <f t="shared" si="9"/>
        <v>9.3923170846247697E-2</v>
      </c>
    </row>
    <row r="92" spans="1:49" x14ac:dyDescent="0.3">
      <c r="A92" t="s">
        <v>138</v>
      </c>
      <c r="B92" t="s">
        <v>66</v>
      </c>
      <c r="C92">
        <v>2</v>
      </c>
      <c r="D92" t="s">
        <v>24</v>
      </c>
      <c r="E92">
        <v>61</v>
      </c>
      <c r="F92">
        <v>50</v>
      </c>
      <c r="G92">
        <v>44</v>
      </c>
      <c r="H92">
        <v>52</v>
      </c>
      <c r="I92">
        <v>46</v>
      </c>
      <c r="J92">
        <v>62</v>
      </c>
      <c r="K92">
        <v>50</v>
      </c>
      <c r="L92">
        <v>47</v>
      </c>
      <c r="M92">
        <v>62</v>
      </c>
      <c r="N92">
        <v>58</v>
      </c>
      <c r="O92">
        <v>51</v>
      </c>
      <c r="P92">
        <v>63</v>
      </c>
      <c r="Q92">
        <v>55</v>
      </c>
      <c r="R92">
        <v>61</v>
      </c>
      <c r="S92">
        <v>54</v>
      </c>
      <c r="T92">
        <v>74</v>
      </c>
      <c r="U92">
        <v>65</v>
      </c>
      <c r="V92">
        <v>66</v>
      </c>
      <c r="W92">
        <v>79</v>
      </c>
      <c r="X92">
        <v>47</v>
      </c>
      <c r="Y92">
        <v>42</v>
      </c>
      <c r="Z92">
        <v>48</v>
      </c>
      <c r="AA92">
        <v>40</v>
      </c>
      <c r="AB92">
        <v>33</v>
      </c>
      <c r="AC92">
        <v>35</v>
      </c>
      <c r="AD92">
        <v>48</v>
      </c>
      <c r="AE92">
        <v>43</v>
      </c>
      <c r="AF92">
        <v>52</v>
      </c>
      <c r="AG92">
        <v>46</v>
      </c>
      <c r="AH92">
        <v>54</v>
      </c>
      <c r="AI92">
        <v>55</v>
      </c>
      <c r="AJ92">
        <v>49</v>
      </c>
      <c r="AK92">
        <v>48</v>
      </c>
      <c r="AL92">
        <v>47</v>
      </c>
      <c r="AM92">
        <v>52</v>
      </c>
      <c r="AN92">
        <v>62</v>
      </c>
      <c r="AO92">
        <v>59</v>
      </c>
      <c r="AP92">
        <v>74</v>
      </c>
      <c r="AQ92">
        <v>2034</v>
      </c>
      <c r="AR92">
        <v>0.98328416912487715</v>
      </c>
      <c r="AS92">
        <f t="shared" si="5"/>
        <v>0.30603492287490924</v>
      </c>
      <c r="AT92">
        <f t="shared" si="6"/>
        <v>2.4605207799142704E-2</v>
      </c>
      <c r="AU92">
        <f t="shared" si="7"/>
        <v>2.4605207799142703</v>
      </c>
      <c r="AV92">
        <f t="shared" si="8"/>
        <v>3</v>
      </c>
      <c r="AW92">
        <f t="shared" si="9"/>
        <v>9.3923170846247697E-2</v>
      </c>
    </row>
    <row r="93" spans="1:49" x14ac:dyDescent="0.3">
      <c r="A93" t="s">
        <v>139</v>
      </c>
      <c r="B93" t="s">
        <v>109</v>
      </c>
      <c r="C93">
        <v>3</v>
      </c>
      <c r="D93" t="s">
        <v>24</v>
      </c>
      <c r="E93">
        <v>422</v>
      </c>
      <c r="F93">
        <v>413</v>
      </c>
      <c r="G93">
        <v>395</v>
      </c>
      <c r="H93">
        <v>468</v>
      </c>
      <c r="I93">
        <v>545</v>
      </c>
      <c r="J93">
        <v>580</v>
      </c>
      <c r="K93">
        <v>594</v>
      </c>
      <c r="L93">
        <v>595</v>
      </c>
      <c r="M93">
        <v>662</v>
      </c>
      <c r="N93">
        <v>762</v>
      </c>
      <c r="O93">
        <v>764</v>
      </c>
      <c r="P93">
        <v>791</v>
      </c>
      <c r="Q93">
        <v>748</v>
      </c>
      <c r="R93">
        <v>756</v>
      </c>
      <c r="S93">
        <v>641</v>
      </c>
      <c r="T93">
        <v>665</v>
      </c>
      <c r="U93">
        <v>541</v>
      </c>
      <c r="V93">
        <v>585</v>
      </c>
      <c r="W93">
        <v>587</v>
      </c>
      <c r="X93">
        <v>408</v>
      </c>
      <c r="Y93">
        <v>426</v>
      </c>
      <c r="Z93">
        <v>406</v>
      </c>
      <c r="AA93">
        <v>445</v>
      </c>
      <c r="AB93">
        <v>526</v>
      </c>
      <c r="AC93">
        <v>488</v>
      </c>
      <c r="AD93">
        <v>559</v>
      </c>
      <c r="AE93">
        <v>565</v>
      </c>
      <c r="AF93">
        <v>649</v>
      </c>
      <c r="AG93">
        <v>746</v>
      </c>
      <c r="AH93">
        <v>770</v>
      </c>
      <c r="AI93">
        <v>719</v>
      </c>
      <c r="AJ93">
        <v>749</v>
      </c>
      <c r="AK93">
        <v>704</v>
      </c>
      <c r="AL93">
        <v>663</v>
      </c>
      <c r="AM93">
        <v>659</v>
      </c>
      <c r="AN93">
        <v>619</v>
      </c>
      <c r="AO93">
        <v>520</v>
      </c>
      <c r="AP93">
        <v>579</v>
      </c>
      <c r="AQ93">
        <v>22714</v>
      </c>
      <c r="AR93">
        <v>0.13207713304569871</v>
      </c>
      <c r="AS93">
        <f t="shared" si="5"/>
        <v>1.3129027359734815E-2</v>
      </c>
      <c r="AT93">
        <f t="shared" si="6"/>
        <v>1.0555737997226791E-3</v>
      </c>
      <c r="AU93">
        <f t="shared" si="7"/>
        <v>0.10555737997226791</v>
      </c>
      <c r="AV93">
        <f t="shared" si="8"/>
        <v>3</v>
      </c>
      <c r="AW93">
        <f t="shared" si="9"/>
        <v>9.3923170846247697E-2</v>
      </c>
    </row>
    <row r="94" spans="1:49" x14ac:dyDescent="0.3">
      <c r="A94" t="s">
        <v>140</v>
      </c>
      <c r="B94" t="s">
        <v>109</v>
      </c>
      <c r="C94">
        <v>1</v>
      </c>
      <c r="D94" t="s">
        <v>24</v>
      </c>
      <c r="E94">
        <v>122</v>
      </c>
      <c r="F94">
        <v>132</v>
      </c>
      <c r="G94">
        <v>119</v>
      </c>
      <c r="H94">
        <v>134</v>
      </c>
      <c r="I94">
        <v>151</v>
      </c>
      <c r="J94">
        <v>155</v>
      </c>
      <c r="K94">
        <v>164</v>
      </c>
      <c r="L94">
        <v>202</v>
      </c>
      <c r="M94">
        <v>230</v>
      </c>
      <c r="N94">
        <v>234</v>
      </c>
      <c r="O94">
        <v>243</v>
      </c>
      <c r="P94">
        <v>237</v>
      </c>
      <c r="Q94">
        <v>264</v>
      </c>
      <c r="R94">
        <v>258</v>
      </c>
      <c r="S94">
        <v>258</v>
      </c>
      <c r="T94">
        <v>238</v>
      </c>
      <c r="U94">
        <v>206</v>
      </c>
      <c r="V94">
        <v>210</v>
      </c>
      <c r="W94">
        <v>194</v>
      </c>
      <c r="X94">
        <v>119</v>
      </c>
      <c r="Y94">
        <v>132</v>
      </c>
      <c r="Z94">
        <v>137</v>
      </c>
      <c r="AA94">
        <v>148</v>
      </c>
      <c r="AB94">
        <v>159</v>
      </c>
      <c r="AC94">
        <v>156</v>
      </c>
      <c r="AD94">
        <v>161</v>
      </c>
      <c r="AE94">
        <v>188</v>
      </c>
      <c r="AF94">
        <v>193</v>
      </c>
      <c r="AG94">
        <v>283</v>
      </c>
      <c r="AH94">
        <v>265</v>
      </c>
      <c r="AI94">
        <v>260</v>
      </c>
      <c r="AJ94">
        <v>246</v>
      </c>
      <c r="AK94">
        <v>241</v>
      </c>
      <c r="AL94">
        <v>210</v>
      </c>
      <c r="AM94">
        <v>232</v>
      </c>
      <c r="AN94">
        <v>202</v>
      </c>
      <c r="AO94">
        <v>204</v>
      </c>
      <c r="AP94">
        <v>211</v>
      </c>
      <c r="AQ94">
        <v>7498</v>
      </c>
      <c r="AR94">
        <v>0.13336889837289939</v>
      </c>
      <c r="AS94">
        <f t="shared" si="5"/>
        <v>1.3573532238009778E-2</v>
      </c>
      <c r="AT94">
        <f t="shared" si="6"/>
        <v>1.0913119919359862E-3</v>
      </c>
      <c r="AU94">
        <f t="shared" si="7"/>
        <v>0.10913119919359862</v>
      </c>
      <c r="AV94">
        <f t="shared" si="8"/>
        <v>3</v>
      </c>
      <c r="AW94">
        <f t="shared" si="9"/>
        <v>9.3923170846247697E-2</v>
      </c>
    </row>
    <row r="95" spans="1:49" x14ac:dyDescent="0.3">
      <c r="A95" t="s">
        <v>141</v>
      </c>
      <c r="B95" t="s">
        <v>48</v>
      </c>
      <c r="C95">
        <v>2</v>
      </c>
      <c r="D95" t="s">
        <v>12</v>
      </c>
      <c r="E95">
        <v>16</v>
      </c>
      <c r="F95">
        <v>16</v>
      </c>
      <c r="G95">
        <v>13</v>
      </c>
      <c r="H95">
        <v>16</v>
      </c>
      <c r="I95">
        <v>15</v>
      </c>
      <c r="J95">
        <v>20</v>
      </c>
      <c r="K95">
        <v>19</v>
      </c>
      <c r="L95">
        <v>17</v>
      </c>
      <c r="M95">
        <v>19</v>
      </c>
      <c r="N95">
        <v>28</v>
      </c>
      <c r="O95">
        <v>30</v>
      </c>
      <c r="P95">
        <v>27</v>
      </c>
      <c r="Q95">
        <v>23</v>
      </c>
      <c r="R95">
        <v>38</v>
      </c>
      <c r="S95">
        <v>43</v>
      </c>
      <c r="T95">
        <v>33</v>
      </c>
      <c r="U95">
        <v>35</v>
      </c>
      <c r="V95">
        <v>37</v>
      </c>
      <c r="W95">
        <v>46</v>
      </c>
      <c r="X95">
        <v>23</v>
      </c>
      <c r="Y95">
        <v>15</v>
      </c>
      <c r="Z95">
        <v>15</v>
      </c>
      <c r="AA95">
        <v>16</v>
      </c>
      <c r="AB95">
        <v>18</v>
      </c>
      <c r="AC95">
        <v>15</v>
      </c>
      <c r="AD95">
        <v>17</v>
      </c>
      <c r="AE95">
        <v>26</v>
      </c>
      <c r="AF95">
        <v>22</v>
      </c>
      <c r="AG95">
        <v>25</v>
      </c>
      <c r="AH95">
        <v>21</v>
      </c>
      <c r="AI95">
        <v>21</v>
      </c>
      <c r="AJ95">
        <v>26</v>
      </c>
      <c r="AK95">
        <v>25</v>
      </c>
      <c r="AL95">
        <v>30</v>
      </c>
      <c r="AM95">
        <v>24</v>
      </c>
      <c r="AN95">
        <v>33</v>
      </c>
      <c r="AO95">
        <v>34</v>
      </c>
      <c r="AP95">
        <v>54</v>
      </c>
      <c r="AQ95">
        <v>951</v>
      </c>
      <c r="AR95">
        <v>2.1030494216614088</v>
      </c>
      <c r="AS95">
        <f t="shared" si="5"/>
        <v>0.69135345310200125</v>
      </c>
      <c r="AT95">
        <f t="shared" si="6"/>
        <v>5.5584817629400901E-2</v>
      </c>
      <c r="AU95">
        <f t="shared" si="7"/>
        <v>5.5584817629400902</v>
      </c>
      <c r="AV95">
        <f t="shared" si="8"/>
        <v>3</v>
      </c>
      <c r="AW95">
        <f t="shared" si="9"/>
        <v>9.3923170846247697E-2</v>
      </c>
    </row>
    <row r="96" spans="1:49" x14ac:dyDescent="0.3">
      <c r="A96" t="s">
        <v>142</v>
      </c>
      <c r="B96" t="s">
        <v>143</v>
      </c>
      <c r="C96">
        <v>1</v>
      </c>
      <c r="D96" t="s">
        <v>24</v>
      </c>
      <c r="E96">
        <v>22</v>
      </c>
      <c r="F96">
        <v>33</v>
      </c>
      <c r="G96">
        <v>24</v>
      </c>
      <c r="H96">
        <v>34</v>
      </c>
      <c r="I96">
        <v>32</v>
      </c>
      <c r="J96">
        <v>26</v>
      </c>
      <c r="K96">
        <v>31</v>
      </c>
      <c r="L96">
        <v>28</v>
      </c>
      <c r="M96">
        <v>42</v>
      </c>
      <c r="N96">
        <v>41</v>
      </c>
      <c r="O96">
        <v>40</v>
      </c>
      <c r="P96">
        <v>43</v>
      </c>
      <c r="Q96">
        <v>43</v>
      </c>
      <c r="R96">
        <v>65</v>
      </c>
      <c r="S96">
        <v>67</v>
      </c>
      <c r="T96">
        <v>55</v>
      </c>
      <c r="U96">
        <v>61</v>
      </c>
      <c r="V96">
        <v>63</v>
      </c>
      <c r="W96">
        <v>59</v>
      </c>
      <c r="X96">
        <v>36</v>
      </c>
      <c r="Y96">
        <v>34</v>
      </c>
      <c r="Z96">
        <v>18</v>
      </c>
      <c r="AA96">
        <v>25</v>
      </c>
      <c r="AB96">
        <v>28</v>
      </c>
      <c r="AC96">
        <v>23</v>
      </c>
      <c r="AD96">
        <v>29</v>
      </c>
      <c r="AE96">
        <v>29</v>
      </c>
      <c r="AF96">
        <v>46</v>
      </c>
      <c r="AG96">
        <v>32</v>
      </c>
      <c r="AH96">
        <v>44</v>
      </c>
      <c r="AI96">
        <v>51</v>
      </c>
      <c r="AJ96">
        <v>40</v>
      </c>
      <c r="AK96">
        <v>44</v>
      </c>
      <c r="AL96">
        <v>49</v>
      </c>
      <c r="AM96">
        <v>49</v>
      </c>
      <c r="AN96">
        <v>50</v>
      </c>
      <c r="AO96">
        <v>55</v>
      </c>
      <c r="AP96">
        <v>49</v>
      </c>
      <c r="AQ96">
        <v>1540</v>
      </c>
      <c r="AR96">
        <v>0.64935064935064934</v>
      </c>
      <c r="AS96">
        <f t="shared" si="5"/>
        <v>0.19112621969672486</v>
      </c>
      <c r="AT96">
        <f t="shared" si="6"/>
        <v>1.5366548063616679E-2</v>
      </c>
      <c r="AU96">
        <f t="shared" si="7"/>
        <v>1.5366548063616678</v>
      </c>
      <c r="AV96">
        <f t="shared" si="8"/>
        <v>3</v>
      </c>
      <c r="AW96">
        <f t="shared" si="9"/>
        <v>9.3923170846247697E-2</v>
      </c>
    </row>
    <row r="97" spans="1:49" x14ac:dyDescent="0.3">
      <c r="A97" t="s">
        <v>144</v>
      </c>
      <c r="B97" t="s">
        <v>145</v>
      </c>
      <c r="C97">
        <v>1</v>
      </c>
      <c r="D97" t="s">
        <v>12</v>
      </c>
      <c r="E97">
        <v>111</v>
      </c>
      <c r="F97">
        <v>90</v>
      </c>
      <c r="G97">
        <v>84</v>
      </c>
      <c r="H97">
        <v>102</v>
      </c>
      <c r="I97">
        <v>95</v>
      </c>
      <c r="J97">
        <v>97</v>
      </c>
      <c r="K97">
        <v>94</v>
      </c>
      <c r="L97">
        <v>99</v>
      </c>
      <c r="M97">
        <v>96</v>
      </c>
      <c r="N97">
        <v>122</v>
      </c>
      <c r="O97">
        <v>126</v>
      </c>
      <c r="P97">
        <v>109</v>
      </c>
      <c r="Q97">
        <v>105</v>
      </c>
      <c r="R97">
        <v>94</v>
      </c>
      <c r="S97">
        <v>98</v>
      </c>
      <c r="T97">
        <v>84</v>
      </c>
      <c r="U97">
        <v>80</v>
      </c>
      <c r="V97">
        <v>81</v>
      </c>
      <c r="W97">
        <v>99</v>
      </c>
      <c r="X97">
        <v>111</v>
      </c>
      <c r="Y97">
        <v>82</v>
      </c>
      <c r="Z97">
        <v>81</v>
      </c>
      <c r="AA97">
        <v>77</v>
      </c>
      <c r="AB97">
        <v>105</v>
      </c>
      <c r="AC97">
        <v>75</v>
      </c>
      <c r="AD97">
        <v>96</v>
      </c>
      <c r="AE97">
        <v>100</v>
      </c>
      <c r="AF97">
        <v>107</v>
      </c>
      <c r="AG97">
        <v>109</v>
      </c>
      <c r="AH97">
        <v>120</v>
      </c>
      <c r="AI97">
        <v>112</v>
      </c>
      <c r="AJ97">
        <v>98</v>
      </c>
      <c r="AK97">
        <v>109</v>
      </c>
      <c r="AL97">
        <v>91</v>
      </c>
      <c r="AM97">
        <v>92</v>
      </c>
      <c r="AN97">
        <v>88</v>
      </c>
      <c r="AO97">
        <v>88</v>
      </c>
      <c r="AP97">
        <v>88</v>
      </c>
      <c r="AQ97">
        <v>3695</v>
      </c>
      <c r="AR97">
        <v>0.2706359945872801</v>
      </c>
      <c r="AS97">
        <f t="shared" si="5"/>
        <v>6.0808035757434216E-2</v>
      </c>
      <c r="AT97">
        <f t="shared" si="6"/>
        <v>4.8889660748977111E-3</v>
      </c>
      <c r="AU97">
        <f t="shared" si="7"/>
        <v>0.4888966074897711</v>
      </c>
      <c r="AV97">
        <f t="shared" si="8"/>
        <v>3</v>
      </c>
      <c r="AW97">
        <f t="shared" si="9"/>
        <v>9.3923170846247697E-2</v>
      </c>
    </row>
    <row r="98" spans="1:49" x14ac:dyDescent="0.3">
      <c r="A98" t="s">
        <v>146</v>
      </c>
      <c r="B98" t="s">
        <v>145</v>
      </c>
      <c r="C98">
        <v>1</v>
      </c>
      <c r="D98" t="s">
        <v>12</v>
      </c>
      <c r="E98">
        <v>98</v>
      </c>
      <c r="F98">
        <v>83</v>
      </c>
      <c r="G98">
        <v>82</v>
      </c>
      <c r="H98">
        <v>62</v>
      </c>
      <c r="I98">
        <v>60</v>
      </c>
      <c r="J98">
        <v>64</v>
      </c>
      <c r="K98">
        <v>72</v>
      </c>
      <c r="L98">
        <v>63</v>
      </c>
      <c r="M98">
        <v>76</v>
      </c>
      <c r="N98">
        <v>62</v>
      </c>
      <c r="O98">
        <v>78</v>
      </c>
      <c r="P98">
        <v>70</v>
      </c>
      <c r="Q98">
        <v>67</v>
      </c>
      <c r="R98">
        <v>84</v>
      </c>
      <c r="S98">
        <v>88</v>
      </c>
      <c r="T98">
        <v>68</v>
      </c>
      <c r="U98">
        <v>78</v>
      </c>
      <c r="V98">
        <v>81</v>
      </c>
      <c r="W98">
        <v>89</v>
      </c>
      <c r="X98">
        <v>86</v>
      </c>
      <c r="Y98">
        <v>72</v>
      </c>
      <c r="Z98">
        <v>67</v>
      </c>
      <c r="AA98">
        <v>69</v>
      </c>
      <c r="AB98">
        <v>71</v>
      </c>
      <c r="AC98">
        <v>86</v>
      </c>
      <c r="AD98">
        <v>82</v>
      </c>
      <c r="AE98">
        <v>71</v>
      </c>
      <c r="AF98">
        <v>74</v>
      </c>
      <c r="AG98">
        <v>88</v>
      </c>
      <c r="AH98">
        <v>64</v>
      </c>
      <c r="AI98">
        <v>76</v>
      </c>
      <c r="AJ98">
        <v>80</v>
      </c>
      <c r="AK98">
        <v>84</v>
      </c>
      <c r="AL98">
        <v>71</v>
      </c>
      <c r="AM98">
        <v>70</v>
      </c>
      <c r="AN98">
        <v>70</v>
      </c>
      <c r="AO98">
        <v>78</v>
      </c>
      <c r="AP98">
        <v>109</v>
      </c>
      <c r="AQ98">
        <v>2893</v>
      </c>
      <c r="AR98">
        <v>0.34566194262011751</v>
      </c>
      <c r="AS98">
        <f t="shared" si="5"/>
        <v>8.6624954044031935E-2</v>
      </c>
      <c r="AT98">
        <f t="shared" si="6"/>
        <v>6.9646463051401672E-3</v>
      </c>
      <c r="AU98">
        <f t="shared" si="7"/>
        <v>0.69646463051401675</v>
      </c>
      <c r="AV98">
        <f t="shared" si="8"/>
        <v>3</v>
      </c>
      <c r="AW98">
        <f t="shared" si="9"/>
        <v>9.3923170846247697E-2</v>
      </c>
    </row>
    <row r="99" spans="1:49" x14ac:dyDescent="0.3">
      <c r="A99" t="s">
        <v>147</v>
      </c>
      <c r="B99" t="s">
        <v>148</v>
      </c>
      <c r="C99">
        <v>2</v>
      </c>
      <c r="D99" t="s">
        <v>12</v>
      </c>
      <c r="E99">
        <v>78</v>
      </c>
      <c r="F99">
        <v>54</v>
      </c>
      <c r="G99">
        <v>48</v>
      </c>
      <c r="H99">
        <v>53</v>
      </c>
      <c r="I99">
        <v>45</v>
      </c>
      <c r="J99">
        <v>32</v>
      </c>
      <c r="K99">
        <v>39</v>
      </c>
      <c r="L99">
        <v>40</v>
      </c>
      <c r="M99">
        <v>33</v>
      </c>
      <c r="N99">
        <v>36</v>
      </c>
      <c r="O99">
        <v>43</v>
      </c>
      <c r="P99">
        <v>38</v>
      </c>
      <c r="Q99">
        <v>38</v>
      </c>
      <c r="R99">
        <v>48</v>
      </c>
      <c r="S99">
        <v>40</v>
      </c>
      <c r="T99">
        <v>41</v>
      </c>
      <c r="U99">
        <v>43</v>
      </c>
      <c r="V99">
        <v>50</v>
      </c>
      <c r="W99">
        <v>53</v>
      </c>
      <c r="X99">
        <v>78</v>
      </c>
      <c r="Y99">
        <v>44</v>
      </c>
      <c r="Z99">
        <v>50</v>
      </c>
      <c r="AA99">
        <v>45</v>
      </c>
      <c r="AB99">
        <v>48</v>
      </c>
      <c r="AC99">
        <v>34</v>
      </c>
      <c r="AD99">
        <v>49</v>
      </c>
      <c r="AE99">
        <v>26</v>
      </c>
      <c r="AF99">
        <v>41</v>
      </c>
      <c r="AG99">
        <v>32</v>
      </c>
      <c r="AH99">
        <v>31</v>
      </c>
      <c r="AI99">
        <v>42</v>
      </c>
      <c r="AJ99">
        <v>36</v>
      </c>
      <c r="AK99">
        <v>53</v>
      </c>
      <c r="AL99">
        <v>44</v>
      </c>
      <c r="AM99">
        <v>43</v>
      </c>
      <c r="AN99">
        <v>39</v>
      </c>
      <c r="AO99">
        <v>39</v>
      </c>
      <c r="AP99">
        <v>63</v>
      </c>
      <c r="AQ99">
        <v>1689</v>
      </c>
      <c r="AR99">
        <v>1.184132622853759</v>
      </c>
      <c r="AS99">
        <f t="shared" si="5"/>
        <v>0.37514818640392911</v>
      </c>
      <c r="AT99">
        <f t="shared" si="6"/>
        <v>3.0161914186875902E-2</v>
      </c>
      <c r="AU99">
        <f t="shared" si="7"/>
        <v>3.01619141868759</v>
      </c>
      <c r="AV99">
        <f t="shared" si="8"/>
        <v>3</v>
      </c>
      <c r="AW99">
        <f t="shared" si="9"/>
        <v>9.3923170846247697E-2</v>
      </c>
    </row>
    <row r="100" spans="1:49" x14ac:dyDescent="0.3">
      <c r="A100" t="s">
        <v>149</v>
      </c>
      <c r="B100" t="s">
        <v>148</v>
      </c>
      <c r="C100">
        <v>2</v>
      </c>
      <c r="D100" t="s">
        <v>12</v>
      </c>
      <c r="E100">
        <v>127</v>
      </c>
      <c r="F100">
        <v>99</v>
      </c>
      <c r="G100">
        <v>110</v>
      </c>
      <c r="H100">
        <v>120</v>
      </c>
      <c r="I100">
        <v>100</v>
      </c>
      <c r="J100">
        <v>103</v>
      </c>
      <c r="K100">
        <v>109</v>
      </c>
      <c r="L100">
        <v>120</v>
      </c>
      <c r="M100">
        <v>116</v>
      </c>
      <c r="N100">
        <v>116</v>
      </c>
      <c r="O100">
        <v>129</v>
      </c>
      <c r="P100">
        <v>115</v>
      </c>
      <c r="Q100">
        <v>114</v>
      </c>
      <c r="R100">
        <v>115</v>
      </c>
      <c r="S100">
        <v>100</v>
      </c>
      <c r="T100">
        <v>92</v>
      </c>
      <c r="U100">
        <v>104</v>
      </c>
      <c r="V100">
        <v>117</v>
      </c>
      <c r="W100">
        <v>123</v>
      </c>
      <c r="X100">
        <v>99</v>
      </c>
      <c r="Y100">
        <v>119</v>
      </c>
      <c r="Z100">
        <v>73</v>
      </c>
      <c r="AA100">
        <v>84</v>
      </c>
      <c r="AB100">
        <v>102</v>
      </c>
      <c r="AC100">
        <v>87</v>
      </c>
      <c r="AD100">
        <v>114</v>
      </c>
      <c r="AE100">
        <v>120</v>
      </c>
      <c r="AF100">
        <v>121</v>
      </c>
      <c r="AG100">
        <v>119</v>
      </c>
      <c r="AH100">
        <v>109</v>
      </c>
      <c r="AI100">
        <v>115</v>
      </c>
      <c r="AJ100">
        <v>103</v>
      </c>
      <c r="AK100">
        <v>134</v>
      </c>
      <c r="AL100">
        <v>117</v>
      </c>
      <c r="AM100">
        <v>100</v>
      </c>
      <c r="AN100">
        <v>100</v>
      </c>
      <c r="AO100">
        <v>102</v>
      </c>
      <c r="AP100">
        <v>130</v>
      </c>
      <c r="AQ100">
        <v>4177</v>
      </c>
      <c r="AR100">
        <v>0.47881254488867608</v>
      </c>
      <c r="AS100">
        <f t="shared" si="5"/>
        <v>0.13244294513524885</v>
      </c>
      <c r="AT100">
        <f t="shared" si="6"/>
        <v>1.0648412788874007E-2</v>
      </c>
      <c r="AU100">
        <f t="shared" si="7"/>
        <v>1.0648412788874007</v>
      </c>
      <c r="AV100">
        <f t="shared" si="8"/>
        <v>3</v>
      </c>
      <c r="AW100">
        <f t="shared" si="9"/>
        <v>9.3923170846247697E-2</v>
      </c>
    </row>
    <row r="101" spans="1:49" x14ac:dyDescent="0.3">
      <c r="A101" t="s">
        <v>150</v>
      </c>
      <c r="B101" t="s">
        <v>91</v>
      </c>
      <c r="C101">
        <v>1</v>
      </c>
      <c r="D101" t="s">
        <v>24</v>
      </c>
      <c r="E101">
        <v>9</v>
      </c>
      <c r="F101">
        <v>6</v>
      </c>
      <c r="G101">
        <v>7</v>
      </c>
      <c r="H101">
        <v>15</v>
      </c>
      <c r="I101">
        <v>7</v>
      </c>
      <c r="J101">
        <v>12</v>
      </c>
      <c r="K101">
        <v>13</v>
      </c>
      <c r="L101">
        <v>15</v>
      </c>
      <c r="M101">
        <v>17</v>
      </c>
      <c r="N101">
        <v>21</v>
      </c>
      <c r="O101">
        <v>15</v>
      </c>
      <c r="P101">
        <v>18</v>
      </c>
      <c r="Q101">
        <v>16</v>
      </c>
      <c r="R101">
        <v>17</v>
      </c>
      <c r="S101">
        <v>20</v>
      </c>
      <c r="T101">
        <v>17</v>
      </c>
      <c r="U101">
        <v>20</v>
      </c>
      <c r="V101">
        <v>25</v>
      </c>
      <c r="W101">
        <v>27</v>
      </c>
      <c r="X101">
        <v>4</v>
      </c>
      <c r="Y101">
        <v>7</v>
      </c>
      <c r="Z101">
        <v>4</v>
      </c>
      <c r="AA101">
        <v>10</v>
      </c>
      <c r="AB101">
        <v>11</v>
      </c>
      <c r="AC101">
        <v>6</v>
      </c>
      <c r="AD101">
        <v>14</v>
      </c>
      <c r="AE101">
        <v>18</v>
      </c>
      <c r="AF101">
        <v>21</v>
      </c>
      <c r="AG101">
        <v>6</v>
      </c>
      <c r="AH101">
        <v>18</v>
      </c>
      <c r="AI101">
        <v>15</v>
      </c>
      <c r="AJ101">
        <v>14</v>
      </c>
      <c r="AK101">
        <v>13</v>
      </c>
      <c r="AL101">
        <v>17</v>
      </c>
      <c r="AM101">
        <v>26</v>
      </c>
      <c r="AN101">
        <v>24</v>
      </c>
      <c r="AO101">
        <v>17</v>
      </c>
      <c r="AP101">
        <v>25</v>
      </c>
      <c r="AQ101">
        <v>567</v>
      </c>
      <c r="AR101">
        <v>1.7636684303350969</v>
      </c>
      <c r="AS101">
        <f t="shared" si="5"/>
        <v>0.57457023941623653</v>
      </c>
      <c r="AT101">
        <f t="shared" si="6"/>
        <v>4.6195447249065415E-2</v>
      </c>
      <c r="AU101">
        <f t="shared" si="7"/>
        <v>4.6195447249065413</v>
      </c>
      <c r="AV101">
        <f t="shared" si="8"/>
        <v>3</v>
      </c>
      <c r="AW101">
        <f t="shared" si="9"/>
        <v>9.3923170846247697E-2</v>
      </c>
    </row>
    <row r="102" spans="1:49" x14ac:dyDescent="0.3">
      <c r="A102" t="s">
        <v>151</v>
      </c>
      <c r="B102" t="s">
        <v>148</v>
      </c>
      <c r="C102">
        <v>2</v>
      </c>
      <c r="D102" t="s">
        <v>12</v>
      </c>
      <c r="E102">
        <v>33</v>
      </c>
      <c r="F102">
        <v>30</v>
      </c>
      <c r="G102">
        <v>23</v>
      </c>
      <c r="H102">
        <v>30</v>
      </c>
      <c r="I102">
        <v>25</v>
      </c>
      <c r="J102">
        <v>26</v>
      </c>
      <c r="K102">
        <v>33</v>
      </c>
      <c r="L102">
        <v>23</v>
      </c>
      <c r="M102">
        <v>28</v>
      </c>
      <c r="N102">
        <v>34</v>
      </c>
      <c r="O102">
        <v>29</v>
      </c>
      <c r="P102">
        <v>32</v>
      </c>
      <c r="Q102">
        <v>28</v>
      </c>
      <c r="R102">
        <v>22</v>
      </c>
      <c r="S102">
        <v>39</v>
      </c>
      <c r="T102">
        <v>38</v>
      </c>
      <c r="U102">
        <v>45</v>
      </c>
      <c r="V102">
        <v>34</v>
      </c>
      <c r="W102">
        <v>54</v>
      </c>
      <c r="X102">
        <v>29</v>
      </c>
      <c r="Y102">
        <v>36</v>
      </c>
      <c r="Z102">
        <v>29</v>
      </c>
      <c r="AA102">
        <v>20</v>
      </c>
      <c r="AB102">
        <v>19</v>
      </c>
      <c r="AC102">
        <v>24</v>
      </c>
      <c r="AD102">
        <v>15</v>
      </c>
      <c r="AE102">
        <v>24</v>
      </c>
      <c r="AF102">
        <v>17</v>
      </c>
      <c r="AG102">
        <v>35</v>
      </c>
      <c r="AH102">
        <v>23</v>
      </c>
      <c r="AI102">
        <v>22</v>
      </c>
      <c r="AJ102">
        <v>31</v>
      </c>
      <c r="AK102">
        <v>18</v>
      </c>
      <c r="AL102">
        <v>33</v>
      </c>
      <c r="AM102">
        <v>33</v>
      </c>
      <c r="AN102">
        <v>36</v>
      </c>
      <c r="AO102">
        <v>39</v>
      </c>
      <c r="AP102">
        <v>41</v>
      </c>
      <c r="AQ102">
        <v>1130</v>
      </c>
      <c r="AR102">
        <v>1.7699115044247791</v>
      </c>
      <c r="AS102">
        <f t="shared" si="5"/>
        <v>0.57671852194856732</v>
      </c>
      <c r="AT102">
        <f t="shared" si="6"/>
        <v>4.636816916466481E-2</v>
      </c>
      <c r="AU102">
        <f t="shared" si="7"/>
        <v>4.636816916466481</v>
      </c>
      <c r="AV102">
        <f t="shared" si="8"/>
        <v>3</v>
      </c>
      <c r="AW102">
        <f t="shared" si="9"/>
        <v>9.3923170846247697E-2</v>
      </c>
    </row>
    <row r="103" spans="1:49" x14ac:dyDescent="0.3">
      <c r="A103" t="s">
        <v>152</v>
      </c>
      <c r="B103" t="s">
        <v>148</v>
      </c>
      <c r="C103">
        <v>1</v>
      </c>
      <c r="D103" t="s">
        <v>12</v>
      </c>
      <c r="E103">
        <v>20</v>
      </c>
      <c r="F103">
        <v>12</v>
      </c>
      <c r="G103">
        <v>9</v>
      </c>
      <c r="H103">
        <v>14</v>
      </c>
      <c r="I103">
        <v>15</v>
      </c>
      <c r="J103">
        <v>15</v>
      </c>
      <c r="K103">
        <v>16</v>
      </c>
      <c r="L103">
        <v>9</v>
      </c>
      <c r="M103">
        <v>12</v>
      </c>
      <c r="N103">
        <v>15</v>
      </c>
      <c r="O103">
        <v>14</v>
      </c>
      <c r="P103">
        <v>21</v>
      </c>
      <c r="Q103">
        <v>18</v>
      </c>
      <c r="R103">
        <v>23</v>
      </c>
      <c r="S103">
        <v>27</v>
      </c>
      <c r="T103">
        <v>22</v>
      </c>
      <c r="U103">
        <v>20</v>
      </c>
      <c r="V103">
        <v>22</v>
      </c>
      <c r="W103">
        <v>22</v>
      </c>
      <c r="X103">
        <v>22</v>
      </c>
      <c r="Y103">
        <v>17</v>
      </c>
      <c r="Z103">
        <v>6</v>
      </c>
      <c r="AA103">
        <v>8</v>
      </c>
      <c r="AB103">
        <v>11</v>
      </c>
      <c r="AC103">
        <v>8</v>
      </c>
      <c r="AD103">
        <v>9</v>
      </c>
      <c r="AE103">
        <v>9</v>
      </c>
      <c r="AF103">
        <v>17</v>
      </c>
      <c r="AG103">
        <v>17</v>
      </c>
      <c r="AH103">
        <v>22</v>
      </c>
      <c r="AI103">
        <v>14</v>
      </c>
      <c r="AJ103">
        <v>18</v>
      </c>
      <c r="AK103">
        <v>19</v>
      </c>
      <c r="AL103">
        <v>15</v>
      </c>
      <c r="AM103">
        <v>27</v>
      </c>
      <c r="AN103">
        <v>12</v>
      </c>
      <c r="AO103">
        <v>24</v>
      </c>
      <c r="AP103">
        <v>40</v>
      </c>
      <c r="AQ103">
        <v>641</v>
      </c>
      <c r="AR103">
        <v>1.5600624024961001</v>
      </c>
      <c r="AS103">
        <f t="shared" si="5"/>
        <v>0.50450807664186603</v>
      </c>
      <c r="AT103">
        <f t="shared" si="6"/>
        <v>4.056244936200603E-2</v>
      </c>
      <c r="AU103">
        <f t="shared" si="7"/>
        <v>4.0562449362006028</v>
      </c>
      <c r="AV103">
        <f t="shared" si="8"/>
        <v>3</v>
      </c>
      <c r="AW103">
        <f t="shared" si="9"/>
        <v>9.3923170846247697E-2</v>
      </c>
    </row>
    <row r="104" spans="1:49" x14ac:dyDescent="0.3">
      <c r="A104" t="s">
        <v>153</v>
      </c>
      <c r="B104" t="s">
        <v>148</v>
      </c>
      <c r="C104">
        <v>2</v>
      </c>
      <c r="D104" t="s">
        <v>12</v>
      </c>
      <c r="E104">
        <v>45</v>
      </c>
      <c r="F104">
        <v>64</v>
      </c>
      <c r="G104">
        <v>54</v>
      </c>
      <c r="H104">
        <v>35</v>
      </c>
      <c r="I104">
        <v>34</v>
      </c>
      <c r="J104">
        <v>36</v>
      </c>
      <c r="K104">
        <v>32</v>
      </c>
      <c r="L104">
        <v>29</v>
      </c>
      <c r="M104">
        <v>43</v>
      </c>
      <c r="N104">
        <v>29</v>
      </c>
      <c r="O104">
        <v>36</v>
      </c>
      <c r="P104">
        <v>42</v>
      </c>
      <c r="Q104">
        <v>30</v>
      </c>
      <c r="R104">
        <v>50</v>
      </c>
      <c r="S104">
        <v>37</v>
      </c>
      <c r="T104">
        <v>50</v>
      </c>
      <c r="U104">
        <v>60</v>
      </c>
      <c r="V104">
        <v>52</v>
      </c>
      <c r="W104">
        <v>76</v>
      </c>
      <c r="X104">
        <v>56</v>
      </c>
      <c r="Y104">
        <v>53</v>
      </c>
      <c r="Z104">
        <v>42</v>
      </c>
      <c r="AA104">
        <v>38</v>
      </c>
      <c r="AB104">
        <v>40</v>
      </c>
      <c r="AC104">
        <v>41</v>
      </c>
      <c r="AD104">
        <v>28</v>
      </c>
      <c r="AE104">
        <v>30</v>
      </c>
      <c r="AF104">
        <v>46</v>
      </c>
      <c r="AG104">
        <v>41</v>
      </c>
      <c r="AH104">
        <v>49</v>
      </c>
      <c r="AI104">
        <v>43</v>
      </c>
      <c r="AJ104">
        <v>37</v>
      </c>
      <c r="AK104">
        <v>56</v>
      </c>
      <c r="AL104">
        <v>53</v>
      </c>
      <c r="AM104">
        <v>57</v>
      </c>
      <c r="AN104">
        <v>53</v>
      </c>
      <c r="AO104">
        <v>66</v>
      </c>
      <c r="AP104">
        <v>47</v>
      </c>
      <c r="AQ104">
        <v>1710</v>
      </c>
      <c r="AR104">
        <v>1.169590643274854</v>
      </c>
      <c r="AS104">
        <f t="shared" si="5"/>
        <v>0.37014419633972301</v>
      </c>
      <c r="AT104">
        <f t="shared" si="6"/>
        <v>2.9759593385713729E-2</v>
      </c>
      <c r="AU104">
        <f t="shared" si="7"/>
        <v>2.9759593385713727</v>
      </c>
      <c r="AV104">
        <f t="shared" si="8"/>
        <v>3</v>
      </c>
      <c r="AW104">
        <f t="shared" si="9"/>
        <v>9.3923170846247697E-2</v>
      </c>
    </row>
    <row r="105" spans="1:49" x14ac:dyDescent="0.3">
      <c r="A105" t="s">
        <v>154</v>
      </c>
      <c r="B105" t="s">
        <v>132</v>
      </c>
      <c r="C105">
        <v>3</v>
      </c>
      <c r="D105" t="s">
        <v>12</v>
      </c>
      <c r="E105">
        <v>81</v>
      </c>
      <c r="F105">
        <v>43</v>
      </c>
      <c r="G105">
        <v>45</v>
      </c>
      <c r="H105">
        <v>52</v>
      </c>
      <c r="I105">
        <v>59</v>
      </c>
      <c r="J105">
        <v>49</v>
      </c>
      <c r="K105">
        <v>74</v>
      </c>
      <c r="L105">
        <v>74</v>
      </c>
      <c r="M105">
        <v>86</v>
      </c>
      <c r="N105">
        <v>110</v>
      </c>
      <c r="O105">
        <v>130</v>
      </c>
      <c r="P105">
        <v>141</v>
      </c>
      <c r="Q105">
        <v>142</v>
      </c>
      <c r="R105">
        <v>159</v>
      </c>
      <c r="S105">
        <v>145</v>
      </c>
      <c r="T105">
        <v>195</v>
      </c>
      <c r="U105">
        <v>140</v>
      </c>
      <c r="V105">
        <v>184</v>
      </c>
      <c r="W105">
        <v>182</v>
      </c>
      <c r="X105">
        <v>61</v>
      </c>
      <c r="Y105">
        <v>46</v>
      </c>
      <c r="Z105">
        <v>48</v>
      </c>
      <c r="AA105">
        <v>42</v>
      </c>
      <c r="AB105">
        <v>61</v>
      </c>
      <c r="AC105">
        <v>56</v>
      </c>
      <c r="AD105">
        <v>58</v>
      </c>
      <c r="AE105">
        <v>72</v>
      </c>
      <c r="AF105">
        <v>88</v>
      </c>
      <c r="AG105">
        <v>103</v>
      </c>
      <c r="AH105">
        <v>130</v>
      </c>
      <c r="AI105">
        <v>149</v>
      </c>
      <c r="AJ105">
        <v>149</v>
      </c>
      <c r="AK105">
        <v>178</v>
      </c>
      <c r="AL105">
        <v>185</v>
      </c>
      <c r="AM105">
        <v>202</v>
      </c>
      <c r="AN105">
        <v>195</v>
      </c>
      <c r="AO105">
        <v>180</v>
      </c>
      <c r="AP105">
        <v>172</v>
      </c>
      <c r="AQ105">
        <v>4266</v>
      </c>
      <c r="AR105">
        <v>0.70323488045007032</v>
      </c>
      <c r="AS105">
        <f t="shared" si="5"/>
        <v>0.20966813523001515</v>
      </c>
      <c r="AT105">
        <f t="shared" si="6"/>
        <v>1.6857318072493219E-2</v>
      </c>
      <c r="AU105">
        <f t="shared" si="7"/>
        <v>1.6857318072493219</v>
      </c>
      <c r="AV105">
        <f t="shared" si="8"/>
        <v>3</v>
      </c>
      <c r="AW105">
        <f t="shared" si="9"/>
        <v>9.3923170846247697E-2</v>
      </c>
    </row>
    <row r="106" spans="1:49" x14ac:dyDescent="0.3">
      <c r="A106" t="s">
        <v>155</v>
      </c>
      <c r="B106" t="s">
        <v>36</v>
      </c>
      <c r="C106">
        <v>1</v>
      </c>
      <c r="D106" t="s">
        <v>12</v>
      </c>
      <c r="E106">
        <v>68</v>
      </c>
      <c r="F106">
        <v>52</v>
      </c>
      <c r="G106">
        <v>37</v>
      </c>
      <c r="H106">
        <v>33</v>
      </c>
      <c r="I106">
        <v>29</v>
      </c>
      <c r="J106">
        <v>30</v>
      </c>
      <c r="K106">
        <v>37</v>
      </c>
      <c r="L106">
        <v>35</v>
      </c>
      <c r="M106">
        <v>33</v>
      </c>
      <c r="N106">
        <v>61</v>
      </c>
      <c r="O106">
        <v>55</v>
      </c>
      <c r="P106">
        <v>66</v>
      </c>
      <c r="Q106">
        <v>50</v>
      </c>
      <c r="R106">
        <v>54</v>
      </c>
      <c r="S106">
        <v>64</v>
      </c>
      <c r="T106">
        <v>54</v>
      </c>
      <c r="U106">
        <v>70</v>
      </c>
      <c r="V106">
        <v>67</v>
      </c>
      <c r="W106">
        <v>80</v>
      </c>
      <c r="X106">
        <v>71</v>
      </c>
      <c r="Y106">
        <v>38</v>
      </c>
      <c r="Z106">
        <v>38</v>
      </c>
      <c r="AA106">
        <v>29</v>
      </c>
      <c r="AB106">
        <v>17</v>
      </c>
      <c r="AC106">
        <v>26</v>
      </c>
      <c r="AD106">
        <v>26</v>
      </c>
      <c r="AE106">
        <v>40</v>
      </c>
      <c r="AF106">
        <v>31</v>
      </c>
      <c r="AG106">
        <v>44</v>
      </c>
      <c r="AH106">
        <v>50</v>
      </c>
      <c r="AI106">
        <v>63</v>
      </c>
      <c r="AJ106">
        <v>54</v>
      </c>
      <c r="AK106">
        <v>64</v>
      </c>
      <c r="AL106">
        <v>48</v>
      </c>
      <c r="AM106">
        <v>66</v>
      </c>
      <c r="AN106">
        <v>64</v>
      </c>
      <c r="AO106">
        <v>64</v>
      </c>
      <c r="AP106">
        <v>83</v>
      </c>
      <c r="AQ106">
        <v>1891</v>
      </c>
      <c r="AR106">
        <v>0.52882072977260708</v>
      </c>
      <c r="AS106">
        <f t="shared" si="5"/>
        <v>0.14965108787333792</v>
      </c>
      <c r="AT106">
        <f t="shared" si="6"/>
        <v>1.2031947465016369E-2</v>
      </c>
      <c r="AU106">
        <f t="shared" si="7"/>
        <v>1.2031947465016368</v>
      </c>
      <c r="AV106">
        <f t="shared" si="8"/>
        <v>3</v>
      </c>
      <c r="AW106">
        <f t="shared" si="9"/>
        <v>9.3923170846247697E-2</v>
      </c>
    </row>
    <row r="107" spans="1:49" x14ac:dyDescent="0.3">
      <c r="A107" t="s">
        <v>156</v>
      </c>
      <c r="B107" t="s">
        <v>124</v>
      </c>
      <c r="C107">
        <v>1</v>
      </c>
      <c r="D107" t="s">
        <v>12</v>
      </c>
      <c r="E107">
        <v>36</v>
      </c>
      <c r="F107">
        <v>27</v>
      </c>
      <c r="G107">
        <v>21</v>
      </c>
      <c r="H107">
        <v>21</v>
      </c>
      <c r="I107">
        <v>25</v>
      </c>
      <c r="J107">
        <v>16</v>
      </c>
      <c r="K107">
        <v>23</v>
      </c>
      <c r="L107">
        <v>32</v>
      </c>
      <c r="M107">
        <v>16</v>
      </c>
      <c r="N107">
        <v>32</v>
      </c>
      <c r="O107">
        <v>28</v>
      </c>
      <c r="P107">
        <v>36</v>
      </c>
      <c r="Q107">
        <v>38</v>
      </c>
      <c r="R107">
        <v>41</v>
      </c>
      <c r="S107">
        <v>50</v>
      </c>
      <c r="T107">
        <v>33</v>
      </c>
      <c r="U107">
        <v>38</v>
      </c>
      <c r="V107">
        <v>49</v>
      </c>
      <c r="W107">
        <v>66</v>
      </c>
      <c r="X107">
        <v>24</v>
      </c>
      <c r="Y107">
        <v>19</v>
      </c>
      <c r="Z107">
        <v>21</v>
      </c>
      <c r="AA107">
        <v>14</v>
      </c>
      <c r="AB107">
        <v>19</v>
      </c>
      <c r="AC107">
        <v>21</v>
      </c>
      <c r="AD107">
        <v>20</v>
      </c>
      <c r="AE107">
        <v>23</v>
      </c>
      <c r="AF107">
        <v>23</v>
      </c>
      <c r="AG107">
        <v>22</v>
      </c>
      <c r="AH107">
        <v>16</v>
      </c>
      <c r="AI107">
        <v>26</v>
      </c>
      <c r="AJ107">
        <v>32</v>
      </c>
      <c r="AK107">
        <v>47</v>
      </c>
      <c r="AL107">
        <v>37</v>
      </c>
      <c r="AM107">
        <v>46</v>
      </c>
      <c r="AN107">
        <v>39</v>
      </c>
      <c r="AO107">
        <v>41</v>
      </c>
      <c r="AP107">
        <v>62</v>
      </c>
      <c r="AQ107">
        <v>1180</v>
      </c>
      <c r="AR107">
        <v>0.84745762711864403</v>
      </c>
      <c r="AS107">
        <f t="shared" si="5"/>
        <v>0.25929612345858905</v>
      </c>
      <c r="AT107">
        <f t="shared" si="6"/>
        <v>2.0847408326070561E-2</v>
      </c>
      <c r="AU107">
        <f t="shared" si="7"/>
        <v>2.0847408326070562</v>
      </c>
      <c r="AV107">
        <f t="shared" si="8"/>
        <v>3</v>
      </c>
      <c r="AW107">
        <f t="shared" si="9"/>
        <v>9.3923170846247697E-2</v>
      </c>
    </row>
    <row r="108" spans="1:49" x14ac:dyDescent="0.3">
      <c r="A108" t="s">
        <v>157</v>
      </c>
      <c r="B108" t="s">
        <v>23</v>
      </c>
      <c r="C108">
        <v>2</v>
      </c>
      <c r="D108" t="s">
        <v>24</v>
      </c>
      <c r="E108">
        <v>92</v>
      </c>
      <c r="F108">
        <v>93</v>
      </c>
      <c r="G108">
        <v>70</v>
      </c>
      <c r="H108">
        <v>71</v>
      </c>
      <c r="I108">
        <v>59</v>
      </c>
      <c r="J108">
        <v>65</v>
      </c>
      <c r="K108">
        <v>70</v>
      </c>
      <c r="L108">
        <v>80</v>
      </c>
      <c r="M108">
        <v>92</v>
      </c>
      <c r="N108">
        <v>79</v>
      </c>
      <c r="O108">
        <v>100</v>
      </c>
      <c r="P108">
        <v>112</v>
      </c>
      <c r="Q108">
        <v>121</v>
      </c>
      <c r="R108">
        <v>112</v>
      </c>
      <c r="S108">
        <v>139</v>
      </c>
      <c r="T108">
        <v>142</v>
      </c>
      <c r="U108">
        <v>133</v>
      </c>
      <c r="V108">
        <v>143</v>
      </c>
      <c r="W108">
        <v>152</v>
      </c>
      <c r="X108">
        <v>100</v>
      </c>
      <c r="Y108">
        <v>65</v>
      </c>
      <c r="Z108">
        <v>57</v>
      </c>
      <c r="AA108">
        <v>84</v>
      </c>
      <c r="AB108">
        <v>86</v>
      </c>
      <c r="AC108">
        <v>80</v>
      </c>
      <c r="AD108">
        <v>61</v>
      </c>
      <c r="AE108">
        <v>71</v>
      </c>
      <c r="AF108">
        <v>66</v>
      </c>
      <c r="AG108">
        <v>87</v>
      </c>
      <c r="AH108">
        <v>114</v>
      </c>
      <c r="AI108">
        <v>95</v>
      </c>
      <c r="AJ108">
        <v>104</v>
      </c>
      <c r="AK108">
        <v>150</v>
      </c>
      <c r="AL108">
        <v>119</v>
      </c>
      <c r="AM108">
        <v>123</v>
      </c>
      <c r="AN108">
        <v>119</v>
      </c>
      <c r="AO108">
        <v>136</v>
      </c>
      <c r="AP108">
        <v>145</v>
      </c>
      <c r="AQ108">
        <v>3787</v>
      </c>
      <c r="AR108">
        <v>0.52812252442566676</v>
      </c>
      <c r="AS108">
        <f t="shared" si="5"/>
        <v>0.14941083085744075</v>
      </c>
      <c r="AT108">
        <f t="shared" si="6"/>
        <v>1.2012630800938236E-2</v>
      </c>
      <c r="AU108">
        <f t="shared" si="7"/>
        <v>1.2012630800938235</v>
      </c>
      <c r="AV108">
        <f t="shared" si="8"/>
        <v>3</v>
      </c>
      <c r="AW108">
        <f t="shared" si="9"/>
        <v>9.3923170846247697E-2</v>
      </c>
    </row>
    <row r="109" spans="1:49" x14ac:dyDescent="0.3">
      <c r="A109" t="s">
        <v>158</v>
      </c>
      <c r="B109" t="s">
        <v>23</v>
      </c>
      <c r="C109">
        <v>2</v>
      </c>
      <c r="D109" t="s">
        <v>24</v>
      </c>
      <c r="E109">
        <v>53</v>
      </c>
      <c r="F109">
        <v>52</v>
      </c>
      <c r="G109">
        <v>77</v>
      </c>
      <c r="H109">
        <v>59</v>
      </c>
      <c r="I109">
        <v>87</v>
      </c>
      <c r="J109">
        <v>82</v>
      </c>
      <c r="K109">
        <v>86</v>
      </c>
      <c r="L109">
        <v>121</v>
      </c>
      <c r="M109">
        <v>134</v>
      </c>
      <c r="N109">
        <v>164</v>
      </c>
      <c r="O109">
        <v>172</v>
      </c>
      <c r="P109">
        <v>161</v>
      </c>
      <c r="Q109">
        <v>175</v>
      </c>
      <c r="R109">
        <v>196</v>
      </c>
      <c r="S109">
        <v>177</v>
      </c>
      <c r="T109">
        <v>204</v>
      </c>
      <c r="U109">
        <v>164</v>
      </c>
      <c r="V109">
        <v>185</v>
      </c>
      <c r="W109">
        <v>235</v>
      </c>
      <c r="X109">
        <v>50</v>
      </c>
      <c r="Y109">
        <v>61</v>
      </c>
      <c r="Z109">
        <v>45</v>
      </c>
      <c r="AA109">
        <v>59</v>
      </c>
      <c r="AB109">
        <v>76</v>
      </c>
      <c r="AC109">
        <v>78</v>
      </c>
      <c r="AD109">
        <v>88</v>
      </c>
      <c r="AE109">
        <v>107</v>
      </c>
      <c r="AF109">
        <v>138</v>
      </c>
      <c r="AG109">
        <v>150</v>
      </c>
      <c r="AH109">
        <v>176</v>
      </c>
      <c r="AI109">
        <v>169</v>
      </c>
      <c r="AJ109">
        <v>183</v>
      </c>
      <c r="AK109">
        <v>222</v>
      </c>
      <c r="AL109">
        <v>187</v>
      </c>
      <c r="AM109">
        <v>191</v>
      </c>
      <c r="AN109">
        <v>185</v>
      </c>
      <c r="AO109">
        <v>197</v>
      </c>
      <c r="AP109">
        <v>194</v>
      </c>
      <c r="AQ109">
        <v>5140</v>
      </c>
      <c r="AR109">
        <v>0.3891050583657587</v>
      </c>
      <c r="AS109">
        <f t="shared" si="5"/>
        <v>0.10157401365244283</v>
      </c>
      <c r="AT109">
        <f t="shared" si="6"/>
        <v>8.166550697656403E-3</v>
      </c>
      <c r="AU109">
        <f t="shared" si="7"/>
        <v>0.81665506976564028</v>
      </c>
      <c r="AV109">
        <f t="shared" si="8"/>
        <v>3</v>
      </c>
      <c r="AW109">
        <f t="shared" si="9"/>
        <v>9.3923170846247697E-2</v>
      </c>
    </row>
    <row r="110" spans="1:49" x14ac:dyDescent="0.3">
      <c r="A110" t="s">
        <v>159</v>
      </c>
      <c r="B110" t="s">
        <v>160</v>
      </c>
      <c r="C110">
        <v>1</v>
      </c>
      <c r="D110" t="s">
        <v>24</v>
      </c>
      <c r="E110">
        <v>38</v>
      </c>
      <c r="F110">
        <v>33</v>
      </c>
      <c r="G110">
        <v>26</v>
      </c>
      <c r="H110">
        <v>35</v>
      </c>
      <c r="I110">
        <v>28</v>
      </c>
      <c r="J110">
        <v>21</v>
      </c>
      <c r="K110">
        <v>32</v>
      </c>
      <c r="L110">
        <v>33</v>
      </c>
      <c r="M110">
        <v>37</v>
      </c>
      <c r="N110">
        <v>43</v>
      </c>
      <c r="O110">
        <v>32</v>
      </c>
      <c r="P110">
        <v>39</v>
      </c>
      <c r="Q110">
        <v>40</v>
      </c>
      <c r="R110">
        <v>45</v>
      </c>
      <c r="S110">
        <v>42</v>
      </c>
      <c r="T110">
        <v>50</v>
      </c>
      <c r="U110">
        <v>35</v>
      </c>
      <c r="V110">
        <v>43</v>
      </c>
      <c r="W110">
        <v>47</v>
      </c>
      <c r="X110">
        <v>27</v>
      </c>
      <c r="Y110">
        <v>30</v>
      </c>
      <c r="Z110">
        <v>33</v>
      </c>
      <c r="AA110">
        <v>17</v>
      </c>
      <c r="AB110">
        <v>33</v>
      </c>
      <c r="AC110">
        <v>30</v>
      </c>
      <c r="AD110">
        <v>33</v>
      </c>
      <c r="AE110">
        <v>29</v>
      </c>
      <c r="AF110">
        <v>32</v>
      </c>
      <c r="AG110">
        <v>25</v>
      </c>
      <c r="AH110">
        <v>35</v>
      </c>
      <c r="AI110">
        <v>40</v>
      </c>
      <c r="AJ110">
        <v>38</v>
      </c>
      <c r="AK110">
        <v>29</v>
      </c>
      <c r="AL110">
        <v>29</v>
      </c>
      <c r="AM110">
        <v>41</v>
      </c>
      <c r="AN110">
        <v>28</v>
      </c>
      <c r="AO110">
        <v>44</v>
      </c>
      <c r="AP110">
        <v>50</v>
      </c>
      <c r="AQ110">
        <v>1322</v>
      </c>
      <c r="AR110">
        <v>0.75642965204236012</v>
      </c>
      <c r="AS110">
        <f t="shared" si="5"/>
        <v>0.22797280324795607</v>
      </c>
      <c r="AT110">
        <f t="shared" si="6"/>
        <v>1.832901338113567E-2</v>
      </c>
      <c r="AU110">
        <f t="shared" si="7"/>
        <v>1.832901338113567</v>
      </c>
      <c r="AV110">
        <f t="shared" si="8"/>
        <v>3</v>
      </c>
      <c r="AW110">
        <f t="shared" si="9"/>
        <v>9.3923170846247697E-2</v>
      </c>
    </row>
    <row r="111" spans="1:49" x14ac:dyDescent="0.3">
      <c r="A111" t="s">
        <v>161</v>
      </c>
      <c r="B111" t="s">
        <v>160</v>
      </c>
      <c r="C111">
        <v>4</v>
      </c>
      <c r="D111" t="s">
        <v>24</v>
      </c>
      <c r="E111">
        <v>52</v>
      </c>
      <c r="F111">
        <v>36</v>
      </c>
      <c r="G111">
        <v>38</v>
      </c>
      <c r="H111">
        <v>45</v>
      </c>
      <c r="I111">
        <v>38</v>
      </c>
      <c r="J111">
        <v>36</v>
      </c>
      <c r="K111">
        <v>33</v>
      </c>
      <c r="L111">
        <v>36</v>
      </c>
      <c r="M111">
        <v>43</v>
      </c>
      <c r="N111">
        <v>39</v>
      </c>
      <c r="O111">
        <v>42</v>
      </c>
      <c r="P111">
        <v>38</v>
      </c>
      <c r="Q111">
        <v>36</v>
      </c>
      <c r="R111">
        <v>55</v>
      </c>
      <c r="S111">
        <v>41</v>
      </c>
      <c r="T111">
        <v>56</v>
      </c>
      <c r="U111">
        <v>45</v>
      </c>
      <c r="V111">
        <v>58</v>
      </c>
      <c r="W111">
        <v>43</v>
      </c>
      <c r="X111">
        <v>40</v>
      </c>
      <c r="Y111">
        <v>45</v>
      </c>
      <c r="Z111">
        <v>36</v>
      </c>
      <c r="AA111">
        <v>43</v>
      </c>
      <c r="AB111">
        <v>35</v>
      </c>
      <c r="AC111">
        <v>25</v>
      </c>
      <c r="AD111">
        <v>39</v>
      </c>
      <c r="AE111">
        <v>27</v>
      </c>
      <c r="AF111">
        <v>46</v>
      </c>
      <c r="AG111">
        <v>44</v>
      </c>
      <c r="AH111">
        <v>45</v>
      </c>
      <c r="AI111">
        <v>44</v>
      </c>
      <c r="AJ111">
        <v>35</v>
      </c>
      <c r="AK111">
        <v>36</v>
      </c>
      <c r="AL111">
        <v>43</v>
      </c>
      <c r="AM111">
        <v>48</v>
      </c>
      <c r="AN111">
        <v>44</v>
      </c>
      <c r="AO111">
        <v>54</v>
      </c>
      <c r="AP111">
        <v>51</v>
      </c>
      <c r="AQ111">
        <v>1590</v>
      </c>
      <c r="AR111">
        <v>2.515723270440251</v>
      </c>
      <c r="AS111">
        <f t="shared" si="5"/>
        <v>0.83335721729670509</v>
      </c>
      <c r="AT111">
        <f t="shared" si="6"/>
        <v>6.7001920270655088E-2</v>
      </c>
      <c r="AU111">
        <f t="shared" si="7"/>
        <v>6.7001920270655084</v>
      </c>
      <c r="AV111">
        <f t="shared" si="8"/>
        <v>3</v>
      </c>
      <c r="AW111">
        <f t="shared" si="9"/>
        <v>9.3923170846247697E-2</v>
      </c>
    </row>
    <row r="112" spans="1:49" x14ac:dyDescent="0.3">
      <c r="A112" t="s">
        <v>162</v>
      </c>
      <c r="B112" t="s">
        <v>160</v>
      </c>
      <c r="C112">
        <v>2</v>
      </c>
      <c r="D112" t="s">
        <v>24</v>
      </c>
      <c r="E112">
        <v>69</v>
      </c>
      <c r="F112">
        <v>71</v>
      </c>
      <c r="G112">
        <v>62</v>
      </c>
      <c r="H112">
        <v>95</v>
      </c>
      <c r="I112">
        <v>104</v>
      </c>
      <c r="J112">
        <v>97</v>
      </c>
      <c r="K112">
        <v>110</v>
      </c>
      <c r="L112">
        <v>108</v>
      </c>
      <c r="M112">
        <v>119</v>
      </c>
      <c r="N112">
        <v>111</v>
      </c>
      <c r="O112">
        <v>147</v>
      </c>
      <c r="P112">
        <v>105</v>
      </c>
      <c r="Q112">
        <v>132</v>
      </c>
      <c r="R112">
        <v>141</v>
      </c>
      <c r="S112">
        <v>131</v>
      </c>
      <c r="T112">
        <v>133</v>
      </c>
      <c r="U112">
        <v>145</v>
      </c>
      <c r="V112">
        <v>134</v>
      </c>
      <c r="W112">
        <v>143</v>
      </c>
      <c r="X112">
        <v>55</v>
      </c>
      <c r="Y112">
        <v>63</v>
      </c>
      <c r="Z112">
        <v>71</v>
      </c>
      <c r="AA112">
        <v>67</v>
      </c>
      <c r="AB112">
        <v>101</v>
      </c>
      <c r="AC112">
        <v>107</v>
      </c>
      <c r="AD112">
        <v>81</v>
      </c>
      <c r="AE112">
        <v>100</v>
      </c>
      <c r="AF112">
        <v>116</v>
      </c>
      <c r="AG112">
        <v>103</v>
      </c>
      <c r="AH112">
        <v>105</v>
      </c>
      <c r="AI112">
        <v>101</v>
      </c>
      <c r="AJ112">
        <v>124</v>
      </c>
      <c r="AK112">
        <v>124</v>
      </c>
      <c r="AL112">
        <v>134</v>
      </c>
      <c r="AM112">
        <v>121</v>
      </c>
      <c r="AN112">
        <v>114</v>
      </c>
      <c r="AO112">
        <v>124</v>
      </c>
      <c r="AP112">
        <v>157</v>
      </c>
      <c r="AQ112">
        <v>4125</v>
      </c>
      <c r="AR112">
        <v>0.48484848484848481</v>
      </c>
      <c r="AS112">
        <f t="shared" si="5"/>
        <v>0.13451995146187318</v>
      </c>
      <c r="AT112">
        <f t="shared" si="6"/>
        <v>1.0815404097534603E-2</v>
      </c>
      <c r="AU112">
        <f t="shared" si="7"/>
        <v>1.0815404097534602</v>
      </c>
      <c r="AV112">
        <f t="shared" si="8"/>
        <v>3</v>
      </c>
      <c r="AW112">
        <f t="shared" si="9"/>
        <v>9.3923170846247697E-2</v>
      </c>
    </row>
    <row r="113" spans="1:49" x14ac:dyDescent="0.3">
      <c r="A113" t="s">
        <v>163</v>
      </c>
      <c r="B113" t="s">
        <v>164</v>
      </c>
      <c r="C113">
        <v>6</v>
      </c>
      <c r="D113" t="s">
        <v>24</v>
      </c>
      <c r="E113">
        <v>26</v>
      </c>
      <c r="F113">
        <v>16</v>
      </c>
      <c r="G113">
        <v>28</v>
      </c>
      <c r="H113">
        <v>31</v>
      </c>
      <c r="I113">
        <v>25</v>
      </c>
      <c r="J113">
        <v>52</v>
      </c>
      <c r="K113">
        <v>48</v>
      </c>
      <c r="L113">
        <v>49</v>
      </c>
      <c r="M113">
        <v>49</v>
      </c>
      <c r="N113">
        <v>52</v>
      </c>
      <c r="O113">
        <v>66</v>
      </c>
      <c r="P113">
        <v>75</v>
      </c>
      <c r="Q113">
        <v>61</v>
      </c>
      <c r="R113">
        <v>87</v>
      </c>
      <c r="S113">
        <v>79</v>
      </c>
      <c r="T113">
        <v>88</v>
      </c>
      <c r="U113">
        <v>77</v>
      </c>
      <c r="V113">
        <v>93</v>
      </c>
      <c r="W113">
        <v>114</v>
      </c>
      <c r="X113">
        <v>33</v>
      </c>
      <c r="Y113">
        <v>26</v>
      </c>
      <c r="Z113">
        <v>23</v>
      </c>
      <c r="AA113">
        <v>29</v>
      </c>
      <c r="AB113">
        <v>30</v>
      </c>
      <c r="AC113">
        <v>37</v>
      </c>
      <c r="AD113">
        <v>30</v>
      </c>
      <c r="AE113">
        <v>45</v>
      </c>
      <c r="AF113">
        <v>42</v>
      </c>
      <c r="AG113">
        <v>53</v>
      </c>
      <c r="AH113">
        <v>60</v>
      </c>
      <c r="AI113">
        <v>74</v>
      </c>
      <c r="AJ113">
        <v>64</v>
      </c>
      <c r="AK113">
        <v>79</v>
      </c>
      <c r="AL113">
        <v>77</v>
      </c>
      <c r="AM113">
        <v>78</v>
      </c>
      <c r="AN113">
        <v>85</v>
      </c>
      <c r="AO113">
        <v>81</v>
      </c>
      <c r="AP113">
        <v>112</v>
      </c>
      <c r="AQ113">
        <v>2174</v>
      </c>
      <c r="AR113">
        <v>2.759889604415823</v>
      </c>
      <c r="AS113">
        <f t="shared" si="5"/>
        <v>0.91737644608174485</v>
      </c>
      <c r="AT113">
        <f t="shared" si="6"/>
        <v>7.375706626497229E-2</v>
      </c>
      <c r="AU113">
        <f t="shared" si="7"/>
        <v>7.3757066264972293</v>
      </c>
      <c r="AV113">
        <f t="shared" si="8"/>
        <v>3</v>
      </c>
      <c r="AW113">
        <f t="shared" si="9"/>
        <v>9.3923170846247697E-2</v>
      </c>
    </row>
    <row r="114" spans="1:49" x14ac:dyDescent="0.3">
      <c r="A114" t="s">
        <v>165</v>
      </c>
      <c r="B114" t="s">
        <v>148</v>
      </c>
      <c r="C114">
        <v>1</v>
      </c>
      <c r="D114" t="s">
        <v>12</v>
      </c>
      <c r="E114">
        <v>52</v>
      </c>
      <c r="F114">
        <v>31</v>
      </c>
      <c r="G114">
        <v>45</v>
      </c>
      <c r="H114">
        <v>33</v>
      </c>
      <c r="I114">
        <v>29</v>
      </c>
      <c r="J114">
        <v>31</v>
      </c>
      <c r="K114">
        <v>26</v>
      </c>
      <c r="L114">
        <v>34</v>
      </c>
      <c r="M114">
        <v>27</v>
      </c>
      <c r="N114">
        <v>35</v>
      </c>
      <c r="O114">
        <v>41</v>
      </c>
      <c r="P114">
        <v>40</v>
      </c>
      <c r="Q114">
        <v>44</v>
      </c>
      <c r="R114">
        <v>36</v>
      </c>
      <c r="S114">
        <v>40</v>
      </c>
      <c r="T114">
        <v>47</v>
      </c>
      <c r="U114">
        <v>35</v>
      </c>
      <c r="V114">
        <v>39</v>
      </c>
      <c r="W114">
        <v>46</v>
      </c>
      <c r="X114">
        <v>57</v>
      </c>
      <c r="Y114">
        <v>32</v>
      </c>
      <c r="Z114">
        <v>30</v>
      </c>
      <c r="AA114">
        <v>40</v>
      </c>
      <c r="AB114">
        <v>27</v>
      </c>
      <c r="AC114">
        <v>22</v>
      </c>
      <c r="AD114">
        <v>35</v>
      </c>
      <c r="AE114">
        <v>23</v>
      </c>
      <c r="AF114">
        <v>22</v>
      </c>
      <c r="AG114">
        <v>37</v>
      </c>
      <c r="AH114">
        <v>33</v>
      </c>
      <c r="AI114">
        <v>36</v>
      </c>
      <c r="AJ114">
        <v>29</v>
      </c>
      <c r="AK114">
        <v>38</v>
      </c>
      <c r="AL114">
        <v>40</v>
      </c>
      <c r="AM114">
        <v>36</v>
      </c>
      <c r="AN114">
        <v>27</v>
      </c>
      <c r="AO114">
        <v>37</v>
      </c>
      <c r="AP114">
        <v>49</v>
      </c>
      <c r="AQ114">
        <v>1361</v>
      </c>
      <c r="AR114">
        <v>0.73475385745775157</v>
      </c>
      <c r="AS114">
        <f t="shared" si="5"/>
        <v>0.22051402088984459</v>
      </c>
      <c r="AT114">
        <f t="shared" si="6"/>
        <v>1.7729327279543506E-2</v>
      </c>
      <c r="AU114">
        <f t="shared" si="7"/>
        <v>1.7729327279543505</v>
      </c>
      <c r="AV114">
        <f t="shared" si="8"/>
        <v>3</v>
      </c>
      <c r="AW114">
        <f t="shared" si="9"/>
        <v>9.3923170846247697E-2</v>
      </c>
    </row>
    <row r="115" spans="1:49" x14ac:dyDescent="0.3">
      <c r="A115" t="s">
        <v>166</v>
      </c>
      <c r="B115" t="s">
        <v>167</v>
      </c>
      <c r="C115">
        <v>2</v>
      </c>
      <c r="D115" t="s">
        <v>12</v>
      </c>
      <c r="E115">
        <v>20</v>
      </c>
      <c r="F115">
        <v>20</v>
      </c>
      <c r="G115">
        <v>17</v>
      </c>
      <c r="H115">
        <v>18</v>
      </c>
      <c r="I115">
        <v>21</v>
      </c>
      <c r="J115">
        <v>14</v>
      </c>
      <c r="K115">
        <v>29</v>
      </c>
      <c r="L115">
        <v>19</v>
      </c>
      <c r="M115">
        <v>39</v>
      </c>
      <c r="N115">
        <v>32</v>
      </c>
      <c r="O115">
        <v>37</v>
      </c>
      <c r="P115">
        <v>53</v>
      </c>
      <c r="Q115">
        <v>31</v>
      </c>
      <c r="R115">
        <v>54</v>
      </c>
      <c r="S115">
        <v>46</v>
      </c>
      <c r="T115">
        <v>57</v>
      </c>
      <c r="U115">
        <v>49</v>
      </c>
      <c r="V115">
        <v>57</v>
      </c>
      <c r="W115">
        <v>67</v>
      </c>
      <c r="X115">
        <v>23</v>
      </c>
      <c r="Y115">
        <v>21</v>
      </c>
      <c r="Z115">
        <v>14</v>
      </c>
      <c r="AA115">
        <v>19</v>
      </c>
      <c r="AB115">
        <v>18</v>
      </c>
      <c r="AC115">
        <v>23</v>
      </c>
      <c r="AD115">
        <v>27</v>
      </c>
      <c r="AE115">
        <v>25</v>
      </c>
      <c r="AF115">
        <v>24</v>
      </c>
      <c r="AG115">
        <v>22</v>
      </c>
      <c r="AH115">
        <v>55</v>
      </c>
      <c r="AI115">
        <v>38</v>
      </c>
      <c r="AJ115">
        <v>38</v>
      </c>
      <c r="AK115">
        <v>57</v>
      </c>
      <c r="AL115">
        <v>43</v>
      </c>
      <c r="AM115">
        <v>52</v>
      </c>
      <c r="AN115">
        <v>58</v>
      </c>
      <c r="AO115">
        <v>44</v>
      </c>
      <c r="AP115">
        <v>40</v>
      </c>
      <c r="AQ115">
        <v>1321</v>
      </c>
      <c r="AR115">
        <v>1.5140045420136261</v>
      </c>
      <c r="AS115">
        <f t="shared" si="5"/>
        <v>0.4886592663074586</v>
      </c>
      <c r="AT115">
        <f t="shared" si="6"/>
        <v>3.9288205011119667E-2</v>
      </c>
      <c r="AU115">
        <f t="shared" si="7"/>
        <v>3.9288205011119666</v>
      </c>
      <c r="AV115">
        <f t="shared" si="8"/>
        <v>3</v>
      </c>
      <c r="AW115">
        <f t="shared" si="9"/>
        <v>9.3923170846247697E-2</v>
      </c>
    </row>
    <row r="116" spans="1:49" x14ac:dyDescent="0.3">
      <c r="A116" t="s">
        <v>168</v>
      </c>
      <c r="B116" t="s">
        <v>111</v>
      </c>
      <c r="C116">
        <v>2</v>
      </c>
      <c r="D116" t="s">
        <v>24</v>
      </c>
      <c r="E116">
        <v>71</v>
      </c>
      <c r="F116">
        <v>68</v>
      </c>
      <c r="G116">
        <v>76</v>
      </c>
      <c r="H116">
        <v>76</v>
      </c>
      <c r="I116">
        <v>74</v>
      </c>
      <c r="J116">
        <v>83</v>
      </c>
      <c r="K116">
        <v>95</v>
      </c>
      <c r="L116">
        <v>110</v>
      </c>
      <c r="M116">
        <v>106</v>
      </c>
      <c r="N116">
        <v>124</v>
      </c>
      <c r="O116">
        <v>137</v>
      </c>
      <c r="P116">
        <v>135</v>
      </c>
      <c r="Q116">
        <v>149</v>
      </c>
      <c r="R116">
        <v>152</v>
      </c>
      <c r="S116">
        <v>133</v>
      </c>
      <c r="T116">
        <v>145</v>
      </c>
      <c r="U116">
        <v>125</v>
      </c>
      <c r="V116">
        <v>150</v>
      </c>
      <c r="W116">
        <v>164</v>
      </c>
      <c r="X116">
        <v>71</v>
      </c>
      <c r="Y116">
        <v>73</v>
      </c>
      <c r="Z116">
        <v>64</v>
      </c>
      <c r="AA116">
        <v>68</v>
      </c>
      <c r="AB116">
        <v>74</v>
      </c>
      <c r="AC116">
        <v>80</v>
      </c>
      <c r="AD116">
        <v>60</v>
      </c>
      <c r="AE116">
        <v>89</v>
      </c>
      <c r="AF116">
        <v>112</v>
      </c>
      <c r="AG116">
        <v>113</v>
      </c>
      <c r="AH116">
        <v>125</v>
      </c>
      <c r="AI116">
        <v>128</v>
      </c>
      <c r="AJ116">
        <v>122</v>
      </c>
      <c r="AK116">
        <v>134</v>
      </c>
      <c r="AL116">
        <v>124</v>
      </c>
      <c r="AM116">
        <v>135</v>
      </c>
      <c r="AN116">
        <v>118</v>
      </c>
      <c r="AO116">
        <v>147</v>
      </c>
      <c r="AP116">
        <v>142</v>
      </c>
      <c r="AQ116">
        <v>4152</v>
      </c>
      <c r="AR116">
        <v>0.48169556840077071</v>
      </c>
      <c r="AS116">
        <f t="shared" si="5"/>
        <v>0.13343501233841848</v>
      </c>
      <c r="AT116">
        <f t="shared" si="6"/>
        <v>1.0728174992008845E-2</v>
      </c>
      <c r="AU116">
        <f t="shared" si="7"/>
        <v>1.0728174992008845</v>
      </c>
      <c r="AV116">
        <f t="shared" si="8"/>
        <v>3</v>
      </c>
      <c r="AW116">
        <f t="shared" si="9"/>
        <v>9.3923170846247697E-2</v>
      </c>
    </row>
    <row r="117" spans="1:49" x14ac:dyDescent="0.3">
      <c r="A117" t="s">
        <v>169</v>
      </c>
      <c r="B117" t="s">
        <v>74</v>
      </c>
      <c r="C117">
        <v>1</v>
      </c>
      <c r="D117" t="s">
        <v>17</v>
      </c>
      <c r="E117">
        <v>62</v>
      </c>
      <c r="F117">
        <v>55</v>
      </c>
      <c r="G117">
        <v>36</v>
      </c>
      <c r="H117">
        <v>44</v>
      </c>
      <c r="I117">
        <v>52</v>
      </c>
      <c r="J117">
        <v>56</v>
      </c>
      <c r="K117">
        <v>53</v>
      </c>
      <c r="L117">
        <v>56</v>
      </c>
      <c r="M117">
        <v>58</v>
      </c>
      <c r="N117">
        <v>59</v>
      </c>
      <c r="O117">
        <v>51</v>
      </c>
      <c r="P117">
        <v>74</v>
      </c>
      <c r="Q117">
        <v>77</v>
      </c>
      <c r="R117">
        <v>69</v>
      </c>
      <c r="S117">
        <v>86</v>
      </c>
      <c r="T117">
        <v>73</v>
      </c>
      <c r="U117">
        <v>72</v>
      </c>
      <c r="V117">
        <v>68</v>
      </c>
      <c r="W117">
        <v>84</v>
      </c>
      <c r="X117">
        <v>48</v>
      </c>
      <c r="Y117">
        <v>39</v>
      </c>
      <c r="Z117">
        <v>41</v>
      </c>
      <c r="AA117">
        <v>50</v>
      </c>
      <c r="AB117">
        <v>34</v>
      </c>
      <c r="AC117">
        <v>50</v>
      </c>
      <c r="AD117">
        <v>40</v>
      </c>
      <c r="AE117">
        <v>40</v>
      </c>
      <c r="AF117">
        <v>60</v>
      </c>
      <c r="AG117">
        <v>65</v>
      </c>
      <c r="AH117">
        <v>73</v>
      </c>
      <c r="AI117">
        <v>69</v>
      </c>
      <c r="AJ117">
        <v>79</v>
      </c>
      <c r="AK117">
        <v>75</v>
      </c>
      <c r="AL117">
        <v>66</v>
      </c>
      <c r="AM117">
        <v>76</v>
      </c>
      <c r="AN117">
        <v>67</v>
      </c>
      <c r="AO117">
        <v>85</v>
      </c>
      <c r="AP117">
        <v>78</v>
      </c>
      <c r="AQ117">
        <v>2320</v>
      </c>
      <c r="AR117">
        <v>0.43103448275862061</v>
      </c>
      <c r="AS117">
        <f t="shared" si="5"/>
        <v>0.11600220218903831</v>
      </c>
      <c r="AT117">
        <f t="shared" si="6"/>
        <v>9.3265770559986805E-3</v>
      </c>
      <c r="AU117">
        <f t="shared" si="7"/>
        <v>0.93265770559986805</v>
      </c>
      <c r="AV117">
        <f t="shared" si="8"/>
        <v>3</v>
      </c>
      <c r="AW117">
        <f t="shared" si="9"/>
        <v>9.3923170846247697E-2</v>
      </c>
    </row>
    <row r="118" spans="1:49" x14ac:dyDescent="0.3">
      <c r="A118" t="s">
        <v>170</v>
      </c>
      <c r="B118" t="s">
        <v>74</v>
      </c>
      <c r="C118">
        <v>2</v>
      </c>
      <c r="D118" t="s">
        <v>17</v>
      </c>
      <c r="E118">
        <v>116</v>
      </c>
      <c r="F118">
        <v>116</v>
      </c>
      <c r="G118">
        <v>97</v>
      </c>
      <c r="H118">
        <v>83</v>
      </c>
      <c r="I118">
        <v>118</v>
      </c>
      <c r="J118">
        <v>96</v>
      </c>
      <c r="K118">
        <v>99</v>
      </c>
      <c r="L118">
        <v>142</v>
      </c>
      <c r="M118">
        <v>137</v>
      </c>
      <c r="N118">
        <v>135</v>
      </c>
      <c r="O118">
        <v>157</v>
      </c>
      <c r="P118">
        <v>140</v>
      </c>
      <c r="Q118">
        <v>134</v>
      </c>
      <c r="R118">
        <v>147</v>
      </c>
      <c r="S118">
        <v>132</v>
      </c>
      <c r="T118">
        <v>121</v>
      </c>
      <c r="U118">
        <v>115</v>
      </c>
      <c r="V118">
        <v>132</v>
      </c>
      <c r="W118">
        <v>130</v>
      </c>
      <c r="X118">
        <v>106</v>
      </c>
      <c r="Y118">
        <v>117</v>
      </c>
      <c r="Z118">
        <v>90</v>
      </c>
      <c r="AA118">
        <v>86</v>
      </c>
      <c r="AB118">
        <v>91</v>
      </c>
      <c r="AC118">
        <v>119</v>
      </c>
      <c r="AD118">
        <v>120</v>
      </c>
      <c r="AE118">
        <v>122</v>
      </c>
      <c r="AF118">
        <v>135</v>
      </c>
      <c r="AG118">
        <v>148</v>
      </c>
      <c r="AH118">
        <v>120</v>
      </c>
      <c r="AI118">
        <v>152</v>
      </c>
      <c r="AJ118">
        <v>122</v>
      </c>
      <c r="AK118">
        <v>137</v>
      </c>
      <c r="AL118">
        <v>140</v>
      </c>
      <c r="AM118">
        <v>114</v>
      </c>
      <c r="AN118">
        <v>109</v>
      </c>
      <c r="AO118">
        <v>108</v>
      </c>
      <c r="AP118">
        <v>117</v>
      </c>
      <c r="AQ118">
        <v>4600</v>
      </c>
      <c r="AR118">
        <v>0.43478260869565222</v>
      </c>
      <c r="AS118">
        <f t="shared" si="5"/>
        <v>0.11729195678170097</v>
      </c>
      <c r="AT118">
        <f t="shared" si="6"/>
        <v>9.4302733252487579E-3</v>
      </c>
      <c r="AU118">
        <f t="shared" si="7"/>
        <v>0.94302733252487581</v>
      </c>
      <c r="AV118">
        <f t="shared" si="8"/>
        <v>3</v>
      </c>
      <c r="AW118">
        <f t="shared" si="9"/>
        <v>9.3923170846247697E-2</v>
      </c>
    </row>
    <row r="119" spans="1:49" x14ac:dyDescent="0.3">
      <c r="A119" t="s">
        <v>171</v>
      </c>
      <c r="B119" t="s">
        <v>172</v>
      </c>
      <c r="C119">
        <v>1</v>
      </c>
      <c r="D119" t="s">
        <v>12</v>
      </c>
      <c r="E119">
        <v>76</v>
      </c>
      <c r="F119">
        <v>51</v>
      </c>
      <c r="G119">
        <v>39</v>
      </c>
      <c r="H119">
        <v>60</v>
      </c>
      <c r="I119">
        <v>70</v>
      </c>
      <c r="J119">
        <v>53</v>
      </c>
      <c r="K119">
        <v>61</v>
      </c>
      <c r="L119">
        <v>64</v>
      </c>
      <c r="M119">
        <v>64</v>
      </c>
      <c r="N119">
        <v>80</v>
      </c>
      <c r="O119">
        <v>66</v>
      </c>
      <c r="P119">
        <v>73</v>
      </c>
      <c r="Q119">
        <v>64</v>
      </c>
      <c r="R119">
        <v>72</v>
      </c>
      <c r="S119">
        <v>55</v>
      </c>
      <c r="T119">
        <v>90</v>
      </c>
      <c r="U119">
        <v>52</v>
      </c>
      <c r="V119">
        <v>70</v>
      </c>
      <c r="W119">
        <v>76</v>
      </c>
      <c r="X119">
        <v>58</v>
      </c>
      <c r="Y119">
        <v>53</v>
      </c>
      <c r="Z119">
        <v>39</v>
      </c>
      <c r="AA119">
        <v>55</v>
      </c>
      <c r="AB119">
        <v>53</v>
      </c>
      <c r="AC119">
        <v>70</v>
      </c>
      <c r="AD119">
        <v>51</v>
      </c>
      <c r="AE119">
        <v>46</v>
      </c>
      <c r="AF119">
        <v>51</v>
      </c>
      <c r="AG119">
        <v>61</v>
      </c>
      <c r="AH119">
        <v>62</v>
      </c>
      <c r="AI119">
        <v>73</v>
      </c>
      <c r="AJ119">
        <v>67</v>
      </c>
      <c r="AK119">
        <v>67</v>
      </c>
      <c r="AL119">
        <v>61</v>
      </c>
      <c r="AM119">
        <v>75</v>
      </c>
      <c r="AN119">
        <v>72</v>
      </c>
      <c r="AO119">
        <v>70</v>
      </c>
      <c r="AP119">
        <v>76</v>
      </c>
      <c r="AQ119">
        <v>2396</v>
      </c>
      <c r="AR119">
        <v>0.41736227045075119</v>
      </c>
      <c r="AS119">
        <f t="shared" si="5"/>
        <v>0.11129750471830738</v>
      </c>
      <c r="AT119">
        <f t="shared" si="6"/>
        <v>8.9483193793519124E-3</v>
      </c>
      <c r="AU119">
        <f t="shared" si="7"/>
        <v>0.89483193793519122</v>
      </c>
      <c r="AV119">
        <f t="shared" si="8"/>
        <v>3</v>
      </c>
      <c r="AW119">
        <f t="shared" si="9"/>
        <v>9.3923170846247697E-2</v>
      </c>
    </row>
    <row r="120" spans="1:49" x14ac:dyDescent="0.3">
      <c r="A120" t="s">
        <v>173</v>
      </c>
      <c r="B120" t="s">
        <v>14</v>
      </c>
      <c r="C120">
        <v>3</v>
      </c>
      <c r="D120" t="s">
        <v>12</v>
      </c>
      <c r="E120">
        <v>174</v>
      </c>
      <c r="F120">
        <v>137</v>
      </c>
      <c r="G120">
        <v>110</v>
      </c>
      <c r="H120">
        <v>136</v>
      </c>
      <c r="I120">
        <v>126</v>
      </c>
      <c r="J120">
        <v>117</v>
      </c>
      <c r="K120">
        <v>112</v>
      </c>
      <c r="L120">
        <v>112</v>
      </c>
      <c r="M120">
        <v>118</v>
      </c>
      <c r="N120">
        <v>125</v>
      </c>
      <c r="O120">
        <v>142</v>
      </c>
      <c r="P120">
        <v>119</v>
      </c>
      <c r="Q120">
        <v>129</v>
      </c>
      <c r="R120">
        <v>131</v>
      </c>
      <c r="S120">
        <v>139</v>
      </c>
      <c r="T120">
        <v>125</v>
      </c>
      <c r="U120">
        <v>112</v>
      </c>
      <c r="V120">
        <v>90</v>
      </c>
      <c r="W120">
        <v>118</v>
      </c>
      <c r="X120">
        <v>157</v>
      </c>
      <c r="Y120">
        <v>135</v>
      </c>
      <c r="Z120">
        <v>128</v>
      </c>
      <c r="AA120">
        <v>125</v>
      </c>
      <c r="AB120">
        <v>133</v>
      </c>
      <c r="AC120">
        <v>123</v>
      </c>
      <c r="AD120">
        <v>96</v>
      </c>
      <c r="AE120">
        <v>115</v>
      </c>
      <c r="AF120">
        <v>122</v>
      </c>
      <c r="AG120">
        <v>134</v>
      </c>
      <c r="AH120">
        <v>129</v>
      </c>
      <c r="AI120">
        <v>107</v>
      </c>
      <c r="AJ120">
        <v>109</v>
      </c>
      <c r="AK120">
        <v>144</v>
      </c>
      <c r="AL120">
        <v>99</v>
      </c>
      <c r="AM120">
        <v>129</v>
      </c>
      <c r="AN120">
        <v>101</v>
      </c>
      <c r="AO120">
        <v>103</v>
      </c>
      <c r="AP120">
        <v>124</v>
      </c>
      <c r="AQ120">
        <v>4685</v>
      </c>
      <c r="AR120">
        <v>0.64034151547491991</v>
      </c>
      <c r="AS120">
        <f t="shared" si="5"/>
        <v>0.18802611794258339</v>
      </c>
      <c r="AT120">
        <f t="shared" si="6"/>
        <v>1.5117299882583705E-2</v>
      </c>
      <c r="AU120">
        <f t="shared" si="7"/>
        <v>1.5117299882583706</v>
      </c>
      <c r="AV120">
        <f t="shared" si="8"/>
        <v>3</v>
      </c>
      <c r="AW120">
        <f t="shared" si="9"/>
        <v>9.3923170846247697E-2</v>
      </c>
    </row>
    <row r="121" spans="1:49" x14ac:dyDescent="0.3">
      <c r="A121" t="s">
        <v>174</v>
      </c>
      <c r="B121" t="s">
        <v>14</v>
      </c>
      <c r="C121">
        <v>4</v>
      </c>
      <c r="D121" t="s">
        <v>12</v>
      </c>
      <c r="E121">
        <v>24</v>
      </c>
      <c r="F121">
        <v>15</v>
      </c>
      <c r="G121">
        <v>20</v>
      </c>
      <c r="H121">
        <v>21</v>
      </c>
      <c r="I121">
        <v>20</v>
      </c>
      <c r="J121">
        <v>27</v>
      </c>
      <c r="K121">
        <v>31</v>
      </c>
      <c r="L121">
        <v>32</v>
      </c>
      <c r="M121">
        <v>36</v>
      </c>
      <c r="N121">
        <v>47</v>
      </c>
      <c r="O121">
        <v>39</v>
      </c>
      <c r="P121">
        <v>46</v>
      </c>
      <c r="Q121">
        <v>39</v>
      </c>
      <c r="R121">
        <v>40</v>
      </c>
      <c r="S121">
        <v>44</v>
      </c>
      <c r="T121">
        <v>49</v>
      </c>
      <c r="U121">
        <v>44</v>
      </c>
      <c r="V121">
        <v>46</v>
      </c>
      <c r="W121">
        <v>66</v>
      </c>
      <c r="X121">
        <v>16</v>
      </c>
      <c r="Y121">
        <v>21</v>
      </c>
      <c r="Z121">
        <v>31</v>
      </c>
      <c r="AA121">
        <v>20</v>
      </c>
      <c r="AB121">
        <v>22</v>
      </c>
      <c r="AC121">
        <v>23</v>
      </c>
      <c r="AD121">
        <v>24</v>
      </c>
      <c r="AE121">
        <v>43</v>
      </c>
      <c r="AF121">
        <v>27</v>
      </c>
      <c r="AG121">
        <v>34</v>
      </c>
      <c r="AH121">
        <v>42</v>
      </c>
      <c r="AI121">
        <v>35</v>
      </c>
      <c r="AJ121">
        <v>45</v>
      </c>
      <c r="AK121">
        <v>43</v>
      </c>
      <c r="AL121">
        <v>40</v>
      </c>
      <c r="AM121">
        <v>39</v>
      </c>
      <c r="AN121">
        <v>41</v>
      </c>
      <c r="AO121">
        <v>39</v>
      </c>
      <c r="AP121">
        <v>51</v>
      </c>
      <c r="AQ121">
        <v>1322</v>
      </c>
      <c r="AR121">
        <v>3</v>
      </c>
      <c r="AS121">
        <f t="shared" si="5"/>
        <v>1</v>
      </c>
      <c r="AT121">
        <f t="shared" si="6"/>
        <v>8.0399999999999999E-2</v>
      </c>
      <c r="AU121">
        <f t="shared" si="7"/>
        <v>8.0399999999999991</v>
      </c>
      <c r="AV121">
        <f t="shared" si="8"/>
        <v>3</v>
      </c>
      <c r="AW121">
        <f t="shared" si="9"/>
        <v>9.3923170846247697E-2</v>
      </c>
    </row>
    <row r="122" spans="1:49" x14ac:dyDescent="0.3">
      <c r="A122" t="s">
        <v>175</v>
      </c>
      <c r="B122" t="s">
        <v>14</v>
      </c>
      <c r="C122">
        <v>3</v>
      </c>
      <c r="D122" t="s">
        <v>12</v>
      </c>
      <c r="E122">
        <v>27</v>
      </c>
      <c r="F122">
        <v>35</v>
      </c>
      <c r="G122">
        <v>23</v>
      </c>
      <c r="H122">
        <v>15</v>
      </c>
      <c r="I122">
        <v>28</v>
      </c>
      <c r="J122">
        <v>23</v>
      </c>
      <c r="K122">
        <v>30</v>
      </c>
      <c r="L122">
        <v>25</v>
      </c>
      <c r="M122">
        <v>51</v>
      </c>
      <c r="N122">
        <v>44</v>
      </c>
      <c r="O122">
        <v>45</v>
      </c>
      <c r="P122">
        <v>37</v>
      </c>
      <c r="Q122">
        <v>34</v>
      </c>
      <c r="R122">
        <v>59</v>
      </c>
      <c r="S122">
        <v>59</v>
      </c>
      <c r="T122">
        <v>44</v>
      </c>
      <c r="U122">
        <v>47</v>
      </c>
      <c r="V122">
        <v>50</v>
      </c>
      <c r="W122">
        <v>63</v>
      </c>
      <c r="X122">
        <v>29</v>
      </c>
      <c r="Y122">
        <v>25</v>
      </c>
      <c r="Z122">
        <v>20</v>
      </c>
      <c r="AA122">
        <v>26</v>
      </c>
      <c r="AB122">
        <v>40</v>
      </c>
      <c r="AC122">
        <v>26</v>
      </c>
      <c r="AD122">
        <v>34</v>
      </c>
      <c r="AE122">
        <v>25</v>
      </c>
      <c r="AF122">
        <v>29</v>
      </c>
      <c r="AG122">
        <v>34</v>
      </c>
      <c r="AH122">
        <v>46</v>
      </c>
      <c r="AI122">
        <v>38</v>
      </c>
      <c r="AJ122">
        <v>39</v>
      </c>
      <c r="AK122">
        <v>37</v>
      </c>
      <c r="AL122">
        <v>48</v>
      </c>
      <c r="AM122">
        <v>56</v>
      </c>
      <c r="AN122">
        <v>46</v>
      </c>
      <c r="AO122">
        <v>53</v>
      </c>
      <c r="AP122">
        <v>70</v>
      </c>
      <c r="AQ122">
        <v>1460</v>
      </c>
      <c r="AR122">
        <v>2.054794520547945</v>
      </c>
      <c r="AS122">
        <f t="shared" si="5"/>
        <v>0.67474862675007174</v>
      </c>
      <c r="AT122">
        <f t="shared" si="6"/>
        <v>5.4249789590705769E-2</v>
      </c>
      <c r="AU122">
        <f t="shared" si="7"/>
        <v>5.424978959070577</v>
      </c>
      <c r="AV122">
        <f t="shared" si="8"/>
        <v>3</v>
      </c>
      <c r="AW122">
        <f t="shared" si="9"/>
        <v>9.3923170846247697E-2</v>
      </c>
    </row>
    <row r="123" spans="1:49" x14ac:dyDescent="0.3">
      <c r="A123" t="s">
        <v>176</v>
      </c>
      <c r="B123" t="s">
        <v>14</v>
      </c>
      <c r="C123">
        <v>2</v>
      </c>
      <c r="D123" t="s">
        <v>12</v>
      </c>
      <c r="E123">
        <v>21</v>
      </c>
      <c r="F123">
        <v>10</v>
      </c>
      <c r="G123">
        <v>11</v>
      </c>
      <c r="H123">
        <v>20</v>
      </c>
      <c r="I123">
        <v>24</v>
      </c>
      <c r="J123">
        <v>15</v>
      </c>
      <c r="K123">
        <v>27</v>
      </c>
      <c r="L123">
        <v>24</v>
      </c>
      <c r="M123">
        <v>23</v>
      </c>
      <c r="N123">
        <v>32</v>
      </c>
      <c r="O123">
        <v>24</v>
      </c>
      <c r="P123">
        <v>34</v>
      </c>
      <c r="Q123">
        <v>26</v>
      </c>
      <c r="R123">
        <v>33</v>
      </c>
      <c r="S123">
        <v>37</v>
      </c>
      <c r="T123">
        <v>35</v>
      </c>
      <c r="U123">
        <v>40</v>
      </c>
      <c r="V123">
        <v>38</v>
      </c>
      <c r="W123">
        <v>40</v>
      </c>
      <c r="X123">
        <v>13</v>
      </c>
      <c r="Y123">
        <v>12</v>
      </c>
      <c r="Z123">
        <v>14</v>
      </c>
      <c r="AA123">
        <v>15</v>
      </c>
      <c r="AB123">
        <v>16</v>
      </c>
      <c r="AC123">
        <v>14</v>
      </c>
      <c r="AD123">
        <v>19</v>
      </c>
      <c r="AE123">
        <v>23</v>
      </c>
      <c r="AF123">
        <v>23</v>
      </c>
      <c r="AG123">
        <v>18</v>
      </c>
      <c r="AH123">
        <v>20</v>
      </c>
      <c r="AI123">
        <v>26</v>
      </c>
      <c r="AJ123">
        <v>24</v>
      </c>
      <c r="AK123">
        <v>30</v>
      </c>
      <c r="AL123">
        <v>36</v>
      </c>
      <c r="AM123">
        <v>46</v>
      </c>
      <c r="AN123">
        <v>31</v>
      </c>
      <c r="AO123">
        <v>36</v>
      </c>
      <c r="AP123">
        <v>55</v>
      </c>
      <c r="AQ123">
        <v>985</v>
      </c>
      <c r="AR123">
        <v>2.030456852791878</v>
      </c>
      <c r="AS123">
        <f t="shared" si="5"/>
        <v>0.66637387646408075</v>
      </c>
      <c r="AT123">
        <f t="shared" si="6"/>
        <v>5.3576459667712094E-2</v>
      </c>
      <c r="AU123">
        <f t="shared" si="7"/>
        <v>5.3576459667712095</v>
      </c>
      <c r="AV123">
        <f t="shared" si="8"/>
        <v>3</v>
      </c>
      <c r="AW123">
        <f t="shared" si="9"/>
        <v>9.3923170846247697E-2</v>
      </c>
    </row>
    <row r="124" spans="1:49" x14ac:dyDescent="0.3">
      <c r="A124" t="s">
        <v>177</v>
      </c>
      <c r="B124" t="s">
        <v>121</v>
      </c>
      <c r="C124">
        <v>1</v>
      </c>
      <c r="D124" t="s">
        <v>12</v>
      </c>
      <c r="E124">
        <v>26</v>
      </c>
      <c r="F124">
        <v>36</v>
      </c>
      <c r="G124">
        <v>34</v>
      </c>
      <c r="H124">
        <v>28</v>
      </c>
      <c r="I124">
        <v>32</v>
      </c>
      <c r="J124">
        <v>33</v>
      </c>
      <c r="K124">
        <v>29</v>
      </c>
      <c r="L124">
        <v>24</v>
      </c>
      <c r="M124">
        <v>36</v>
      </c>
      <c r="N124">
        <v>44</v>
      </c>
      <c r="O124">
        <v>26</v>
      </c>
      <c r="P124">
        <v>39</v>
      </c>
      <c r="Q124">
        <v>33</v>
      </c>
      <c r="R124">
        <v>45</v>
      </c>
      <c r="S124">
        <v>45</v>
      </c>
      <c r="T124">
        <v>55</v>
      </c>
      <c r="U124">
        <v>46</v>
      </c>
      <c r="V124">
        <v>56</v>
      </c>
      <c r="W124">
        <v>58</v>
      </c>
      <c r="X124">
        <v>28</v>
      </c>
      <c r="Y124">
        <v>22</v>
      </c>
      <c r="Z124">
        <v>25</v>
      </c>
      <c r="AA124">
        <v>24</v>
      </c>
      <c r="AB124">
        <v>29</v>
      </c>
      <c r="AC124">
        <v>25</v>
      </c>
      <c r="AD124">
        <v>23</v>
      </c>
      <c r="AE124">
        <v>28</v>
      </c>
      <c r="AF124">
        <v>31</v>
      </c>
      <c r="AG124">
        <v>35</v>
      </c>
      <c r="AH124">
        <v>47</v>
      </c>
      <c r="AI124">
        <v>35</v>
      </c>
      <c r="AJ124">
        <v>57</v>
      </c>
      <c r="AK124">
        <v>46</v>
      </c>
      <c r="AL124">
        <v>43</v>
      </c>
      <c r="AM124">
        <v>66</v>
      </c>
      <c r="AN124">
        <v>42</v>
      </c>
      <c r="AO124">
        <v>52</v>
      </c>
      <c r="AP124">
        <v>62</v>
      </c>
      <c r="AQ124">
        <v>1445</v>
      </c>
      <c r="AR124">
        <v>0.69204152249134943</v>
      </c>
      <c r="AS124">
        <f t="shared" si="5"/>
        <v>0.20581642771615002</v>
      </c>
      <c r="AT124">
        <f t="shared" si="6"/>
        <v>1.6547640788378462E-2</v>
      </c>
      <c r="AU124">
        <f t="shared" si="7"/>
        <v>1.6547640788378462</v>
      </c>
      <c r="AV124">
        <f t="shared" si="8"/>
        <v>3</v>
      </c>
      <c r="AW124">
        <f t="shared" si="9"/>
        <v>9.3923170846247697E-2</v>
      </c>
    </row>
    <row r="125" spans="1:49" x14ac:dyDescent="0.3">
      <c r="A125" t="s">
        <v>178</v>
      </c>
      <c r="B125" t="s">
        <v>31</v>
      </c>
      <c r="C125">
        <v>1</v>
      </c>
      <c r="D125" t="s">
        <v>24</v>
      </c>
      <c r="E125">
        <v>106</v>
      </c>
      <c r="F125">
        <v>88</v>
      </c>
      <c r="G125">
        <v>67</v>
      </c>
      <c r="H125">
        <v>67</v>
      </c>
      <c r="I125">
        <v>73</v>
      </c>
      <c r="J125">
        <v>82</v>
      </c>
      <c r="K125">
        <v>78</v>
      </c>
      <c r="L125">
        <v>102</v>
      </c>
      <c r="M125">
        <v>98</v>
      </c>
      <c r="N125">
        <v>115</v>
      </c>
      <c r="O125">
        <v>114</v>
      </c>
      <c r="P125">
        <v>145</v>
      </c>
      <c r="Q125">
        <v>124</v>
      </c>
      <c r="R125">
        <v>170</v>
      </c>
      <c r="S125">
        <v>169</v>
      </c>
      <c r="T125">
        <v>167</v>
      </c>
      <c r="U125">
        <v>149</v>
      </c>
      <c r="V125">
        <v>189</v>
      </c>
      <c r="W125">
        <v>199</v>
      </c>
      <c r="X125">
        <v>89</v>
      </c>
      <c r="Y125">
        <v>83</v>
      </c>
      <c r="Z125">
        <v>83</v>
      </c>
      <c r="AA125">
        <v>82</v>
      </c>
      <c r="AB125">
        <v>90</v>
      </c>
      <c r="AC125">
        <v>85</v>
      </c>
      <c r="AD125">
        <v>86</v>
      </c>
      <c r="AE125">
        <v>87</v>
      </c>
      <c r="AF125">
        <v>93</v>
      </c>
      <c r="AG125">
        <v>117</v>
      </c>
      <c r="AH125">
        <v>132</v>
      </c>
      <c r="AI125">
        <v>118</v>
      </c>
      <c r="AJ125">
        <v>119</v>
      </c>
      <c r="AK125">
        <v>147</v>
      </c>
      <c r="AL125">
        <v>158</v>
      </c>
      <c r="AM125">
        <v>166</v>
      </c>
      <c r="AN125">
        <v>148</v>
      </c>
      <c r="AO125">
        <v>147</v>
      </c>
      <c r="AP125">
        <v>169</v>
      </c>
      <c r="AQ125">
        <v>4501</v>
      </c>
      <c r="AR125">
        <v>0.2221728504776716</v>
      </c>
      <c r="AS125">
        <f t="shared" si="5"/>
        <v>4.4131551631678693E-2</v>
      </c>
      <c r="AT125">
        <f t="shared" si="6"/>
        <v>3.5481767511869669E-3</v>
      </c>
      <c r="AU125">
        <f t="shared" si="7"/>
        <v>0.35481767511869666</v>
      </c>
      <c r="AV125">
        <f t="shared" si="8"/>
        <v>3</v>
      </c>
      <c r="AW125">
        <f t="shared" si="9"/>
        <v>9.3923170846247697E-2</v>
      </c>
    </row>
    <row r="126" spans="1:49" x14ac:dyDescent="0.3">
      <c r="A126" t="s">
        <v>179</v>
      </c>
      <c r="B126" t="s">
        <v>89</v>
      </c>
      <c r="C126">
        <v>1</v>
      </c>
      <c r="D126" t="s">
        <v>24</v>
      </c>
      <c r="E126">
        <v>40</v>
      </c>
      <c r="F126">
        <v>63</v>
      </c>
      <c r="G126">
        <v>59</v>
      </c>
      <c r="H126">
        <v>80</v>
      </c>
      <c r="I126">
        <v>80</v>
      </c>
      <c r="J126">
        <v>89</v>
      </c>
      <c r="K126">
        <v>80</v>
      </c>
      <c r="L126">
        <v>107</v>
      </c>
      <c r="M126">
        <v>139</v>
      </c>
      <c r="N126">
        <v>164</v>
      </c>
      <c r="O126">
        <v>213</v>
      </c>
      <c r="P126">
        <v>221</v>
      </c>
      <c r="Q126">
        <v>197</v>
      </c>
      <c r="R126">
        <v>251</v>
      </c>
      <c r="S126">
        <v>259</v>
      </c>
      <c r="T126">
        <v>270</v>
      </c>
      <c r="U126">
        <v>248</v>
      </c>
      <c r="V126">
        <v>293</v>
      </c>
      <c r="W126">
        <v>302</v>
      </c>
      <c r="X126">
        <v>35</v>
      </c>
      <c r="Y126">
        <v>55</v>
      </c>
      <c r="Z126">
        <v>50</v>
      </c>
      <c r="AA126">
        <v>72</v>
      </c>
      <c r="AB126">
        <v>57</v>
      </c>
      <c r="AC126">
        <v>92</v>
      </c>
      <c r="AD126">
        <v>103</v>
      </c>
      <c r="AE126">
        <v>142</v>
      </c>
      <c r="AF126">
        <v>149</v>
      </c>
      <c r="AG126">
        <v>162</v>
      </c>
      <c r="AH126">
        <v>187</v>
      </c>
      <c r="AI126">
        <v>229</v>
      </c>
      <c r="AJ126">
        <v>233</v>
      </c>
      <c r="AK126">
        <v>246</v>
      </c>
      <c r="AL126">
        <v>250</v>
      </c>
      <c r="AM126">
        <v>282</v>
      </c>
      <c r="AN126">
        <v>263</v>
      </c>
      <c r="AO126">
        <v>278</v>
      </c>
      <c r="AP126">
        <v>291</v>
      </c>
      <c r="AQ126">
        <v>6331</v>
      </c>
      <c r="AR126">
        <v>0.1579529300268519</v>
      </c>
      <c r="AS126">
        <f t="shared" si="5"/>
        <v>2.2033057948866969E-2</v>
      </c>
      <c r="AT126">
        <f t="shared" si="6"/>
        <v>1.7714578590889043E-3</v>
      </c>
      <c r="AU126">
        <f t="shared" si="7"/>
        <v>0.17714578590889044</v>
      </c>
      <c r="AV126">
        <f t="shared" si="8"/>
        <v>3</v>
      </c>
      <c r="AW126">
        <f t="shared" si="9"/>
        <v>9.3923170846247697E-2</v>
      </c>
    </row>
    <row r="127" spans="1:49" x14ac:dyDescent="0.3">
      <c r="A127" t="s">
        <v>180</v>
      </c>
      <c r="B127" t="s">
        <v>89</v>
      </c>
      <c r="C127">
        <v>2</v>
      </c>
      <c r="D127" t="s">
        <v>24</v>
      </c>
      <c r="E127">
        <v>24</v>
      </c>
      <c r="F127">
        <v>33</v>
      </c>
      <c r="G127">
        <v>34</v>
      </c>
      <c r="H127">
        <v>43</v>
      </c>
      <c r="I127">
        <v>57</v>
      </c>
      <c r="J127">
        <v>54</v>
      </c>
      <c r="K127">
        <v>81</v>
      </c>
      <c r="L127">
        <v>82</v>
      </c>
      <c r="M127">
        <v>105</v>
      </c>
      <c r="N127">
        <v>147</v>
      </c>
      <c r="O127">
        <v>162</v>
      </c>
      <c r="P127">
        <v>179</v>
      </c>
      <c r="Q127">
        <v>199</v>
      </c>
      <c r="R127">
        <v>225</v>
      </c>
      <c r="S127">
        <v>218</v>
      </c>
      <c r="T127">
        <v>239</v>
      </c>
      <c r="U127">
        <v>223</v>
      </c>
      <c r="V127">
        <v>226</v>
      </c>
      <c r="W127">
        <v>269</v>
      </c>
      <c r="X127">
        <v>25</v>
      </c>
      <c r="Y127">
        <v>31</v>
      </c>
      <c r="Z127">
        <v>33</v>
      </c>
      <c r="AA127">
        <v>34</v>
      </c>
      <c r="AB127">
        <v>67</v>
      </c>
      <c r="AC127">
        <v>43</v>
      </c>
      <c r="AD127">
        <v>70</v>
      </c>
      <c r="AE127">
        <v>93</v>
      </c>
      <c r="AF127">
        <v>85</v>
      </c>
      <c r="AG127">
        <v>137</v>
      </c>
      <c r="AH127">
        <v>135</v>
      </c>
      <c r="AI127">
        <v>160</v>
      </c>
      <c r="AJ127">
        <v>188</v>
      </c>
      <c r="AK127">
        <v>218</v>
      </c>
      <c r="AL127">
        <v>205</v>
      </c>
      <c r="AM127">
        <v>214</v>
      </c>
      <c r="AN127">
        <v>215</v>
      </c>
      <c r="AO127">
        <v>222</v>
      </c>
      <c r="AP127">
        <v>253</v>
      </c>
      <c r="AQ127">
        <v>5028</v>
      </c>
      <c r="AR127">
        <v>0.39777247414478922</v>
      </c>
      <c r="AS127">
        <f t="shared" si="5"/>
        <v>0.10455652797968946</v>
      </c>
      <c r="AT127">
        <f t="shared" si="6"/>
        <v>8.4063448495670327E-3</v>
      </c>
      <c r="AU127">
        <f t="shared" si="7"/>
        <v>0.84063448495670323</v>
      </c>
      <c r="AV127">
        <f t="shared" si="8"/>
        <v>3</v>
      </c>
      <c r="AW127">
        <f t="shared" si="9"/>
        <v>9.3923170846247697E-2</v>
      </c>
    </row>
    <row r="128" spans="1:49" x14ac:dyDescent="0.3">
      <c r="A128" t="s">
        <v>181</v>
      </c>
      <c r="B128" t="s">
        <v>182</v>
      </c>
      <c r="C128">
        <v>1</v>
      </c>
      <c r="D128" t="s">
        <v>24</v>
      </c>
      <c r="E128">
        <v>18</v>
      </c>
      <c r="F128">
        <v>17</v>
      </c>
      <c r="G128">
        <v>16</v>
      </c>
      <c r="H128">
        <v>18</v>
      </c>
      <c r="I128">
        <v>25</v>
      </c>
      <c r="J128">
        <v>17</v>
      </c>
      <c r="K128">
        <v>23</v>
      </c>
      <c r="L128">
        <v>34</v>
      </c>
      <c r="M128">
        <v>36</v>
      </c>
      <c r="N128">
        <v>38</v>
      </c>
      <c r="O128">
        <v>36</v>
      </c>
      <c r="P128">
        <v>34</v>
      </c>
      <c r="Q128">
        <v>42</v>
      </c>
      <c r="R128">
        <v>36</v>
      </c>
      <c r="S128">
        <v>45</v>
      </c>
      <c r="T128">
        <v>47</v>
      </c>
      <c r="U128">
        <v>47</v>
      </c>
      <c r="V128">
        <v>42</v>
      </c>
      <c r="W128">
        <v>53</v>
      </c>
      <c r="X128">
        <v>11</v>
      </c>
      <c r="Y128">
        <v>17</v>
      </c>
      <c r="Z128">
        <v>13</v>
      </c>
      <c r="AA128">
        <v>12</v>
      </c>
      <c r="AB128">
        <v>14</v>
      </c>
      <c r="AC128">
        <v>17</v>
      </c>
      <c r="AD128">
        <v>22</v>
      </c>
      <c r="AE128">
        <v>27</v>
      </c>
      <c r="AF128">
        <v>22</v>
      </c>
      <c r="AG128">
        <v>29</v>
      </c>
      <c r="AH128">
        <v>43</v>
      </c>
      <c r="AI128">
        <v>36</v>
      </c>
      <c r="AJ128">
        <v>33</v>
      </c>
      <c r="AK128">
        <v>40</v>
      </c>
      <c r="AL128">
        <v>39</v>
      </c>
      <c r="AM128">
        <v>41</v>
      </c>
      <c r="AN128">
        <v>35</v>
      </c>
      <c r="AO128">
        <v>42</v>
      </c>
      <c r="AP128">
        <v>50</v>
      </c>
      <c r="AQ128">
        <v>1167</v>
      </c>
      <c r="AR128">
        <v>0.85689802913453306</v>
      </c>
      <c r="AS128">
        <f t="shared" si="5"/>
        <v>0.26254462739392309</v>
      </c>
      <c r="AT128">
        <f t="shared" si="6"/>
        <v>2.1108588042471416E-2</v>
      </c>
      <c r="AU128">
        <f t="shared" si="7"/>
        <v>2.1108588042471417</v>
      </c>
      <c r="AV128">
        <f t="shared" si="8"/>
        <v>3</v>
      </c>
      <c r="AW128">
        <f t="shared" si="9"/>
        <v>9.3923170846247697E-2</v>
      </c>
    </row>
    <row r="129" spans="1:49" x14ac:dyDescent="0.3">
      <c r="A129" t="s">
        <v>183</v>
      </c>
      <c r="B129" t="s">
        <v>121</v>
      </c>
      <c r="C129">
        <v>1</v>
      </c>
      <c r="D129" t="s">
        <v>12</v>
      </c>
      <c r="E129">
        <v>12</v>
      </c>
      <c r="F129">
        <v>11</v>
      </c>
      <c r="G129">
        <v>13</v>
      </c>
      <c r="H129">
        <v>8</v>
      </c>
      <c r="I129">
        <v>20</v>
      </c>
      <c r="J129">
        <v>11</v>
      </c>
      <c r="K129">
        <v>22</v>
      </c>
      <c r="L129">
        <v>23</v>
      </c>
      <c r="M129">
        <v>15</v>
      </c>
      <c r="N129">
        <v>19</v>
      </c>
      <c r="O129">
        <v>27</v>
      </c>
      <c r="P129">
        <v>20</v>
      </c>
      <c r="Q129">
        <v>19</v>
      </c>
      <c r="R129">
        <v>30</v>
      </c>
      <c r="S129">
        <v>29</v>
      </c>
      <c r="T129">
        <v>23</v>
      </c>
      <c r="U129">
        <v>28</v>
      </c>
      <c r="V129">
        <v>34</v>
      </c>
      <c r="W129">
        <v>54</v>
      </c>
      <c r="X129">
        <v>16</v>
      </c>
      <c r="Y129">
        <v>25</v>
      </c>
      <c r="Z129">
        <v>15</v>
      </c>
      <c r="AA129">
        <v>13</v>
      </c>
      <c r="AB129">
        <v>9</v>
      </c>
      <c r="AC129">
        <v>19</v>
      </c>
      <c r="AD129">
        <v>16</v>
      </c>
      <c r="AE129">
        <v>13</v>
      </c>
      <c r="AF129">
        <v>26</v>
      </c>
      <c r="AG129">
        <v>21</v>
      </c>
      <c r="AH129">
        <v>39</v>
      </c>
      <c r="AI129">
        <v>26</v>
      </c>
      <c r="AJ129">
        <v>47</v>
      </c>
      <c r="AK129">
        <v>27</v>
      </c>
      <c r="AL129">
        <v>30</v>
      </c>
      <c r="AM129">
        <v>28</v>
      </c>
      <c r="AN129">
        <v>30</v>
      </c>
      <c r="AO129">
        <v>32</v>
      </c>
      <c r="AP129">
        <v>88</v>
      </c>
      <c r="AQ129">
        <v>938</v>
      </c>
      <c r="AR129">
        <v>1.0660980810234539</v>
      </c>
      <c r="AS129">
        <f t="shared" si="5"/>
        <v>0.33453173034668288</v>
      </c>
      <c r="AT129">
        <f t="shared" si="6"/>
        <v>2.6896351119873305E-2</v>
      </c>
      <c r="AU129">
        <f t="shared" si="7"/>
        <v>2.6896351119873305</v>
      </c>
      <c r="AV129">
        <f t="shared" si="8"/>
        <v>3</v>
      </c>
      <c r="AW129">
        <f t="shared" si="9"/>
        <v>9.3923170846247697E-2</v>
      </c>
    </row>
    <row r="130" spans="1:49" x14ac:dyDescent="0.3">
      <c r="A130" t="s">
        <v>184</v>
      </c>
      <c r="B130" t="s">
        <v>48</v>
      </c>
      <c r="C130">
        <v>1</v>
      </c>
      <c r="D130" t="s">
        <v>17</v>
      </c>
      <c r="E130">
        <v>8</v>
      </c>
      <c r="F130">
        <v>5</v>
      </c>
      <c r="G130">
        <v>2</v>
      </c>
      <c r="H130">
        <v>4</v>
      </c>
      <c r="I130">
        <v>5</v>
      </c>
      <c r="J130">
        <v>2</v>
      </c>
      <c r="K130">
        <v>8</v>
      </c>
      <c r="L130">
        <v>6</v>
      </c>
      <c r="M130">
        <v>5</v>
      </c>
      <c r="N130">
        <v>8</v>
      </c>
      <c r="O130">
        <v>16</v>
      </c>
      <c r="P130">
        <v>7</v>
      </c>
      <c r="Q130">
        <v>5</v>
      </c>
      <c r="R130">
        <v>7</v>
      </c>
      <c r="S130">
        <v>10</v>
      </c>
      <c r="T130">
        <v>5</v>
      </c>
      <c r="U130">
        <v>15</v>
      </c>
      <c r="V130">
        <v>9</v>
      </c>
      <c r="W130">
        <v>14</v>
      </c>
      <c r="X130">
        <v>4</v>
      </c>
      <c r="Y130">
        <v>7</v>
      </c>
      <c r="Z130">
        <v>2</v>
      </c>
      <c r="AA130">
        <v>3</v>
      </c>
      <c r="AB130">
        <v>3</v>
      </c>
      <c r="AC130">
        <v>5</v>
      </c>
      <c r="AD130">
        <v>5</v>
      </c>
      <c r="AE130">
        <v>7</v>
      </c>
      <c r="AF130">
        <v>8</v>
      </c>
      <c r="AG130">
        <v>4</v>
      </c>
      <c r="AH130">
        <v>5</v>
      </c>
      <c r="AI130">
        <v>9</v>
      </c>
      <c r="AJ130">
        <v>11</v>
      </c>
      <c r="AK130">
        <v>16</v>
      </c>
      <c r="AL130">
        <v>12</v>
      </c>
      <c r="AM130">
        <v>7</v>
      </c>
      <c r="AN130">
        <v>13</v>
      </c>
      <c r="AO130">
        <v>10</v>
      </c>
      <c r="AP130">
        <v>10</v>
      </c>
      <c r="AQ130">
        <v>282</v>
      </c>
      <c r="AR130">
        <v>3</v>
      </c>
      <c r="AS130">
        <f t="shared" si="5"/>
        <v>1</v>
      </c>
      <c r="AT130">
        <f t="shared" si="6"/>
        <v>8.0399999999999999E-2</v>
      </c>
      <c r="AU130">
        <f t="shared" si="7"/>
        <v>8.0399999999999991</v>
      </c>
      <c r="AV130">
        <f t="shared" si="8"/>
        <v>3</v>
      </c>
      <c r="AW130">
        <f t="shared" si="9"/>
        <v>9.3923170846247697E-2</v>
      </c>
    </row>
    <row r="131" spans="1:49" x14ac:dyDescent="0.3">
      <c r="A131" t="s">
        <v>185</v>
      </c>
      <c r="B131" t="s">
        <v>72</v>
      </c>
      <c r="C131">
        <v>2</v>
      </c>
      <c r="D131" t="s">
        <v>12</v>
      </c>
      <c r="E131">
        <v>66</v>
      </c>
      <c r="F131">
        <v>70</v>
      </c>
      <c r="G131">
        <v>50</v>
      </c>
      <c r="H131">
        <v>71</v>
      </c>
      <c r="I131">
        <v>72</v>
      </c>
      <c r="J131">
        <v>54</v>
      </c>
      <c r="K131">
        <v>66</v>
      </c>
      <c r="L131">
        <v>73</v>
      </c>
      <c r="M131">
        <v>61</v>
      </c>
      <c r="N131">
        <v>71</v>
      </c>
      <c r="O131">
        <v>80</v>
      </c>
      <c r="P131">
        <v>77</v>
      </c>
      <c r="Q131">
        <v>71</v>
      </c>
      <c r="R131">
        <v>76</v>
      </c>
      <c r="S131">
        <v>60</v>
      </c>
      <c r="T131">
        <v>81</v>
      </c>
      <c r="U131">
        <v>72</v>
      </c>
      <c r="V131">
        <v>73</v>
      </c>
      <c r="W131">
        <v>77</v>
      </c>
      <c r="X131">
        <v>81</v>
      </c>
      <c r="Y131">
        <v>77</v>
      </c>
      <c r="Z131">
        <v>58</v>
      </c>
      <c r="AA131">
        <v>66</v>
      </c>
      <c r="AB131">
        <v>68</v>
      </c>
      <c r="AC131">
        <v>64</v>
      </c>
      <c r="AD131">
        <v>69</v>
      </c>
      <c r="AE131">
        <v>51</v>
      </c>
      <c r="AF131">
        <v>57</v>
      </c>
      <c r="AG131">
        <v>77</v>
      </c>
      <c r="AH131">
        <v>67</v>
      </c>
      <c r="AI131">
        <v>71</v>
      </c>
      <c r="AJ131">
        <v>59</v>
      </c>
      <c r="AK131">
        <v>72</v>
      </c>
      <c r="AL131">
        <v>74</v>
      </c>
      <c r="AM131">
        <v>71</v>
      </c>
      <c r="AN131">
        <v>60</v>
      </c>
      <c r="AO131">
        <v>80</v>
      </c>
      <c r="AP131">
        <v>101</v>
      </c>
      <c r="AQ131">
        <v>2644</v>
      </c>
      <c r="AR131">
        <v>0.75642965204236012</v>
      </c>
      <c r="AS131">
        <f t="shared" ref="AS131:AS194" si="10">(AR131-AW131)/(AV131-AW131)</f>
        <v>0.22797280324795607</v>
      </c>
      <c r="AT131">
        <f t="shared" ref="AT131:AT194" si="11">AS131*0.0804</f>
        <v>1.832901338113567E-2</v>
      </c>
      <c r="AU131">
        <f t="shared" ref="AU131:AU194" si="12">AT131*100</f>
        <v>1.832901338113567</v>
      </c>
      <c r="AV131">
        <f t="shared" ref="AV131:AV194" si="13">MAX(AR:AR)</f>
        <v>3</v>
      </c>
      <c r="AW131">
        <f t="shared" ref="AW131:AW194" si="14">MIN(AR:AR)</f>
        <v>9.3923170846247697E-2</v>
      </c>
    </row>
    <row r="132" spans="1:49" x14ac:dyDescent="0.3">
      <c r="A132" t="s">
        <v>186</v>
      </c>
      <c r="B132" t="s">
        <v>64</v>
      </c>
      <c r="C132">
        <v>1</v>
      </c>
      <c r="D132" t="s">
        <v>24</v>
      </c>
      <c r="E132">
        <v>31</v>
      </c>
      <c r="F132">
        <v>41</v>
      </c>
      <c r="G132">
        <v>18</v>
      </c>
      <c r="H132">
        <v>34</v>
      </c>
      <c r="I132">
        <v>40</v>
      </c>
      <c r="J132">
        <v>45</v>
      </c>
      <c r="K132">
        <v>45</v>
      </c>
      <c r="L132">
        <v>60</v>
      </c>
      <c r="M132">
        <v>92</v>
      </c>
      <c r="N132">
        <v>72</v>
      </c>
      <c r="O132">
        <v>114</v>
      </c>
      <c r="P132">
        <v>144</v>
      </c>
      <c r="Q132">
        <v>128</v>
      </c>
      <c r="R132">
        <v>166</v>
      </c>
      <c r="S132">
        <v>162</v>
      </c>
      <c r="T132">
        <v>153</v>
      </c>
      <c r="U132">
        <v>153</v>
      </c>
      <c r="V132">
        <v>155</v>
      </c>
      <c r="W132">
        <v>164</v>
      </c>
      <c r="X132">
        <v>27</v>
      </c>
      <c r="Y132">
        <v>33</v>
      </c>
      <c r="Z132">
        <v>25</v>
      </c>
      <c r="AA132">
        <v>36</v>
      </c>
      <c r="AB132">
        <v>42</v>
      </c>
      <c r="AC132">
        <v>36</v>
      </c>
      <c r="AD132">
        <v>58</v>
      </c>
      <c r="AE132">
        <v>64</v>
      </c>
      <c r="AF132">
        <v>81</v>
      </c>
      <c r="AG132">
        <v>90</v>
      </c>
      <c r="AH132">
        <v>105</v>
      </c>
      <c r="AI132">
        <v>114</v>
      </c>
      <c r="AJ132">
        <v>133</v>
      </c>
      <c r="AK132">
        <v>152</v>
      </c>
      <c r="AL132">
        <v>154</v>
      </c>
      <c r="AM132">
        <v>153</v>
      </c>
      <c r="AN132">
        <v>125</v>
      </c>
      <c r="AO132">
        <v>169</v>
      </c>
      <c r="AP132">
        <v>178</v>
      </c>
      <c r="AQ132">
        <v>3592</v>
      </c>
      <c r="AR132">
        <v>0.27839643652561241</v>
      </c>
      <c r="AS132">
        <f t="shared" si="10"/>
        <v>6.3478454467799886E-2</v>
      </c>
      <c r="AT132">
        <f t="shared" si="11"/>
        <v>5.1036677392111108E-3</v>
      </c>
      <c r="AU132">
        <f t="shared" si="12"/>
        <v>0.51036677392111107</v>
      </c>
      <c r="AV132">
        <f t="shared" si="13"/>
        <v>3</v>
      </c>
      <c r="AW132">
        <f t="shared" si="14"/>
        <v>9.3923170846247697E-2</v>
      </c>
    </row>
    <row r="133" spans="1:49" x14ac:dyDescent="0.3">
      <c r="A133" t="s">
        <v>187</v>
      </c>
      <c r="B133" t="s">
        <v>116</v>
      </c>
      <c r="C133">
        <v>1</v>
      </c>
      <c r="D133" t="s">
        <v>12</v>
      </c>
      <c r="E133">
        <v>57</v>
      </c>
      <c r="F133">
        <v>40</v>
      </c>
      <c r="G133">
        <v>36</v>
      </c>
      <c r="H133">
        <v>37</v>
      </c>
      <c r="I133">
        <v>46</v>
      </c>
      <c r="J133">
        <v>43</v>
      </c>
      <c r="K133">
        <v>33</v>
      </c>
      <c r="L133">
        <v>50</v>
      </c>
      <c r="M133">
        <v>46</v>
      </c>
      <c r="N133">
        <v>67</v>
      </c>
      <c r="O133">
        <v>45</v>
      </c>
      <c r="P133">
        <v>48</v>
      </c>
      <c r="Q133">
        <v>63</v>
      </c>
      <c r="R133">
        <v>59</v>
      </c>
      <c r="S133">
        <v>57</v>
      </c>
      <c r="T133">
        <v>65</v>
      </c>
      <c r="U133">
        <v>61</v>
      </c>
      <c r="V133">
        <v>64</v>
      </c>
      <c r="W133">
        <v>70</v>
      </c>
      <c r="X133">
        <v>54</v>
      </c>
      <c r="Y133">
        <v>51</v>
      </c>
      <c r="Z133">
        <v>26</v>
      </c>
      <c r="AA133">
        <v>41</v>
      </c>
      <c r="AB133">
        <v>35</v>
      </c>
      <c r="AC133">
        <v>37</v>
      </c>
      <c r="AD133">
        <v>39</v>
      </c>
      <c r="AE133">
        <v>38</v>
      </c>
      <c r="AF133">
        <v>40</v>
      </c>
      <c r="AG133">
        <v>49</v>
      </c>
      <c r="AH133">
        <v>50</v>
      </c>
      <c r="AI133">
        <v>46</v>
      </c>
      <c r="AJ133">
        <v>50</v>
      </c>
      <c r="AK133">
        <v>56</v>
      </c>
      <c r="AL133">
        <v>66</v>
      </c>
      <c r="AM133">
        <v>72</v>
      </c>
      <c r="AN133">
        <v>63</v>
      </c>
      <c r="AO133">
        <v>69</v>
      </c>
      <c r="AP133">
        <v>100</v>
      </c>
      <c r="AQ133">
        <v>1969</v>
      </c>
      <c r="AR133">
        <v>0.50787201625190448</v>
      </c>
      <c r="AS133">
        <f t="shared" si="10"/>
        <v>0.14244249885375482</v>
      </c>
      <c r="AT133">
        <f t="shared" si="11"/>
        <v>1.1452376907841887E-2</v>
      </c>
      <c r="AU133">
        <f t="shared" si="12"/>
        <v>1.1452376907841888</v>
      </c>
      <c r="AV133">
        <f t="shared" si="13"/>
        <v>3</v>
      </c>
      <c r="AW133">
        <f t="shared" si="14"/>
        <v>9.3923170846247697E-2</v>
      </c>
    </row>
    <row r="134" spans="1:49" x14ac:dyDescent="0.3">
      <c r="A134" t="s">
        <v>188</v>
      </c>
      <c r="B134" t="s">
        <v>16</v>
      </c>
      <c r="C134">
        <v>1</v>
      </c>
      <c r="D134" t="s">
        <v>17</v>
      </c>
      <c r="E134">
        <v>47</v>
      </c>
      <c r="F134">
        <v>29</v>
      </c>
      <c r="G134">
        <v>42</v>
      </c>
      <c r="H134">
        <v>57</v>
      </c>
      <c r="I134">
        <v>47</v>
      </c>
      <c r="J134">
        <v>67</v>
      </c>
      <c r="K134">
        <v>61</v>
      </c>
      <c r="L134">
        <v>57</v>
      </c>
      <c r="M134">
        <v>78</v>
      </c>
      <c r="N134">
        <v>85</v>
      </c>
      <c r="O134">
        <v>115</v>
      </c>
      <c r="P134">
        <v>117</v>
      </c>
      <c r="Q134">
        <v>120</v>
      </c>
      <c r="R134">
        <v>125</v>
      </c>
      <c r="S134">
        <v>133</v>
      </c>
      <c r="T134">
        <v>158</v>
      </c>
      <c r="U134">
        <v>131</v>
      </c>
      <c r="V134">
        <v>153</v>
      </c>
      <c r="W134">
        <v>152</v>
      </c>
      <c r="X134">
        <v>41</v>
      </c>
      <c r="Y134">
        <v>39</v>
      </c>
      <c r="Z134">
        <v>47</v>
      </c>
      <c r="AA134">
        <v>39</v>
      </c>
      <c r="AB134">
        <v>49</v>
      </c>
      <c r="AC134">
        <v>60</v>
      </c>
      <c r="AD134">
        <v>61</v>
      </c>
      <c r="AE134">
        <v>58</v>
      </c>
      <c r="AF134">
        <v>63</v>
      </c>
      <c r="AG134">
        <v>98</v>
      </c>
      <c r="AH134">
        <v>101</v>
      </c>
      <c r="AI134">
        <v>111</v>
      </c>
      <c r="AJ134">
        <v>115</v>
      </c>
      <c r="AK134">
        <v>112</v>
      </c>
      <c r="AL134">
        <v>136</v>
      </c>
      <c r="AM134">
        <v>113</v>
      </c>
      <c r="AN134">
        <v>132</v>
      </c>
      <c r="AO134">
        <v>161</v>
      </c>
      <c r="AP134">
        <v>136</v>
      </c>
      <c r="AQ134">
        <v>3446</v>
      </c>
      <c r="AR134">
        <v>0.2901915264074289</v>
      </c>
      <c r="AS134">
        <f t="shared" si="10"/>
        <v>6.7537221862897012E-2</v>
      </c>
      <c r="AT134">
        <f t="shared" si="11"/>
        <v>5.4299926377769196E-3</v>
      </c>
      <c r="AU134">
        <f t="shared" si="12"/>
        <v>0.54299926377769192</v>
      </c>
      <c r="AV134">
        <f t="shared" si="13"/>
        <v>3</v>
      </c>
      <c r="AW134">
        <f t="shared" si="14"/>
        <v>9.3923170846247697E-2</v>
      </c>
    </row>
    <row r="135" spans="1:49" x14ac:dyDescent="0.3">
      <c r="A135" t="s">
        <v>189</v>
      </c>
      <c r="B135" t="s">
        <v>50</v>
      </c>
      <c r="C135">
        <v>1</v>
      </c>
      <c r="D135" t="s">
        <v>12</v>
      </c>
      <c r="E135">
        <v>19</v>
      </c>
      <c r="F135">
        <v>24</v>
      </c>
      <c r="G135">
        <v>17</v>
      </c>
      <c r="H135">
        <v>32</v>
      </c>
      <c r="I135">
        <v>23</v>
      </c>
      <c r="J135">
        <v>15</v>
      </c>
      <c r="K135">
        <v>36</v>
      </c>
      <c r="L135">
        <v>28</v>
      </c>
      <c r="M135">
        <v>41</v>
      </c>
      <c r="N135">
        <v>35</v>
      </c>
      <c r="O135">
        <v>32</v>
      </c>
      <c r="P135">
        <v>34</v>
      </c>
      <c r="Q135">
        <v>51</v>
      </c>
      <c r="R135">
        <v>52</v>
      </c>
      <c r="S135">
        <v>76</v>
      </c>
      <c r="T135">
        <v>67</v>
      </c>
      <c r="U135">
        <v>62</v>
      </c>
      <c r="V135">
        <v>74</v>
      </c>
      <c r="W135">
        <v>69</v>
      </c>
      <c r="X135">
        <v>17</v>
      </c>
      <c r="Y135">
        <v>14</v>
      </c>
      <c r="Z135">
        <v>21</v>
      </c>
      <c r="AA135">
        <v>23</v>
      </c>
      <c r="AB135">
        <v>21</v>
      </c>
      <c r="AC135">
        <v>20</v>
      </c>
      <c r="AD135">
        <v>30</v>
      </c>
      <c r="AE135">
        <v>28</v>
      </c>
      <c r="AF135">
        <v>25</v>
      </c>
      <c r="AG135">
        <v>37</v>
      </c>
      <c r="AH135">
        <v>49</v>
      </c>
      <c r="AI135">
        <v>38</v>
      </c>
      <c r="AJ135">
        <v>44</v>
      </c>
      <c r="AK135">
        <v>52</v>
      </c>
      <c r="AL135">
        <v>52</v>
      </c>
      <c r="AM135">
        <v>64</v>
      </c>
      <c r="AN135">
        <v>57</v>
      </c>
      <c r="AO135">
        <v>54</v>
      </c>
      <c r="AP135">
        <v>64</v>
      </c>
      <c r="AQ135">
        <v>1497</v>
      </c>
      <c r="AR135">
        <v>0.66800267201068808</v>
      </c>
      <c r="AS135">
        <f t="shared" si="10"/>
        <v>0.19754450240450525</v>
      </c>
      <c r="AT135">
        <f t="shared" si="11"/>
        <v>1.5882577993322222E-2</v>
      </c>
      <c r="AU135">
        <f t="shared" si="12"/>
        <v>1.5882577993322222</v>
      </c>
      <c r="AV135">
        <f t="shared" si="13"/>
        <v>3</v>
      </c>
      <c r="AW135">
        <f t="shared" si="14"/>
        <v>9.3923170846247697E-2</v>
      </c>
    </row>
    <row r="136" spans="1:49" x14ac:dyDescent="0.3">
      <c r="A136" t="s">
        <v>190</v>
      </c>
      <c r="B136" t="s">
        <v>50</v>
      </c>
      <c r="C136">
        <v>1</v>
      </c>
      <c r="D136" t="s">
        <v>12</v>
      </c>
      <c r="E136">
        <v>17</v>
      </c>
      <c r="F136">
        <v>19</v>
      </c>
      <c r="G136">
        <v>17</v>
      </c>
      <c r="H136">
        <v>20</v>
      </c>
      <c r="I136">
        <v>23</v>
      </c>
      <c r="J136">
        <v>26</v>
      </c>
      <c r="K136">
        <v>25</v>
      </c>
      <c r="L136">
        <v>17</v>
      </c>
      <c r="M136">
        <v>34</v>
      </c>
      <c r="N136">
        <v>32</v>
      </c>
      <c r="O136">
        <v>42</v>
      </c>
      <c r="P136">
        <v>34</v>
      </c>
      <c r="Q136">
        <v>44</v>
      </c>
      <c r="R136">
        <v>50</v>
      </c>
      <c r="S136">
        <v>49</v>
      </c>
      <c r="T136">
        <v>48</v>
      </c>
      <c r="U136">
        <v>44</v>
      </c>
      <c r="V136">
        <v>46</v>
      </c>
      <c r="W136">
        <v>57</v>
      </c>
      <c r="X136">
        <v>19</v>
      </c>
      <c r="Y136">
        <v>19</v>
      </c>
      <c r="Z136">
        <v>20</v>
      </c>
      <c r="AA136">
        <v>23</v>
      </c>
      <c r="AB136">
        <v>22</v>
      </c>
      <c r="AC136">
        <v>22</v>
      </c>
      <c r="AD136">
        <v>23</v>
      </c>
      <c r="AE136">
        <v>29</v>
      </c>
      <c r="AF136">
        <v>19</v>
      </c>
      <c r="AG136">
        <v>35</v>
      </c>
      <c r="AH136">
        <v>31</v>
      </c>
      <c r="AI136">
        <v>36</v>
      </c>
      <c r="AJ136">
        <v>34</v>
      </c>
      <c r="AK136">
        <v>58</v>
      </c>
      <c r="AL136">
        <v>43</v>
      </c>
      <c r="AM136">
        <v>37</v>
      </c>
      <c r="AN136">
        <v>56</v>
      </c>
      <c r="AO136">
        <v>54</v>
      </c>
      <c r="AP136">
        <v>62</v>
      </c>
      <c r="AQ136">
        <v>1286</v>
      </c>
      <c r="AR136">
        <v>0.77760497667185069</v>
      </c>
      <c r="AS136">
        <f t="shared" si="10"/>
        <v>0.23525937062878363</v>
      </c>
      <c r="AT136">
        <f t="shared" si="11"/>
        <v>1.8914853398554202E-2</v>
      </c>
      <c r="AU136">
        <f t="shared" si="12"/>
        <v>1.8914853398554203</v>
      </c>
      <c r="AV136">
        <f t="shared" si="13"/>
        <v>3</v>
      </c>
      <c r="AW136">
        <f t="shared" si="14"/>
        <v>9.3923170846247697E-2</v>
      </c>
    </row>
    <row r="137" spans="1:49" x14ac:dyDescent="0.3">
      <c r="A137" t="s">
        <v>191</v>
      </c>
      <c r="B137" t="s">
        <v>26</v>
      </c>
      <c r="C137">
        <v>3</v>
      </c>
      <c r="D137" t="s">
        <v>17</v>
      </c>
      <c r="E137">
        <v>40</v>
      </c>
      <c r="F137">
        <v>21</v>
      </c>
      <c r="G137">
        <v>21</v>
      </c>
      <c r="H137">
        <v>20</v>
      </c>
      <c r="I137">
        <v>10</v>
      </c>
      <c r="J137">
        <v>23</v>
      </c>
      <c r="K137">
        <v>16</v>
      </c>
      <c r="L137">
        <v>22</v>
      </c>
      <c r="M137">
        <v>23</v>
      </c>
      <c r="N137">
        <v>25</v>
      </c>
      <c r="O137">
        <v>23</v>
      </c>
      <c r="P137">
        <v>33</v>
      </c>
      <c r="Q137">
        <v>34</v>
      </c>
      <c r="R137">
        <v>33</v>
      </c>
      <c r="S137">
        <v>34</v>
      </c>
      <c r="T137">
        <v>40</v>
      </c>
      <c r="U137">
        <v>26</v>
      </c>
      <c r="V137">
        <v>47</v>
      </c>
      <c r="W137">
        <v>43</v>
      </c>
      <c r="X137">
        <v>21</v>
      </c>
      <c r="Y137">
        <v>17</v>
      </c>
      <c r="Z137">
        <v>20</v>
      </c>
      <c r="AA137">
        <v>16</v>
      </c>
      <c r="AB137">
        <v>19</v>
      </c>
      <c r="AC137">
        <v>16</v>
      </c>
      <c r="AD137">
        <v>24</v>
      </c>
      <c r="AE137">
        <v>22</v>
      </c>
      <c r="AF137">
        <v>23</v>
      </c>
      <c r="AG137">
        <v>21</v>
      </c>
      <c r="AH137">
        <v>37</v>
      </c>
      <c r="AI137">
        <v>28</v>
      </c>
      <c r="AJ137">
        <v>31</v>
      </c>
      <c r="AK137">
        <v>30</v>
      </c>
      <c r="AL137">
        <v>47</v>
      </c>
      <c r="AM137">
        <v>31</v>
      </c>
      <c r="AN137">
        <v>43</v>
      </c>
      <c r="AO137">
        <v>40</v>
      </c>
      <c r="AP137">
        <v>46</v>
      </c>
      <c r="AQ137">
        <v>1066</v>
      </c>
      <c r="AR137">
        <v>2.8142589118198882</v>
      </c>
      <c r="AS137">
        <f t="shared" si="10"/>
        <v>0.93608527953674248</v>
      </c>
      <c r="AT137">
        <f t="shared" si="11"/>
        <v>7.5261256474754096E-2</v>
      </c>
      <c r="AU137">
        <f t="shared" si="12"/>
        <v>7.5261256474754097</v>
      </c>
      <c r="AV137">
        <f t="shared" si="13"/>
        <v>3</v>
      </c>
      <c r="AW137">
        <f t="shared" si="14"/>
        <v>9.3923170846247697E-2</v>
      </c>
    </row>
    <row r="138" spans="1:49" x14ac:dyDescent="0.3">
      <c r="A138" t="s">
        <v>192</v>
      </c>
      <c r="B138" t="s">
        <v>26</v>
      </c>
      <c r="C138">
        <v>2</v>
      </c>
      <c r="D138" t="s">
        <v>17</v>
      </c>
      <c r="E138">
        <v>34</v>
      </c>
      <c r="F138">
        <v>29</v>
      </c>
      <c r="G138">
        <v>45</v>
      </c>
      <c r="H138">
        <v>47</v>
      </c>
      <c r="I138">
        <v>35</v>
      </c>
      <c r="J138">
        <v>51</v>
      </c>
      <c r="K138">
        <v>56</v>
      </c>
      <c r="L138">
        <v>48</v>
      </c>
      <c r="M138">
        <v>70</v>
      </c>
      <c r="N138">
        <v>70</v>
      </c>
      <c r="O138">
        <v>76</v>
      </c>
      <c r="P138">
        <v>81</v>
      </c>
      <c r="Q138">
        <v>97</v>
      </c>
      <c r="R138">
        <v>119</v>
      </c>
      <c r="S138">
        <v>93</v>
      </c>
      <c r="T138">
        <v>126</v>
      </c>
      <c r="U138">
        <v>112</v>
      </c>
      <c r="V138">
        <v>116</v>
      </c>
      <c r="W138">
        <v>123</v>
      </c>
      <c r="X138">
        <v>28</v>
      </c>
      <c r="Y138">
        <v>43</v>
      </c>
      <c r="Z138">
        <v>29</v>
      </c>
      <c r="AA138">
        <v>47</v>
      </c>
      <c r="AB138">
        <v>43</v>
      </c>
      <c r="AC138">
        <v>49</v>
      </c>
      <c r="AD138">
        <v>49</v>
      </c>
      <c r="AE138">
        <v>44</v>
      </c>
      <c r="AF138">
        <v>61</v>
      </c>
      <c r="AG138">
        <v>77</v>
      </c>
      <c r="AH138">
        <v>94</v>
      </c>
      <c r="AI138">
        <v>76</v>
      </c>
      <c r="AJ138">
        <v>80</v>
      </c>
      <c r="AK138">
        <v>118</v>
      </c>
      <c r="AL138">
        <v>104</v>
      </c>
      <c r="AM138">
        <v>96</v>
      </c>
      <c r="AN138">
        <v>118</v>
      </c>
      <c r="AO138">
        <v>129</v>
      </c>
      <c r="AP138">
        <v>118</v>
      </c>
      <c r="AQ138">
        <v>2831</v>
      </c>
      <c r="AR138">
        <v>0.70646414694454251</v>
      </c>
      <c r="AS138">
        <f t="shared" si="10"/>
        <v>0.21077934690276801</v>
      </c>
      <c r="AT138">
        <f t="shared" si="11"/>
        <v>1.6946659490982549E-2</v>
      </c>
      <c r="AU138">
        <f t="shared" si="12"/>
        <v>1.694665949098255</v>
      </c>
      <c r="AV138">
        <f t="shared" si="13"/>
        <v>3</v>
      </c>
      <c r="AW138">
        <f t="shared" si="14"/>
        <v>9.3923170846247697E-2</v>
      </c>
    </row>
    <row r="139" spans="1:49" x14ac:dyDescent="0.3">
      <c r="A139" t="s">
        <v>193</v>
      </c>
      <c r="B139" t="s">
        <v>26</v>
      </c>
      <c r="C139">
        <v>2</v>
      </c>
      <c r="D139" t="s">
        <v>17</v>
      </c>
      <c r="E139">
        <v>16</v>
      </c>
      <c r="F139">
        <v>30</v>
      </c>
      <c r="G139">
        <v>23</v>
      </c>
      <c r="H139">
        <v>26</v>
      </c>
      <c r="I139">
        <v>36</v>
      </c>
      <c r="J139">
        <v>24</v>
      </c>
      <c r="K139">
        <v>36</v>
      </c>
      <c r="L139">
        <v>44</v>
      </c>
      <c r="M139">
        <v>67</v>
      </c>
      <c r="N139">
        <v>58</v>
      </c>
      <c r="O139">
        <v>76</v>
      </c>
      <c r="P139">
        <v>55</v>
      </c>
      <c r="Q139">
        <v>77</v>
      </c>
      <c r="R139">
        <v>87</v>
      </c>
      <c r="S139">
        <v>71</v>
      </c>
      <c r="T139">
        <v>77</v>
      </c>
      <c r="U139">
        <v>59</v>
      </c>
      <c r="V139">
        <v>90</v>
      </c>
      <c r="W139">
        <v>72</v>
      </c>
      <c r="X139">
        <v>33</v>
      </c>
      <c r="Y139">
        <v>26</v>
      </c>
      <c r="Z139">
        <v>23</v>
      </c>
      <c r="AA139">
        <v>30</v>
      </c>
      <c r="AB139">
        <v>27</v>
      </c>
      <c r="AC139">
        <v>33</v>
      </c>
      <c r="AD139">
        <v>41</v>
      </c>
      <c r="AE139">
        <v>45</v>
      </c>
      <c r="AF139">
        <v>51</v>
      </c>
      <c r="AG139">
        <v>64</v>
      </c>
      <c r="AH139">
        <v>58</v>
      </c>
      <c r="AI139">
        <v>66</v>
      </c>
      <c r="AJ139">
        <v>58</v>
      </c>
      <c r="AK139">
        <v>72</v>
      </c>
      <c r="AL139">
        <v>60</v>
      </c>
      <c r="AM139">
        <v>68</v>
      </c>
      <c r="AN139">
        <v>68</v>
      </c>
      <c r="AO139">
        <v>65</v>
      </c>
      <c r="AP139">
        <v>75</v>
      </c>
      <c r="AQ139">
        <v>1987</v>
      </c>
      <c r="AR139">
        <v>1.0065425264217409</v>
      </c>
      <c r="AS139">
        <f t="shared" si="10"/>
        <v>0.31403827538903967</v>
      </c>
      <c r="AT139">
        <f t="shared" si="11"/>
        <v>2.5248677341278791E-2</v>
      </c>
      <c r="AU139">
        <f t="shared" si="12"/>
        <v>2.5248677341278789</v>
      </c>
      <c r="AV139">
        <f t="shared" si="13"/>
        <v>3</v>
      </c>
      <c r="AW139">
        <f t="shared" si="14"/>
        <v>9.3923170846247697E-2</v>
      </c>
    </row>
    <row r="140" spans="1:49" x14ac:dyDescent="0.3">
      <c r="A140" t="s">
        <v>194</v>
      </c>
      <c r="B140" t="s">
        <v>26</v>
      </c>
      <c r="C140">
        <v>3</v>
      </c>
      <c r="D140" t="s">
        <v>17</v>
      </c>
      <c r="E140">
        <v>40</v>
      </c>
      <c r="F140">
        <v>24</v>
      </c>
      <c r="G140">
        <v>21</v>
      </c>
      <c r="H140">
        <v>26</v>
      </c>
      <c r="I140">
        <v>32</v>
      </c>
      <c r="J140">
        <v>28</v>
      </c>
      <c r="K140">
        <v>39</v>
      </c>
      <c r="L140">
        <v>31</v>
      </c>
      <c r="M140">
        <v>44</v>
      </c>
      <c r="N140">
        <v>63</v>
      </c>
      <c r="O140">
        <v>52</v>
      </c>
      <c r="P140">
        <v>62</v>
      </c>
      <c r="Q140">
        <v>50</v>
      </c>
      <c r="R140">
        <v>83</v>
      </c>
      <c r="S140">
        <v>63</v>
      </c>
      <c r="T140">
        <v>84</v>
      </c>
      <c r="U140">
        <v>59</v>
      </c>
      <c r="V140">
        <v>75</v>
      </c>
      <c r="W140">
        <v>77</v>
      </c>
      <c r="X140">
        <v>31</v>
      </c>
      <c r="Y140">
        <v>27</v>
      </c>
      <c r="Z140">
        <v>26</v>
      </c>
      <c r="AA140">
        <v>39</v>
      </c>
      <c r="AB140">
        <v>28</v>
      </c>
      <c r="AC140">
        <v>37</v>
      </c>
      <c r="AD140">
        <v>38</v>
      </c>
      <c r="AE140">
        <v>38</v>
      </c>
      <c r="AF140">
        <v>40</v>
      </c>
      <c r="AG140">
        <v>57</v>
      </c>
      <c r="AH140">
        <v>54</v>
      </c>
      <c r="AI140">
        <v>69</v>
      </c>
      <c r="AJ140">
        <v>67</v>
      </c>
      <c r="AK140">
        <v>59</v>
      </c>
      <c r="AL140">
        <v>78</v>
      </c>
      <c r="AM140">
        <v>65</v>
      </c>
      <c r="AN140">
        <v>54</v>
      </c>
      <c r="AO140">
        <v>73</v>
      </c>
      <c r="AP140">
        <v>76</v>
      </c>
      <c r="AQ140">
        <v>1909</v>
      </c>
      <c r="AR140">
        <v>1.5715034049240439</v>
      </c>
      <c r="AS140">
        <f t="shared" si="10"/>
        <v>0.50844500023355077</v>
      </c>
      <c r="AT140">
        <f t="shared" si="11"/>
        <v>4.0878978018777483E-2</v>
      </c>
      <c r="AU140">
        <f t="shared" si="12"/>
        <v>4.0878978018777481</v>
      </c>
      <c r="AV140">
        <f t="shared" si="13"/>
        <v>3</v>
      </c>
      <c r="AW140">
        <f t="shared" si="14"/>
        <v>9.3923170846247697E-2</v>
      </c>
    </row>
    <row r="141" spans="1:49" x14ac:dyDescent="0.3">
      <c r="A141" t="s">
        <v>195</v>
      </c>
      <c r="B141" t="s">
        <v>26</v>
      </c>
      <c r="C141">
        <v>3</v>
      </c>
      <c r="D141" t="s">
        <v>17</v>
      </c>
      <c r="E141">
        <v>20</v>
      </c>
      <c r="F141">
        <v>19</v>
      </c>
      <c r="G141">
        <v>14</v>
      </c>
      <c r="H141">
        <v>20</v>
      </c>
      <c r="I141">
        <v>15</v>
      </c>
      <c r="J141">
        <v>24</v>
      </c>
      <c r="K141">
        <v>22</v>
      </c>
      <c r="L141">
        <v>26</v>
      </c>
      <c r="M141">
        <v>23</v>
      </c>
      <c r="N141">
        <v>29</v>
      </c>
      <c r="O141">
        <v>20</v>
      </c>
      <c r="P141">
        <v>33</v>
      </c>
      <c r="Q141">
        <v>37</v>
      </c>
      <c r="R141">
        <v>37</v>
      </c>
      <c r="S141">
        <v>50</v>
      </c>
      <c r="T141">
        <v>35</v>
      </c>
      <c r="U141">
        <v>25</v>
      </c>
      <c r="V141">
        <v>42</v>
      </c>
      <c r="W141">
        <v>43</v>
      </c>
      <c r="X141">
        <v>25</v>
      </c>
      <c r="Y141">
        <v>24</v>
      </c>
      <c r="Z141">
        <v>18</v>
      </c>
      <c r="AA141">
        <v>17</v>
      </c>
      <c r="AB141">
        <v>13</v>
      </c>
      <c r="AC141">
        <v>24</v>
      </c>
      <c r="AD141">
        <v>16</v>
      </c>
      <c r="AE141">
        <v>19</v>
      </c>
      <c r="AF141">
        <v>17</v>
      </c>
      <c r="AG141">
        <v>23</v>
      </c>
      <c r="AH141">
        <v>28</v>
      </c>
      <c r="AI141">
        <v>26</v>
      </c>
      <c r="AJ141">
        <v>21</v>
      </c>
      <c r="AK141">
        <v>28</v>
      </c>
      <c r="AL141">
        <v>33</v>
      </c>
      <c r="AM141">
        <v>43</v>
      </c>
      <c r="AN141">
        <v>40</v>
      </c>
      <c r="AO141">
        <v>43</v>
      </c>
      <c r="AP141">
        <v>42</v>
      </c>
      <c r="AQ141">
        <v>1034</v>
      </c>
      <c r="AR141">
        <v>2.9013539651837519</v>
      </c>
      <c r="AS141">
        <f t="shared" si="10"/>
        <v>0.96605525572254958</v>
      </c>
      <c r="AT141">
        <f t="shared" si="11"/>
        <v>7.767084256009299E-2</v>
      </c>
      <c r="AU141">
        <f t="shared" si="12"/>
        <v>7.7670842560092987</v>
      </c>
      <c r="AV141">
        <f t="shared" si="13"/>
        <v>3</v>
      </c>
      <c r="AW141">
        <f t="shared" si="14"/>
        <v>9.3923170846247697E-2</v>
      </c>
    </row>
    <row r="142" spans="1:49" x14ac:dyDescent="0.3">
      <c r="A142" t="s">
        <v>196</v>
      </c>
      <c r="B142" t="s">
        <v>26</v>
      </c>
      <c r="C142">
        <v>1</v>
      </c>
      <c r="D142" t="s">
        <v>17</v>
      </c>
      <c r="E142">
        <v>25</v>
      </c>
      <c r="F142">
        <v>17</v>
      </c>
      <c r="G142">
        <v>20</v>
      </c>
      <c r="H142">
        <v>30</v>
      </c>
      <c r="I142">
        <v>28</v>
      </c>
      <c r="J142">
        <v>28</v>
      </c>
      <c r="K142">
        <v>31</v>
      </c>
      <c r="L142">
        <v>42</v>
      </c>
      <c r="M142">
        <v>54</v>
      </c>
      <c r="N142">
        <v>51</v>
      </c>
      <c r="O142">
        <v>64</v>
      </c>
      <c r="P142">
        <v>71</v>
      </c>
      <c r="Q142">
        <v>79</v>
      </c>
      <c r="R142">
        <v>93</v>
      </c>
      <c r="S142">
        <v>97</v>
      </c>
      <c r="T142">
        <v>87</v>
      </c>
      <c r="U142">
        <v>86</v>
      </c>
      <c r="V142">
        <v>90</v>
      </c>
      <c r="W142">
        <v>99</v>
      </c>
      <c r="X142">
        <v>23</v>
      </c>
      <c r="Y142">
        <v>23</v>
      </c>
      <c r="Z142">
        <v>29</v>
      </c>
      <c r="AA142">
        <v>23</v>
      </c>
      <c r="AB142">
        <v>23</v>
      </c>
      <c r="AC142">
        <v>46</v>
      </c>
      <c r="AD142">
        <v>23</v>
      </c>
      <c r="AE142">
        <v>33</v>
      </c>
      <c r="AF142">
        <v>56</v>
      </c>
      <c r="AG142">
        <v>57</v>
      </c>
      <c r="AH142">
        <v>49</v>
      </c>
      <c r="AI142">
        <v>67</v>
      </c>
      <c r="AJ142">
        <v>77</v>
      </c>
      <c r="AK142">
        <v>80</v>
      </c>
      <c r="AL142">
        <v>83</v>
      </c>
      <c r="AM142">
        <v>111</v>
      </c>
      <c r="AN142">
        <v>94</v>
      </c>
      <c r="AO142">
        <v>110</v>
      </c>
      <c r="AP142">
        <v>93</v>
      </c>
      <c r="AQ142">
        <v>2192</v>
      </c>
      <c r="AR142">
        <v>0.45620437956204379</v>
      </c>
      <c r="AS142">
        <f t="shared" si="10"/>
        <v>0.12466332792078734</v>
      </c>
      <c r="AT142">
        <f t="shared" si="11"/>
        <v>1.0022931564831302E-2</v>
      </c>
      <c r="AU142">
        <f t="shared" si="12"/>
        <v>1.0022931564831301</v>
      </c>
      <c r="AV142">
        <f t="shared" si="13"/>
        <v>3</v>
      </c>
      <c r="AW142">
        <f t="shared" si="14"/>
        <v>9.3923170846247697E-2</v>
      </c>
    </row>
    <row r="143" spans="1:49" x14ac:dyDescent="0.3">
      <c r="A143" t="s">
        <v>197</v>
      </c>
      <c r="B143" t="s">
        <v>198</v>
      </c>
      <c r="C143">
        <v>2</v>
      </c>
      <c r="D143" t="s">
        <v>12</v>
      </c>
      <c r="E143">
        <v>29</v>
      </c>
      <c r="F143">
        <v>18</v>
      </c>
      <c r="G143">
        <v>16</v>
      </c>
      <c r="H143">
        <v>23</v>
      </c>
      <c r="I143">
        <v>14</v>
      </c>
      <c r="J143">
        <v>22</v>
      </c>
      <c r="K143">
        <v>28</v>
      </c>
      <c r="L143">
        <v>18</v>
      </c>
      <c r="M143">
        <v>38</v>
      </c>
      <c r="N143">
        <v>29</v>
      </c>
      <c r="O143">
        <v>23</v>
      </c>
      <c r="P143">
        <v>32</v>
      </c>
      <c r="Q143">
        <v>30</v>
      </c>
      <c r="R143">
        <v>35</v>
      </c>
      <c r="S143">
        <v>33</v>
      </c>
      <c r="T143">
        <v>41</v>
      </c>
      <c r="U143">
        <v>36</v>
      </c>
      <c r="V143">
        <v>47</v>
      </c>
      <c r="W143">
        <v>32</v>
      </c>
      <c r="X143">
        <v>18</v>
      </c>
      <c r="Y143">
        <v>23</v>
      </c>
      <c r="Z143">
        <v>21</v>
      </c>
      <c r="AA143">
        <v>25</v>
      </c>
      <c r="AB143">
        <v>21</v>
      </c>
      <c r="AC143">
        <v>15</v>
      </c>
      <c r="AD143">
        <v>11</v>
      </c>
      <c r="AE143">
        <v>22</v>
      </c>
      <c r="AF143">
        <v>23</v>
      </c>
      <c r="AG143">
        <v>34</v>
      </c>
      <c r="AH143">
        <v>35</v>
      </c>
      <c r="AI143">
        <v>38</v>
      </c>
      <c r="AJ143">
        <v>41</v>
      </c>
      <c r="AK143">
        <v>43</v>
      </c>
      <c r="AL143">
        <v>30</v>
      </c>
      <c r="AM143">
        <v>37</v>
      </c>
      <c r="AN143">
        <v>48</v>
      </c>
      <c r="AO143">
        <v>42</v>
      </c>
      <c r="AP143">
        <v>53</v>
      </c>
      <c r="AQ143">
        <v>1124</v>
      </c>
      <c r="AR143">
        <v>1.779359430604982</v>
      </c>
      <c r="AS143">
        <f t="shared" si="10"/>
        <v>0.57996961499793942</v>
      </c>
      <c r="AT143">
        <f t="shared" si="11"/>
        <v>4.6629557045834331E-2</v>
      </c>
      <c r="AU143">
        <f t="shared" si="12"/>
        <v>4.6629557045834336</v>
      </c>
      <c r="AV143">
        <f t="shared" si="13"/>
        <v>3</v>
      </c>
      <c r="AW143">
        <f t="shared" si="14"/>
        <v>9.3923170846247697E-2</v>
      </c>
    </row>
    <row r="144" spans="1:49" x14ac:dyDescent="0.3">
      <c r="A144" t="s">
        <v>199</v>
      </c>
      <c r="B144" t="s">
        <v>198</v>
      </c>
      <c r="C144">
        <v>1</v>
      </c>
      <c r="D144" t="s">
        <v>12</v>
      </c>
      <c r="E144">
        <v>132</v>
      </c>
      <c r="F144">
        <v>143</v>
      </c>
      <c r="G144">
        <v>119</v>
      </c>
      <c r="H144">
        <v>115</v>
      </c>
      <c r="I144">
        <v>125</v>
      </c>
      <c r="J144">
        <v>114</v>
      </c>
      <c r="K144">
        <v>127</v>
      </c>
      <c r="L144">
        <v>144</v>
      </c>
      <c r="M144">
        <v>113</v>
      </c>
      <c r="N144">
        <v>165</v>
      </c>
      <c r="O144">
        <v>146</v>
      </c>
      <c r="P144">
        <v>123</v>
      </c>
      <c r="Q144">
        <v>109</v>
      </c>
      <c r="R144">
        <v>114</v>
      </c>
      <c r="S144">
        <v>102</v>
      </c>
      <c r="T144">
        <v>117</v>
      </c>
      <c r="U144">
        <v>92</v>
      </c>
      <c r="V144">
        <v>97</v>
      </c>
      <c r="W144">
        <v>120</v>
      </c>
      <c r="X144">
        <v>124</v>
      </c>
      <c r="Y144">
        <v>121</v>
      </c>
      <c r="Z144">
        <v>113</v>
      </c>
      <c r="AA144">
        <v>137</v>
      </c>
      <c r="AB144">
        <v>118</v>
      </c>
      <c r="AC144">
        <v>91</v>
      </c>
      <c r="AD144">
        <v>137</v>
      </c>
      <c r="AE144">
        <v>135</v>
      </c>
      <c r="AF144">
        <v>140</v>
      </c>
      <c r="AG144">
        <v>122</v>
      </c>
      <c r="AH144">
        <v>137</v>
      </c>
      <c r="AI144">
        <v>114</v>
      </c>
      <c r="AJ144">
        <v>113</v>
      </c>
      <c r="AK144">
        <v>111</v>
      </c>
      <c r="AL144">
        <v>122</v>
      </c>
      <c r="AM144">
        <v>106</v>
      </c>
      <c r="AN144">
        <v>122</v>
      </c>
      <c r="AO144">
        <v>129</v>
      </c>
      <c r="AP144">
        <v>105</v>
      </c>
      <c r="AQ144">
        <v>4614</v>
      </c>
      <c r="AR144">
        <v>0.2167316861725184</v>
      </c>
      <c r="AS144">
        <f t="shared" si="10"/>
        <v>4.2259211488924212E-2</v>
      </c>
      <c r="AT144">
        <f t="shared" si="11"/>
        <v>3.3976406037095064E-3</v>
      </c>
      <c r="AU144">
        <f t="shared" si="12"/>
        <v>0.33976406037095064</v>
      </c>
      <c r="AV144">
        <f t="shared" si="13"/>
        <v>3</v>
      </c>
      <c r="AW144">
        <f t="shared" si="14"/>
        <v>9.3923170846247697E-2</v>
      </c>
    </row>
    <row r="145" spans="1:49" x14ac:dyDescent="0.3">
      <c r="A145" t="s">
        <v>200</v>
      </c>
      <c r="B145" t="s">
        <v>172</v>
      </c>
      <c r="C145">
        <v>2</v>
      </c>
      <c r="D145" t="s">
        <v>12</v>
      </c>
      <c r="E145">
        <v>38</v>
      </c>
      <c r="F145">
        <v>33</v>
      </c>
      <c r="G145">
        <v>31</v>
      </c>
      <c r="H145">
        <v>25</v>
      </c>
      <c r="I145">
        <v>25</v>
      </c>
      <c r="J145">
        <v>33</v>
      </c>
      <c r="K145">
        <v>42</v>
      </c>
      <c r="L145">
        <v>47</v>
      </c>
      <c r="M145">
        <v>24</v>
      </c>
      <c r="N145">
        <v>61</v>
      </c>
      <c r="O145">
        <v>59</v>
      </c>
      <c r="P145">
        <v>51</v>
      </c>
      <c r="Q145">
        <v>54</v>
      </c>
      <c r="R145">
        <v>65</v>
      </c>
      <c r="S145">
        <v>55</v>
      </c>
      <c r="T145">
        <v>63</v>
      </c>
      <c r="U145">
        <v>61</v>
      </c>
      <c r="V145">
        <v>57</v>
      </c>
      <c r="W145">
        <v>76</v>
      </c>
      <c r="X145">
        <v>30</v>
      </c>
      <c r="Y145">
        <v>30</v>
      </c>
      <c r="Z145">
        <v>25</v>
      </c>
      <c r="AA145">
        <v>27</v>
      </c>
      <c r="AB145">
        <v>20</v>
      </c>
      <c r="AC145">
        <v>23</v>
      </c>
      <c r="AD145">
        <v>26</v>
      </c>
      <c r="AE145">
        <v>28</v>
      </c>
      <c r="AF145">
        <v>31</v>
      </c>
      <c r="AG145">
        <v>50</v>
      </c>
      <c r="AH145">
        <v>53</v>
      </c>
      <c r="AI145">
        <v>53</v>
      </c>
      <c r="AJ145">
        <v>55</v>
      </c>
      <c r="AK145">
        <v>50</v>
      </c>
      <c r="AL145">
        <v>63</v>
      </c>
      <c r="AM145">
        <v>70</v>
      </c>
      <c r="AN145">
        <v>55</v>
      </c>
      <c r="AO145">
        <v>68</v>
      </c>
      <c r="AP145">
        <v>91</v>
      </c>
      <c r="AQ145">
        <v>1748</v>
      </c>
      <c r="AR145">
        <v>1.1441647597254001</v>
      </c>
      <c r="AS145">
        <f t="shared" si="10"/>
        <v>0.36139498389826874</v>
      </c>
      <c r="AT145">
        <f t="shared" si="11"/>
        <v>2.9056156705420805E-2</v>
      </c>
      <c r="AU145">
        <f t="shared" si="12"/>
        <v>2.9056156705420806</v>
      </c>
      <c r="AV145">
        <f t="shared" si="13"/>
        <v>3</v>
      </c>
      <c r="AW145">
        <f t="shared" si="14"/>
        <v>9.3923170846247697E-2</v>
      </c>
    </row>
    <row r="146" spans="1:49" x14ac:dyDescent="0.3">
      <c r="A146" t="s">
        <v>201</v>
      </c>
      <c r="B146" t="s">
        <v>198</v>
      </c>
      <c r="C146">
        <v>1</v>
      </c>
      <c r="D146" t="s">
        <v>12</v>
      </c>
      <c r="E146">
        <v>52</v>
      </c>
      <c r="F146">
        <v>37</v>
      </c>
      <c r="G146">
        <v>38</v>
      </c>
      <c r="H146">
        <v>31</v>
      </c>
      <c r="I146">
        <v>20</v>
      </c>
      <c r="J146">
        <v>39</v>
      </c>
      <c r="K146">
        <v>33</v>
      </c>
      <c r="L146">
        <v>33</v>
      </c>
      <c r="M146">
        <v>48</v>
      </c>
      <c r="N146">
        <v>58</v>
      </c>
      <c r="O146">
        <v>69</v>
      </c>
      <c r="P146">
        <v>53</v>
      </c>
      <c r="Q146">
        <v>63</v>
      </c>
      <c r="R146">
        <v>66</v>
      </c>
      <c r="S146">
        <v>69</v>
      </c>
      <c r="T146">
        <v>64</v>
      </c>
      <c r="U146">
        <v>70</v>
      </c>
      <c r="V146">
        <v>65</v>
      </c>
      <c r="W146">
        <v>67</v>
      </c>
      <c r="X146">
        <v>55</v>
      </c>
      <c r="Y146">
        <v>36</v>
      </c>
      <c r="Z146">
        <v>32</v>
      </c>
      <c r="AA146">
        <v>40</v>
      </c>
      <c r="AB146">
        <v>27</v>
      </c>
      <c r="AC146">
        <v>29</v>
      </c>
      <c r="AD146">
        <v>39</v>
      </c>
      <c r="AE146">
        <v>42</v>
      </c>
      <c r="AF146">
        <v>45</v>
      </c>
      <c r="AG146">
        <v>56</v>
      </c>
      <c r="AH146">
        <v>51</v>
      </c>
      <c r="AI146">
        <v>57</v>
      </c>
      <c r="AJ146">
        <v>53</v>
      </c>
      <c r="AK146">
        <v>70</v>
      </c>
      <c r="AL146">
        <v>51</v>
      </c>
      <c r="AM146">
        <v>68</v>
      </c>
      <c r="AN146">
        <v>57</v>
      </c>
      <c r="AO146">
        <v>72</v>
      </c>
      <c r="AP146">
        <v>70</v>
      </c>
      <c r="AQ146">
        <v>1925</v>
      </c>
      <c r="AR146">
        <v>0.51948051948051943</v>
      </c>
      <c r="AS146">
        <f t="shared" si="10"/>
        <v>0.14643706056394723</v>
      </c>
      <c r="AT146">
        <f t="shared" si="11"/>
        <v>1.1773539669341358E-2</v>
      </c>
      <c r="AU146">
        <f t="shared" si="12"/>
        <v>1.1773539669341357</v>
      </c>
      <c r="AV146">
        <f t="shared" si="13"/>
        <v>3</v>
      </c>
      <c r="AW146">
        <f t="shared" si="14"/>
        <v>9.3923170846247697E-2</v>
      </c>
    </row>
    <row r="147" spans="1:49" x14ac:dyDescent="0.3">
      <c r="A147" t="s">
        <v>202</v>
      </c>
      <c r="B147" t="s">
        <v>198</v>
      </c>
      <c r="C147">
        <v>3</v>
      </c>
      <c r="D147" t="s">
        <v>12</v>
      </c>
      <c r="E147">
        <v>55</v>
      </c>
      <c r="F147">
        <v>40</v>
      </c>
      <c r="G147">
        <v>32</v>
      </c>
      <c r="H147">
        <v>35</v>
      </c>
      <c r="I147">
        <v>27</v>
      </c>
      <c r="J147">
        <v>45</v>
      </c>
      <c r="K147">
        <v>32</v>
      </c>
      <c r="L147">
        <v>46</v>
      </c>
      <c r="M147">
        <v>39</v>
      </c>
      <c r="N147">
        <v>38</v>
      </c>
      <c r="O147">
        <v>52</v>
      </c>
      <c r="P147">
        <v>51</v>
      </c>
      <c r="Q147">
        <v>37</v>
      </c>
      <c r="R147">
        <v>60</v>
      </c>
      <c r="S147">
        <v>56</v>
      </c>
      <c r="T147">
        <v>46</v>
      </c>
      <c r="U147">
        <v>44</v>
      </c>
      <c r="V147">
        <v>58</v>
      </c>
      <c r="W147">
        <v>84</v>
      </c>
      <c r="X147">
        <v>44</v>
      </c>
      <c r="Y147">
        <v>41</v>
      </c>
      <c r="Z147">
        <v>32</v>
      </c>
      <c r="AA147">
        <v>42</v>
      </c>
      <c r="AB147">
        <v>28</v>
      </c>
      <c r="AC147">
        <v>26</v>
      </c>
      <c r="AD147">
        <v>35</v>
      </c>
      <c r="AE147">
        <v>38</v>
      </c>
      <c r="AF147">
        <v>40</v>
      </c>
      <c r="AG147">
        <v>33</v>
      </c>
      <c r="AH147">
        <v>43</v>
      </c>
      <c r="AI147">
        <v>44</v>
      </c>
      <c r="AJ147">
        <v>39</v>
      </c>
      <c r="AK147">
        <v>55</v>
      </c>
      <c r="AL147">
        <v>47</v>
      </c>
      <c r="AM147">
        <v>48</v>
      </c>
      <c r="AN147">
        <v>67</v>
      </c>
      <c r="AO147">
        <v>69</v>
      </c>
      <c r="AP147">
        <v>56</v>
      </c>
      <c r="AQ147">
        <v>1704</v>
      </c>
      <c r="AR147">
        <v>1.76056338028169</v>
      </c>
      <c r="AS147">
        <f t="shared" si="10"/>
        <v>0.57350177143140657</v>
      </c>
      <c r="AT147">
        <f t="shared" si="11"/>
        <v>4.6109542423085091E-2</v>
      </c>
      <c r="AU147">
        <f t="shared" si="12"/>
        <v>4.6109542423085088</v>
      </c>
      <c r="AV147">
        <f t="shared" si="13"/>
        <v>3</v>
      </c>
      <c r="AW147">
        <f t="shared" si="14"/>
        <v>9.3923170846247697E-2</v>
      </c>
    </row>
    <row r="148" spans="1:49" x14ac:dyDescent="0.3">
      <c r="A148" t="s">
        <v>203</v>
      </c>
      <c r="B148" t="s">
        <v>198</v>
      </c>
      <c r="C148">
        <v>1</v>
      </c>
      <c r="D148" t="s">
        <v>12</v>
      </c>
      <c r="E148">
        <v>22</v>
      </c>
      <c r="F148">
        <v>29</v>
      </c>
      <c r="G148">
        <v>42</v>
      </c>
      <c r="H148">
        <v>28</v>
      </c>
      <c r="I148">
        <v>32</v>
      </c>
      <c r="J148">
        <v>41</v>
      </c>
      <c r="K148">
        <v>34</v>
      </c>
      <c r="L148">
        <v>30</v>
      </c>
      <c r="M148">
        <v>32</v>
      </c>
      <c r="N148">
        <v>51</v>
      </c>
      <c r="O148">
        <v>54</v>
      </c>
      <c r="P148">
        <v>48</v>
      </c>
      <c r="Q148">
        <v>58</v>
      </c>
      <c r="R148">
        <v>56</v>
      </c>
      <c r="S148">
        <v>51</v>
      </c>
      <c r="T148">
        <v>56</v>
      </c>
      <c r="U148">
        <v>50</v>
      </c>
      <c r="V148">
        <v>46</v>
      </c>
      <c r="W148">
        <v>56</v>
      </c>
      <c r="X148">
        <v>38</v>
      </c>
      <c r="Y148">
        <v>28</v>
      </c>
      <c r="Z148">
        <v>25</v>
      </c>
      <c r="AA148">
        <v>32</v>
      </c>
      <c r="AB148">
        <v>27</v>
      </c>
      <c r="AC148">
        <v>31</v>
      </c>
      <c r="AD148">
        <v>34</v>
      </c>
      <c r="AE148">
        <v>48</v>
      </c>
      <c r="AF148">
        <v>38</v>
      </c>
      <c r="AG148">
        <v>40</v>
      </c>
      <c r="AH148">
        <v>48</v>
      </c>
      <c r="AI148">
        <v>41</v>
      </c>
      <c r="AJ148">
        <v>40</v>
      </c>
      <c r="AK148">
        <v>51</v>
      </c>
      <c r="AL148">
        <v>56</v>
      </c>
      <c r="AM148">
        <v>50</v>
      </c>
      <c r="AN148">
        <v>47</v>
      </c>
      <c r="AO148">
        <v>56</v>
      </c>
      <c r="AP148">
        <v>41</v>
      </c>
      <c r="AQ148">
        <v>1587</v>
      </c>
      <c r="AR148">
        <v>0.63011972274732198</v>
      </c>
      <c r="AS148">
        <f t="shared" si="10"/>
        <v>0.184508732364524</v>
      </c>
      <c r="AT148">
        <f t="shared" si="11"/>
        <v>1.483450208210773E-2</v>
      </c>
      <c r="AU148">
        <f t="shared" si="12"/>
        <v>1.483450208210773</v>
      </c>
      <c r="AV148">
        <f t="shared" si="13"/>
        <v>3</v>
      </c>
      <c r="AW148">
        <f t="shared" si="14"/>
        <v>9.3923170846247697E-2</v>
      </c>
    </row>
    <row r="149" spans="1:49" x14ac:dyDescent="0.3">
      <c r="A149" t="s">
        <v>204</v>
      </c>
      <c r="B149" t="s">
        <v>198</v>
      </c>
      <c r="C149">
        <v>3</v>
      </c>
      <c r="D149" t="s">
        <v>12</v>
      </c>
      <c r="E149">
        <v>51</v>
      </c>
      <c r="F149">
        <v>40</v>
      </c>
      <c r="G149">
        <v>49</v>
      </c>
      <c r="H149">
        <v>37</v>
      </c>
      <c r="I149">
        <v>56</v>
      </c>
      <c r="J149">
        <v>45</v>
      </c>
      <c r="K149">
        <v>44</v>
      </c>
      <c r="L149">
        <v>58</v>
      </c>
      <c r="M149">
        <v>61</v>
      </c>
      <c r="N149">
        <v>61</v>
      </c>
      <c r="O149">
        <v>65</v>
      </c>
      <c r="P149">
        <v>55</v>
      </c>
      <c r="Q149">
        <v>44</v>
      </c>
      <c r="R149">
        <v>45</v>
      </c>
      <c r="S149">
        <v>49</v>
      </c>
      <c r="T149">
        <v>37</v>
      </c>
      <c r="U149">
        <v>45</v>
      </c>
      <c r="V149">
        <v>42</v>
      </c>
      <c r="W149">
        <v>47</v>
      </c>
      <c r="X149">
        <v>36</v>
      </c>
      <c r="Y149">
        <v>38</v>
      </c>
      <c r="Z149">
        <v>44</v>
      </c>
      <c r="AA149">
        <v>53</v>
      </c>
      <c r="AB149">
        <v>43</v>
      </c>
      <c r="AC149">
        <v>41</v>
      </c>
      <c r="AD149">
        <v>44</v>
      </c>
      <c r="AE149">
        <v>47</v>
      </c>
      <c r="AF149">
        <v>66</v>
      </c>
      <c r="AG149">
        <v>68</v>
      </c>
      <c r="AH149">
        <v>67</v>
      </c>
      <c r="AI149">
        <v>44</v>
      </c>
      <c r="AJ149">
        <v>60</v>
      </c>
      <c r="AK149">
        <v>46</v>
      </c>
      <c r="AL149">
        <v>47</v>
      </c>
      <c r="AM149">
        <v>53</v>
      </c>
      <c r="AN149">
        <v>30</v>
      </c>
      <c r="AO149">
        <v>37</v>
      </c>
      <c r="AP149">
        <v>37</v>
      </c>
      <c r="AQ149">
        <v>1832</v>
      </c>
      <c r="AR149">
        <v>1.6375545851528379</v>
      </c>
      <c r="AS149">
        <f t="shared" si="10"/>
        <v>0.53117364235552389</v>
      </c>
      <c r="AT149">
        <f t="shared" si="11"/>
        <v>4.2706360845384123E-2</v>
      </c>
      <c r="AU149">
        <f t="shared" si="12"/>
        <v>4.2706360845384124</v>
      </c>
      <c r="AV149">
        <f t="shared" si="13"/>
        <v>3</v>
      </c>
      <c r="AW149">
        <f t="shared" si="14"/>
        <v>9.3923170846247697E-2</v>
      </c>
    </row>
    <row r="150" spans="1:49" x14ac:dyDescent="0.3">
      <c r="A150" t="s">
        <v>205</v>
      </c>
      <c r="B150" t="s">
        <v>198</v>
      </c>
      <c r="C150">
        <v>4</v>
      </c>
      <c r="D150" t="s">
        <v>12</v>
      </c>
      <c r="E150">
        <v>64</v>
      </c>
      <c r="F150">
        <v>53</v>
      </c>
      <c r="G150">
        <v>38</v>
      </c>
      <c r="H150">
        <v>45</v>
      </c>
      <c r="I150">
        <v>38</v>
      </c>
      <c r="J150">
        <v>37</v>
      </c>
      <c r="K150">
        <v>45</v>
      </c>
      <c r="L150">
        <v>51</v>
      </c>
      <c r="M150">
        <v>48</v>
      </c>
      <c r="N150">
        <v>51</v>
      </c>
      <c r="O150">
        <v>88</v>
      </c>
      <c r="P150">
        <v>63</v>
      </c>
      <c r="Q150">
        <v>69</v>
      </c>
      <c r="R150">
        <v>70</v>
      </c>
      <c r="S150">
        <v>83</v>
      </c>
      <c r="T150">
        <v>57</v>
      </c>
      <c r="U150">
        <v>69</v>
      </c>
      <c r="V150">
        <v>66</v>
      </c>
      <c r="W150">
        <v>86</v>
      </c>
      <c r="X150">
        <v>43</v>
      </c>
      <c r="Y150">
        <v>46</v>
      </c>
      <c r="Z150">
        <v>43</v>
      </c>
      <c r="AA150">
        <v>34</v>
      </c>
      <c r="AB150">
        <v>39</v>
      </c>
      <c r="AC150">
        <v>36</v>
      </c>
      <c r="AD150">
        <v>36</v>
      </c>
      <c r="AE150">
        <v>47</v>
      </c>
      <c r="AF150">
        <v>54</v>
      </c>
      <c r="AG150">
        <v>54</v>
      </c>
      <c r="AH150">
        <v>70</v>
      </c>
      <c r="AI150">
        <v>66</v>
      </c>
      <c r="AJ150">
        <v>60</v>
      </c>
      <c r="AK150">
        <v>71</v>
      </c>
      <c r="AL150">
        <v>77</v>
      </c>
      <c r="AM150">
        <v>75</v>
      </c>
      <c r="AN150">
        <v>62</v>
      </c>
      <c r="AO150">
        <v>73</v>
      </c>
      <c r="AP150">
        <v>85</v>
      </c>
      <c r="AQ150">
        <v>2192</v>
      </c>
      <c r="AR150">
        <v>1.824817518248175</v>
      </c>
      <c r="AS150">
        <f t="shared" si="10"/>
        <v>0.59561203958463904</v>
      </c>
      <c r="AT150">
        <f t="shared" si="11"/>
        <v>4.7887207982604978E-2</v>
      </c>
      <c r="AU150">
        <f t="shared" si="12"/>
        <v>4.7887207982604973</v>
      </c>
      <c r="AV150">
        <f t="shared" si="13"/>
        <v>3</v>
      </c>
      <c r="AW150">
        <f t="shared" si="14"/>
        <v>9.3923170846247697E-2</v>
      </c>
    </row>
    <row r="151" spans="1:49" x14ac:dyDescent="0.3">
      <c r="A151" t="s">
        <v>206</v>
      </c>
      <c r="B151" t="s">
        <v>48</v>
      </c>
      <c r="C151">
        <v>1</v>
      </c>
      <c r="D151" t="s">
        <v>12</v>
      </c>
      <c r="E151">
        <v>2</v>
      </c>
      <c r="F151">
        <v>0</v>
      </c>
      <c r="G151">
        <v>4</v>
      </c>
      <c r="H151">
        <v>4</v>
      </c>
      <c r="I151">
        <v>3</v>
      </c>
      <c r="J151">
        <v>3</v>
      </c>
      <c r="K151">
        <v>2</v>
      </c>
      <c r="L151">
        <v>2</v>
      </c>
      <c r="M151">
        <v>2</v>
      </c>
      <c r="N151">
        <v>3</v>
      </c>
      <c r="O151">
        <v>3</v>
      </c>
      <c r="P151">
        <v>8</v>
      </c>
      <c r="Q151">
        <v>4</v>
      </c>
      <c r="R151">
        <v>7</v>
      </c>
      <c r="S151">
        <v>2</v>
      </c>
      <c r="T151">
        <v>4</v>
      </c>
      <c r="U151">
        <v>7</v>
      </c>
      <c r="V151">
        <v>4</v>
      </c>
      <c r="W151">
        <v>6</v>
      </c>
      <c r="X151">
        <v>1</v>
      </c>
      <c r="Y151">
        <v>2</v>
      </c>
      <c r="Z151">
        <v>1</v>
      </c>
      <c r="AA151">
        <v>4</v>
      </c>
      <c r="AB151">
        <v>4</v>
      </c>
      <c r="AC151">
        <v>2</v>
      </c>
      <c r="AD151">
        <v>1</v>
      </c>
      <c r="AE151">
        <v>2</v>
      </c>
      <c r="AF151">
        <v>1</v>
      </c>
      <c r="AG151">
        <v>3</v>
      </c>
      <c r="AH151">
        <v>0</v>
      </c>
      <c r="AI151">
        <v>2</v>
      </c>
      <c r="AJ151">
        <v>5</v>
      </c>
      <c r="AK151">
        <v>3</v>
      </c>
      <c r="AL151">
        <v>3</v>
      </c>
      <c r="AM151">
        <v>5</v>
      </c>
      <c r="AN151">
        <v>4</v>
      </c>
      <c r="AO151">
        <v>3</v>
      </c>
      <c r="AP151">
        <v>9</v>
      </c>
      <c r="AQ151">
        <v>125</v>
      </c>
      <c r="AR151">
        <v>3</v>
      </c>
      <c r="AS151">
        <f t="shared" si="10"/>
        <v>1</v>
      </c>
      <c r="AT151">
        <f t="shared" si="11"/>
        <v>8.0399999999999999E-2</v>
      </c>
      <c r="AU151">
        <f t="shared" si="12"/>
        <v>8.0399999999999991</v>
      </c>
      <c r="AV151">
        <f t="shared" si="13"/>
        <v>3</v>
      </c>
      <c r="AW151">
        <f t="shared" si="14"/>
        <v>9.3923170846247697E-2</v>
      </c>
    </row>
    <row r="152" spans="1:49" x14ac:dyDescent="0.3">
      <c r="A152" t="s">
        <v>207</v>
      </c>
      <c r="B152" t="s">
        <v>39</v>
      </c>
      <c r="C152">
        <v>2</v>
      </c>
      <c r="D152" t="s">
        <v>12</v>
      </c>
      <c r="E152">
        <v>98</v>
      </c>
      <c r="F152">
        <v>85</v>
      </c>
      <c r="G152">
        <v>78</v>
      </c>
      <c r="H152">
        <v>82</v>
      </c>
      <c r="I152">
        <v>106</v>
      </c>
      <c r="J152">
        <v>100</v>
      </c>
      <c r="K152">
        <v>92</v>
      </c>
      <c r="L152">
        <v>114</v>
      </c>
      <c r="M152">
        <v>108</v>
      </c>
      <c r="N152">
        <v>143</v>
      </c>
      <c r="O152">
        <v>113</v>
      </c>
      <c r="P152">
        <v>146</v>
      </c>
      <c r="Q152">
        <v>128</v>
      </c>
      <c r="R152">
        <v>152</v>
      </c>
      <c r="S152">
        <v>116</v>
      </c>
      <c r="T152">
        <v>102</v>
      </c>
      <c r="U152">
        <v>114</v>
      </c>
      <c r="V152">
        <v>120</v>
      </c>
      <c r="W152">
        <v>117</v>
      </c>
      <c r="X152">
        <v>75</v>
      </c>
      <c r="Y152">
        <v>78</v>
      </c>
      <c r="Z152">
        <v>64</v>
      </c>
      <c r="AA152">
        <v>91</v>
      </c>
      <c r="AB152">
        <v>98</v>
      </c>
      <c r="AC152">
        <v>95</v>
      </c>
      <c r="AD152">
        <v>101</v>
      </c>
      <c r="AE152">
        <v>83</v>
      </c>
      <c r="AF152">
        <v>95</v>
      </c>
      <c r="AG152">
        <v>116</v>
      </c>
      <c r="AH152">
        <v>113</v>
      </c>
      <c r="AI152">
        <v>114</v>
      </c>
      <c r="AJ152">
        <v>91</v>
      </c>
      <c r="AK152">
        <v>106</v>
      </c>
      <c r="AL152">
        <v>90</v>
      </c>
      <c r="AM152">
        <v>105</v>
      </c>
      <c r="AN152">
        <v>100</v>
      </c>
      <c r="AO152">
        <v>99</v>
      </c>
      <c r="AP152">
        <v>112</v>
      </c>
      <c r="AQ152">
        <v>3940</v>
      </c>
      <c r="AR152">
        <v>0.50761421319796962</v>
      </c>
      <c r="AS152">
        <f t="shared" si="10"/>
        <v>0.14235378714064778</v>
      </c>
      <c r="AT152">
        <f t="shared" si="11"/>
        <v>1.1445244486108081E-2</v>
      </c>
      <c r="AU152">
        <f t="shared" si="12"/>
        <v>1.1445244486108082</v>
      </c>
      <c r="AV152">
        <f t="shared" si="13"/>
        <v>3</v>
      </c>
      <c r="AW152">
        <f t="shared" si="14"/>
        <v>9.3923170846247697E-2</v>
      </c>
    </row>
    <row r="153" spans="1:49" x14ac:dyDescent="0.3">
      <c r="A153" t="s">
        <v>208</v>
      </c>
      <c r="B153" t="s">
        <v>182</v>
      </c>
      <c r="C153">
        <v>3</v>
      </c>
      <c r="D153" t="s">
        <v>24</v>
      </c>
      <c r="E153">
        <v>97</v>
      </c>
      <c r="F153">
        <v>101</v>
      </c>
      <c r="G153">
        <v>117</v>
      </c>
      <c r="H153">
        <v>120</v>
      </c>
      <c r="I153">
        <v>129</v>
      </c>
      <c r="J153">
        <v>113</v>
      </c>
      <c r="K153">
        <v>102</v>
      </c>
      <c r="L153">
        <v>133</v>
      </c>
      <c r="M153">
        <v>111</v>
      </c>
      <c r="N153">
        <v>134</v>
      </c>
      <c r="O153">
        <v>155</v>
      </c>
      <c r="P153">
        <v>152</v>
      </c>
      <c r="Q153">
        <v>171</v>
      </c>
      <c r="R153">
        <v>169</v>
      </c>
      <c r="S153">
        <v>158</v>
      </c>
      <c r="T153">
        <v>150</v>
      </c>
      <c r="U153">
        <v>152</v>
      </c>
      <c r="V153">
        <v>131</v>
      </c>
      <c r="W153">
        <v>160</v>
      </c>
      <c r="X153">
        <v>113</v>
      </c>
      <c r="Y153">
        <v>127</v>
      </c>
      <c r="Z153">
        <v>116</v>
      </c>
      <c r="AA153">
        <v>98</v>
      </c>
      <c r="AB153">
        <v>112</v>
      </c>
      <c r="AC153">
        <v>116</v>
      </c>
      <c r="AD153">
        <v>124</v>
      </c>
      <c r="AE153">
        <v>120</v>
      </c>
      <c r="AF153">
        <v>113</v>
      </c>
      <c r="AG153">
        <v>135</v>
      </c>
      <c r="AH153">
        <v>158</v>
      </c>
      <c r="AI153">
        <v>123</v>
      </c>
      <c r="AJ153">
        <v>121</v>
      </c>
      <c r="AK153">
        <v>135</v>
      </c>
      <c r="AL153">
        <v>143</v>
      </c>
      <c r="AM153">
        <v>159</v>
      </c>
      <c r="AN153">
        <v>122</v>
      </c>
      <c r="AO153">
        <v>141</v>
      </c>
      <c r="AP153">
        <v>136</v>
      </c>
      <c r="AQ153">
        <v>4967</v>
      </c>
      <c r="AR153">
        <v>0.60398630964364808</v>
      </c>
      <c r="AS153">
        <f t="shared" si="10"/>
        <v>0.17551605438660423</v>
      </c>
      <c r="AT153">
        <f t="shared" si="11"/>
        <v>1.4111490772682979E-2</v>
      </c>
      <c r="AU153">
        <f t="shared" si="12"/>
        <v>1.411149077268298</v>
      </c>
      <c r="AV153">
        <f t="shared" si="13"/>
        <v>3</v>
      </c>
      <c r="AW153">
        <f t="shared" si="14"/>
        <v>9.3923170846247697E-2</v>
      </c>
    </row>
    <row r="154" spans="1:49" x14ac:dyDescent="0.3">
      <c r="A154" t="s">
        <v>209</v>
      </c>
      <c r="B154" t="s">
        <v>210</v>
      </c>
      <c r="C154">
        <v>3</v>
      </c>
      <c r="D154" t="s">
        <v>12</v>
      </c>
      <c r="E154">
        <v>47</v>
      </c>
      <c r="F154">
        <v>50</v>
      </c>
      <c r="G154">
        <v>43</v>
      </c>
      <c r="H154">
        <v>47</v>
      </c>
      <c r="I154">
        <v>42</v>
      </c>
      <c r="J154">
        <v>42</v>
      </c>
      <c r="K154">
        <v>55</v>
      </c>
      <c r="L154">
        <v>68</v>
      </c>
      <c r="M154">
        <v>65</v>
      </c>
      <c r="N154">
        <v>79</v>
      </c>
      <c r="O154">
        <v>74</v>
      </c>
      <c r="P154">
        <v>90</v>
      </c>
      <c r="Q154">
        <v>108</v>
      </c>
      <c r="R154">
        <v>115</v>
      </c>
      <c r="S154">
        <v>97</v>
      </c>
      <c r="T154">
        <v>113</v>
      </c>
      <c r="U154">
        <v>105</v>
      </c>
      <c r="V154">
        <v>127</v>
      </c>
      <c r="W154">
        <v>154</v>
      </c>
      <c r="X154">
        <v>48</v>
      </c>
      <c r="Y154">
        <v>50</v>
      </c>
      <c r="Z154">
        <v>36</v>
      </c>
      <c r="AA154">
        <v>48</v>
      </c>
      <c r="AB154">
        <v>36</v>
      </c>
      <c r="AC154">
        <v>44</v>
      </c>
      <c r="AD154">
        <v>46</v>
      </c>
      <c r="AE154">
        <v>58</v>
      </c>
      <c r="AF154">
        <v>74</v>
      </c>
      <c r="AG154">
        <v>68</v>
      </c>
      <c r="AH154">
        <v>73</v>
      </c>
      <c r="AI154">
        <v>80</v>
      </c>
      <c r="AJ154">
        <v>95</v>
      </c>
      <c r="AK154">
        <v>90</v>
      </c>
      <c r="AL154">
        <v>103</v>
      </c>
      <c r="AM154">
        <v>105</v>
      </c>
      <c r="AN154">
        <v>93</v>
      </c>
      <c r="AO154">
        <v>112</v>
      </c>
      <c r="AP154">
        <v>112</v>
      </c>
      <c r="AQ154">
        <v>2892</v>
      </c>
      <c r="AR154">
        <v>1.0373443983402491</v>
      </c>
      <c r="AS154">
        <f t="shared" si="10"/>
        <v>0.32463740050834272</v>
      </c>
      <c r="AT154">
        <f t="shared" si="11"/>
        <v>2.6100847000870755E-2</v>
      </c>
      <c r="AU154">
        <f t="shared" si="12"/>
        <v>2.6100847000870755</v>
      </c>
      <c r="AV154">
        <f t="shared" si="13"/>
        <v>3</v>
      </c>
      <c r="AW154">
        <f t="shared" si="14"/>
        <v>9.3923170846247697E-2</v>
      </c>
    </row>
    <row r="155" spans="1:49" x14ac:dyDescent="0.3">
      <c r="A155" t="s">
        <v>211</v>
      </c>
      <c r="B155" t="s">
        <v>210</v>
      </c>
      <c r="C155">
        <v>1</v>
      </c>
      <c r="D155" t="s">
        <v>12</v>
      </c>
      <c r="E155">
        <v>44</v>
      </c>
      <c r="F155">
        <v>55</v>
      </c>
      <c r="G155">
        <v>42</v>
      </c>
      <c r="H155">
        <v>45</v>
      </c>
      <c r="I155">
        <v>55</v>
      </c>
      <c r="J155">
        <v>44</v>
      </c>
      <c r="K155">
        <v>36</v>
      </c>
      <c r="L155">
        <v>34</v>
      </c>
      <c r="M155">
        <v>54</v>
      </c>
      <c r="N155">
        <v>47</v>
      </c>
      <c r="O155">
        <v>64</v>
      </c>
      <c r="P155">
        <v>52</v>
      </c>
      <c r="Q155">
        <v>49</v>
      </c>
      <c r="R155">
        <v>68</v>
      </c>
      <c r="S155">
        <v>70</v>
      </c>
      <c r="T155">
        <v>64</v>
      </c>
      <c r="U155">
        <v>57</v>
      </c>
      <c r="V155">
        <v>73</v>
      </c>
      <c r="W155">
        <v>93</v>
      </c>
      <c r="X155">
        <v>55</v>
      </c>
      <c r="Y155">
        <v>47</v>
      </c>
      <c r="Z155">
        <v>44</v>
      </c>
      <c r="AA155">
        <v>47</v>
      </c>
      <c r="AB155">
        <v>44</v>
      </c>
      <c r="AC155">
        <v>41</v>
      </c>
      <c r="AD155">
        <v>37</v>
      </c>
      <c r="AE155">
        <v>41</v>
      </c>
      <c r="AF155">
        <v>38</v>
      </c>
      <c r="AG155">
        <v>47</v>
      </c>
      <c r="AH155">
        <v>63</v>
      </c>
      <c r="AI155">
        <v>61</v>
      </c>
      <c r="AJ155">
        <v>37</v>
      </c>
      <c r="AK155">
        <v>44</v>
      </c>
      <c r="AL155">
        <v>45</v>
      </c>
      <c r="AM155">
        <v>56</v>
      </c>
      <c r="AN155">
        <v>58</v>
      </c>
      <c r="AO155">
        <v>59</v>
      </c>
      <c r="AP155">
        <v>84</v>
      </c>
      <c r="AQ155">
        <v>1994</v>
      </c>
      <c r="AR155">
        <v>0.50150451354062187</v>
      </c>
      <c r="AS155">
        <f t="shared" si="10"/>
        <v>0.14025139962079447</v>
      </c>
      <c r="AT155">
        <f t="shared" si="11"/>
        <v>1.1276212529511876E-2</v>
      </c>
      <c r="AU155">
        <f t="shared" si="12"/>
        <v>1.1276212529511875</v>
      </c>
      <c r="AV155">
        <f t="shared" si="13"/>
        <v>3</v>
      </c>
      <c r="AW155">
        <f t="shared" si="14"/>
        <v>9.3923170846247697E-2</v>
      </c>
    </row>
    <row r="156" spans="1:49" x14ac:dyDescent="0.3">
      <c r="A156" t="s">
        <v>212</v>
      </c>
      <c r="B156" t="s">
        <v>210</v>
      </c>
      <c r="C156">
        <v>1</v>
      </c>
      <c r="D156" t="s">
        <v>12</v>
      </c>
      <c r="E156">
        <v>30</v>
      </c>
      <c r="F156">
        <v>23</v>
      </c>
      <c r="G156">
        <v>30</v>
      </c>
      <c r="H156">
        <v>30</v>
      </c>
      <c r="I156">
        <v>32</v>
      </c>
      <c r="J156">
        <v>37</v>
      </c>
      <c r="K156">
        <v>49</v>
      </c>
      <c r="L156">
        <v>54</v>
      </c>
      <c r="M156">
        <v>60</v>
      </c>
      <c r="N156">
        <v>94</v>
      </c>
      <c r="O156">
        <v>91</v>
      </c>
      <c r="P156">
        <v>87</v>
      </c>
      <c r="Q156">
        <v>115</v>
      </c>
      <c r="R156">
        <v>137</v>
      </c>
      <c r="S156">
        <v>138</v>
      </c>
      <c r="T156">
        <v>159</v>
      </c>
      <c r="U156">
        <v>146</v>
      </c>
      <c r="V156">
        <v>186</v>
      </c>
      <c r="W156">
        <v>210</v>
      </c>
      <c r="X156">
        <v>35</v>
      </c>
      <c r="Y156">
        <v>31</v>
      </c>
      <c r="Z156">
        <v>27</v>
      </c>
      <c r="AA156">
        <v>38</v>
      </c>
      <c r="AB156">
        <v>30</v>
      </c>
      <c r="AC156">
        <v>36</v>
      </c>
      <c r="AD156">
        <v>53</v>
      </c>
      <c r="AE156">
        <v>63</v>
      </c>
      <c r="AF156">
        <v>67</v>
      </c>
      <c r="AG156">
        <v>79</v>
      </c>
      <c r="AH156">
        <v>109</v>
      </c>
      <c r="AI156">
        <v>107</v>
      </c>
      <c r="AJ156">
        <v>131</v>
      </c>
      <c r="AK156">
        <v>153</v>
      </c>
      <c r="AL156">
        <v>119</v>
      </c>
      <c r="AM156">
        <v>150</v>
      </c>
      <c r="AN156">
        <v>130</v>
      </c>
      <c r="AO156">
        <v>170</v>
      </c>
      <c r="AP156">
        <v>170</v>
      </c>
      <c r="AQ156">
        <v>3406</v>
      </c>
      <c r="AR156">
        <v>0.29359953024075158</v>
      </c>
      <c r="AS156">
        <f t="shared" si="10"/>
        <v>6.8709938220267053E-2</v>
      </c>
      <c r="AT156">
        <f t="shared" si="11"/>
        <v>5.5242790329094712E-3</v>
      </c>
      <c r="AU156">
        <f t="shared" si="12"/>
        <v>0.55242790329094715</v>
      </c>
      <c r="AV156">
        <f t="shared" si="13"/>
        <v>3</v>
      </c>
      <c r="AW156">
        <f t="shared" si="14"/>
        <v>9.3923170846247697E-2</v>
      </c>
    </row>
    <row r="157" spans="1:49" x14ac:dyDescent="0.3">
      <c r="A157" t="s">
        <v>213</v>
      </c>
      <c r="B157" t="s">
        <v>214</v>
      </c>
      <c r="C157">
        <v>1</v>
      </c>
      <c r="D157" t="s">
        <v>12</v>
      </c>
      <c r="E157">
        <v>15</v>
      </c>
      <c r="F157">
        <v>17</v>
      </c>
      <c r="G157">
        <v>15</v>
      </c>
      <c r="H157">
        <v>23</v>
      </c>
      <c r="I157">
        <v>24</v>
      </c>
      <c r="J157">
        <v>23</v>
      </c>
      <c r="K157">
        <v>20</v>
      </c>
      <c r="L157">
        <v>25</v>
      </c>
      <c r="M157">
        <v>23</v>
      </c>
      <c r="N157">
        <v>37</v>
      </c>
      <c r="O157">
        <v>27</v>
      </c>
      <c r="P157">
        <v>33</v>
      </c>
      <c r="Q157">
        <v>33</v>
      </c>
      <c r="R157">
        <v>37</v>
      </c>
      <c r="S157">
        <v>33</v>
      </c>
      <c r="T157">
        <v>51</v>
      </c>
      <c r="U157">
        <v>34</v>
      </c>
      <c r="V157">
        <v>32</v>
      </c>
      <c r="W157">
        <v>43</v>
      </c>
      <c r="X157">
        <v>16</v>
      </c>
      <c r="Y157">
        <v>18</v>
      </c>
      <c r="Z157">
        <v>19</v>
      </c>
      <c r="AA157">
        <v>22</v>
      </c>
      <c r="AB157">
        <v>15</v>
      </c>
      <c r="AC157">
        <v>26</v>
      </c>
      <c r="AD157">
        <v>33</v>
      </c>
      <c r="AE157">
        <v>24</v>
      </c>
      <c r="AF157">
        <v>27</v>
      </c>
      <c r="AG157">
        <v>51</v>
      </c>
      <c r="AH157">
        <v>39</v>
      </c>
      <c r="AI157">
        <v>45</v>
      </c>
      <c r="AJ157">
        <v>45</v>
      </c>
      <c r="AK157">
        <v>45</v>
      </c>
      <c r="AL157">
        <v>64</v>
      </c>
      <c r="AM157">
        <v>51</v>
      </c>
      <c r="AN157">
        <v>48</v>
      </c>
      <c r="AO157">
        <v>53</v>
      </c>
      <c r="AP157">
        <v>52</v>
      </c>
      <c r="AQ157">
        <v>1238</v>
      </c>
      <c r="AR157">
        <v>0.80775444264943463</v>
      </c>
      <c r="AS157">
        <f t="shared" si="10"/>
        <v>0.24563399860665561</v>
      </c>
      <c r="AT157">
        <f t="shared" si="11"/>
        <v>1.9748973487975111E-2</v>
      </c>
      <c r="AU157">
        <f t="shared" si="12"/>
        <v>1.9748973487975112</v>
      </c>
      <c r="AV157">
        <f t="shared" si="13"/>
        <v>3</v>
      </c>
      <c r="AW157">
        <f t="shared" si="14"/>
        <v>9.3923170846247697E-2</v>
      </c>
    </row>
    <row r="158" spans="1:49" x14ac:dyDescent="0.3">
      <c r="A158" t="s">
        <v>215</v>
      </c>
      <c r="B158" t="s">
        <v>198</v>
      </c>
      <c r="C158">
        <v>1</v>
      </c>
      <c r="D158" t="s">
        <v>12</v>
      </c>
      <c r="E158">
        <v>61</v>
      </c>
      <c r="F158">
        <v>36</v>
      </c>
      <c r="G158">
        <v>55</v>
      </c>
      <c r="H158">
        <v>66</v>
      </c>
      <c r="I158">
        <v>63</v>
      </c>
      <c r="J158">
        <v>48</v>
      </c>
      <c r="K158">
        <v>68</v>
      </c>
      <c r="L158">
        <v>96</v>
      </c>
      <c r="M158">
        <v>88</v>
      </c>
      <c r="N158">
        <v>120</v>
      </c>
      <c r="O158">
        <v>110</v>
      </c>
      <c r="P158">
        <v>138</v>
      </c>
      <c r="Q158">
        <v>141</v>
      </c>
      <c r="R158">
        <v>173</v>
      </c>
      <c r="S158">
        <v>129</v>
      </c>
      <c r="T158">
        <v>166</v>
      </c>
      <c r="U158">
        <v>142</v>
      </c>
      <c r="V158">
        <v>150</v>
      </c>
      <c r="W158">
        <v>153</v>
      </c>
      <c r="X158">
        <v>58</v>
      </c>
      <c r="Y158">
        <v>56</v>
      </c>
      <c r="Z158">
        <v>49</v>
      </c>
      <c r="AA158">
        <v>65</v>
      </c>
      <c r="AB158">
        <v>61</v>
      </c>
      <c r="AC158">
        <v>51</v>
      </c>
      <c r="AD158">
        <v>81</v>
      </c>
      <c r="AE158">
        <v>83</v>
      </c>
      <c r="AF158">
        <v>105</v>
      </c>
      <c r="AG158">
        <v>121</v>
      </c>
      <c r="AH158">
        <v>106</v>
      </c>
      <c r="AI158">
        <v>127</v>
      </c>
      <c r="AJ158">
        <v>127</v>
      </c>
      <c r="AK158">
        <v>136</v>
      </c>
      <c r="AL158">
        <v>136</v>
      </c>
      <c r="AM158">
        <v>152</v>
      </c>
      <c r="AN158">
        <v>114</v>
      </c>
      <c r="AO158">
        <v>150</v>
      </c>
      <c r="AP158">
        <v>151</v>
      </c>
      <c r="AQ158">
        <v>3932</v>
      </c>
      <c r="AR158">
        <v>0.25432349949135291</v>
      </c>
      <c r="AS158">
        <f t="shared" si="10"/>
        <v>5.5194799750636216E-2</v>
      </c>
      <c r="AT158">
        <f t="shared" si="11"/>
        <v>4.4376618999511517E-3</v>
      </c>
      <c r="AU158">
        <f t="shared" si="12"/>
        <v>0.44376618999511519</v>
      </c>
      <c r="AV158">
        <f t="shared" si="13"/>
        <v>3</v>
      </c>
      <c r="AW158">
        <f t="shared" si="14"/>
        <v>9.3923170846247697E-2</v>
      </c>
    </row>
    <row r="159" spans="1:49" x14ac:dyDescent="0.3">
      <c r="A159" t="s">
        <v>216</v>
      </c>
      <c r="B159" t="s">
        <v>50</v>
      </c>
      <c r="C159">
        <v>1</v>
      </c>
      <c r="D159" t="s">
        <v>12</v>
      </c>
      <c r="E159">
        <v>57</v>
      </c>
      <c r="F159">
        <v>43</v>
      </c>
      <c r="G159">
        <v>30</v>
      </c>
      <c r="H159">
        <v>48</v>
      </c>
      <c r="I159">
        <v>53</v>
      </c>
      <c r="J159">
        <v>56</v>
      </c>
      <c r="K159">
        <v>48</v>
      </c>
      <c r="L159">
        <v>58</v>
      </c>
      <c r="M159">
        <v>52</v>
      </c>
      <c r="N159">
        <v>71</v>
      </c>
      <c r="O159">
        <v>71</v>
      </c>
      <c r="P159">
        <v>58</v>
      </c>
      <c r="Q159">
        <v>55</v>
      </c>
      <c r="R159">
        <v>81</v>
      </c>
      <c r="S159">
        <v>70</v>
      </c>
      <c r="T159">
        <v>69</v>
      </c>
      <c r="U159">
        <v>76</v>
      </c>
      <c r="V159">
        <v>76</v>
      </c>
      <c r="W159">
        <v>72</v>
      </c>
      <c r="X159">
        <v>57</v>
      </c>
      <c r="Y159">
        <v>53</v>
      </c>
      <c r="Z159">
        <v>35</v>
      </c>
      <c r="AA159">
        <v>48</v>
      </c>
      <c r="AB159">
        <v>41</v>
      </c>
      <c r="AC159">
        <v>35</v>
      </c>
      <c r="AD159">
        <v>55</v>
      </c>
      <c r="AE159">
        <v>59</v>
      </c>
      <c r="AF159">
        <v>59</v>
      </c>
      <c r="AG159">
        <v>60</v>
      </c>
      <c r="AH159">
        <v>54</v>
      </c>
      <c r="AI159">
        <v>47</v>
      </c>
      <c r="AJ159">
        <v>64</v>
      </c>
      <c r="AK159">
        <v>81</v>
      </c>
      <c r="AL159">
        <v>63</v>
      </c>
      <c r="AM159">
        <v>72</v>
      </c>
      <c r="AN159">
        <v>61</v>
      </c>
      <c r="AO159">
        <v>54</v>
      </c>
      <c r="AP159">
        <v>81</v>
      </c>
      <c r="AQ159">
        <v>2223</v>
      </c>
      <c r="AR159">
        <v>0.44984255510571303</v>
      </c>
      <c r="AS159">
        <f t="shared" si="10"/>
        <v>0.12247418261240836</v>
      </c>
      <c r="AT159">
        <f t="shared" si="11"/>
        <v>9.8469242820376328E-3</v>
      </c>
      <c r="AU159">
        <f t="shared" si="12"/>
        <v>0.98469242820376324</v>
      </c>
      <c r="AV159">
        <f t="shared" si="13"/>
        <v>3</v>
      </c>
      <c r="AW159">
        <f t="shared" si="14"/>
        <v>9.3923170846247697E-2</v>
      </c>
    </row>
    <row r="160" spans="1:49" x14ac:dyDescent="0.3">
      <c r="A160" t="s">
        <v>217</v>
      </c>
      <c r="B160" t="s">
        <v>74</v>
      </c>
      <c r="C160">
        <v>1</v>
      </c>
      <c r="D160" t="s">
        <v>17</v>
      </c>
      <c r="E160">
        <v>19</v>
      </c>
      <c r="F160">
        <v>17</v>
      </c>
      <c r="G160">
        <v>23</v>
      </c>
      <c r="H160">
        <v>14</v>
      </c>
      <c r="I160">
        <v>25</v>
      </c>
      <c r="J160">
        <v>23</v>
      </c>
      <c r="K160">
        <v>22</v>
      </c>
      <c r="L160">
        <v>23</v>
      </c>
      <c r="M160">
        <v>23</v>
      </c>
      <c r="N160">
        <v>36</v>
      </c>
      <c r="O160">
        <v>45</v>
      </c>
      <c r="P160">
        <v>45</v>
      </c>
      <c r="Q160">
        <v>37</v>
      </c>
      <c r="R160">
        <v>53</v>
      </c>
      <c r="S160">
        <v>41</v>
      </c>
      <c r="T160">
        <v>60</v>
      </c>
      <c r="U160">
        <v>59</v>
      </c>
      <c r="V160">
        <v>63</v>
      </c>
      <c r="W160">
        <v>58</v>
      </c>
      <c r="X160">
        <v>14</v>
      </c>
      <c r="Y160">
        <v>25</v>
      </c>
      <c r="Z160">
        <v>24</v>
      </c>
      <c r="AA160">
        <v>13</v>
      </c>
      <c r="AB160">
        <v>20</v>
      </c>
      <c r="AC160">
        <v>26</v>
      </c>
      <c r="AD160">
        <v>19</v>
      </c>
      <c r="AE160">
        <v>25</v>
      </c>
      <c r="AF160">
        <v>24</v>
      </c>
      <c r="AG160">
        <v>28</v>
      </c>
      <c r="AH160">
        <v>43</v>
      </c>
      <c r="AI160">
        <v>56</v>
      </c>
      <c r="AJ160">
        <v>43</v>
      </c>
      <c r="AK160">
        <v>52</v>
      </c>
      <c r="AL160">
        <v>47</v>
      </c>
      <c r="AM160">
        <v>51</v>
      </c>
      <c r="AN160">
        <v>56</v>
      </c>
      <c r="AO160">
        <v>52</v>
      </c>
      <c r="AP160">
        <v>62</v>
      </c>
      <c r="AQ160">
        <v>1366</v>
      </c>
      <c r="AR160">
        <v>0.7320644216691069</v>
      </c>
      <c r="AS160">
        <f t="shared" si="10"/>
        <v>0.2195885684855364</v>
      </c>
      <c r="AT160">
        <f t="shared" si="11"/>
        <v>1.7654920906237128E-2</v>
      </c>
      <c r="AU160">
        <f t="shared" si="12"/>
        <v>1.7654920906237128</v>
      </c>
      <c r="AV160">
        <f t="shared" si="13"/>
        <v>3</v>
      </c>
      <c r="AW160">
        <f t="shared" si="14"/>
        <v>9.3923170846247697E-2</v>
      </c>
    </row>
    <row r="161" spans="1:49" x14ac:dyDescent="0.3">
      <c r="A161" t="s">
        <v>218</v>
      </c>
      <c r="B161" t="s">
        <v>160</v>
      </c>
      <c r="C161">
        <v>1</v>
      </c>
      <c r="D161" t="s">
        <v>24</v>
      </c>
      <c r="E161">
        <v>171</v>
      </c>
      <c r="F161">
        <v>203</v>
      </c>
      <c r="G161">
        <v>144</v>
      </c>
      <c r="H161">
        <v>189</v>
      </c>
      <c r="I161">
        <v>188</v>
      </c>
      <c r="J161">
        <v>162</v>
      </c>
      <c r="K161">
        <v>194</v>
      </c>
      <c r="L161">
        <v>226</v>
      </c>
      <c r="M161">
        <v>256</v>
      </c>
      <c r="N161">
        <v>257</v>
      </c>
      <c r="O161">
        <v>335</v>
      </c>
      <c r="P161">
        <v>336</v>
      </c>
      <c r="Q161">
        <v>360</v>
      </c>
      <c r="R161">
        <v>371</v>
      </c>
      <c r="S161">
        <v>382</v>
      </c>
      <c r="T161">
        <v>343</v>
      </c>
      <c r="U161">
        <v>298</v>
      </c>
      <c r="V161">
        <v>280</v>
      </c>
      <c r="W161">
        <v>304</v>
      </c>
      <c r="X161">
        <v>158</v>
      </c>
      <c r="Y161">
        <v>164</v>
      </c>
      <c r="Z161">
        <v>153</v>
      </c>
      <c r="AA161">
        <v>169</v>
      </c>
      <c r="AB161">
        <v>158</v>
      </c>
      <c r="AC161">
        <v>171</v>
      </c>
      <c r="AD161">
        <v>189</v>
      </c>
      <c r="AE161">
        <v>215</v>
      </c>
      <c r="AF161">
        <v>214</v>
      </c>
      <c r="AG161">
        <v>278</v>
      </c>
      <c r="AH161">
        <v>331</v>
      </c>
      <c r="AI161">
        <v>349</v>
      </c>
      <c r="AJ161">
        <v>357</v>
      </c>
      <c r="AK161">
        <v>397</v>
      </c>
      <c r="AL161">
        <v>370</v>
      </c>
      <c r="AM161">
        <v>386</v>
      </c>
      <c r="AN161">
        <v>296</v>
      </c>
      <c r="AO161">
        <v>297</v>
      </c>
      <c r="AP161">
        <v>303</v>
      </c>
      <c r="AQ161">
        <v>9954</v>
      </c>
      <c r="AR161">
        <v>0.10046212577858139</v>
      </c>
      <c r="AS161">
        <f t="shared" si="10"/>
        <v>2.2500970610050373E-3</v>
      </c>
      <c r="AT161">
        <f t="shared" si="11"/>
        <v>1.80907803704805E-4</v>
      </c>
      <c r="AU161">
        <f t="shared" si="12"/>
        <v>1.8090780370480501E-2</v>
      </c>
      <c r="AV161">
        <f t="shared" si="13"/>
        <v>3</v>
      </c>
      <c r="AW161">
        <f t="shared" si="14"/>
        <v>9.3923170846247697E-2</v>
      </c>
    </row>
    <row r="162" spans="1:49" x14ac:dyDescent="0.3">
      <c r="A162" t="s">
        <v>219</v>
      </c>
      <c r="B162" t="s">
        <v>160</v>
      </c>
      <c r="C162">
        <v>1</v>
      </c>
      <c r="D162" t="s">
        <v>24</v>
      </c>
      <c r="E162">
        <v>84</v>
      </c>
      <c r="F162">
        <v>87</v>
      </c>
      <c r="G162">
        <v>102</v>
      </c>
      <c r="H162">
        <v>110</v>
      </c>
      <c r="I162">
        <v>123</v>
      </c>
      <c r="J162">
        <v>133</v>
      </c>
      <c r="K162">
        <v>180</v>
      </c>
      <c r="L162">
        <v>184</v>
      </c>
      <c r="M162">
        <v>182</v>
      </c>
      <c r="N162">
        <v>307</v>
      </c>
      <c r="O162">
        <v>290</v>
      </c>
      <c r="P162">
        <v>250</v>
      </c>
      <c r="Q162">
        <v>217</v>
      </c>
      <c r="R162">
        <v>207</v>
      </c>
      <c r="S162">
        <v>165</v>
      </c>
      <c r="T162">
        <v>190</v>
      </c>
      <c r="U162">
        <v>190</v>
      </c>
      <c r="V162">
        <v>158</v>
      </c>
      <c r="W162">
        <v>164</v>
      </c>
      <c r="X162">
        <v>83</v>
      </c>
      <c r="Y162">
        <v>84</v>
      </c>
      <c r="Z162">
        <v>86</v>
      </c>
      <c r="AA162">
        <v>113</v>
      </c>
      <c r="AB162">
        <v>131</v>
      </c>
      <c r="AC162">
        <v>139</v>
      </c>
      <c r="AD162">
        <v>159</v>
      </c>
      <c r="AE162">
        <v>180</v>
      </c>
      <c r="AF162">
        <v>184</v>
      </c>
      <c r="AG162">
        <v>254</v>
      </c>
      <c r="AH162">
        <v>281</v>
      </c>
      <c r="AI162">
        <v>281</v>
      </c>
      <c r="AJ162">
        <v>239</v>
      </c>
      <c r="AK162">
        <v>196</v>
      </c>
      <c r="AL162">
        <v>216</v>
      </c>
      <c r="AM162">
        <v>186</v>
      </c>
      <c r="AN162">
        <v>171</v>
      </c>
      <c r="AO162">
        <v>163</v>
      </c>
      <c r="AP162">
        <v>163</v>
      </c>
      <c r="AQ162">
        <v>6632</v>
      </c>
      <c r="AR162">
        <v>0.15078407720144749</v>
      </c>
      <c r="AS162">
        <f t="shared" si="10"/>
        <v>1.9566208912569473E-2</v>
      </c>
      <c r="AT162">
        <f t="shared" si="11"/>
        <v>1.5731231965705856E-3</v>
      </c>
      <c r="AU162">
        <f t="shared" si="12"/>
        <v>0.15731231965705855</v>
      </c>
      <c r="AV162">
        <f t="shared" si="13"/>
        <v>3</v>
      </c>
      <c r="AW162">
        <f t="shared" si="14"/>
        <v>9.3923170846247697E-2</v>
      </c>
    </row>
    <row r="163" spans="1:49" x14ac:dyDescent="0.3">
      <c r="A163" t="s">
        <v>220</v>
      </c>
      <c r="B163" t="s">
        <v>124</v>
      </c>
      <c r="C163">
        <v>4</v>
      </c>
      <c r="D163" t="s">
        <v>12</v>
      </c>
      <c r="E163">
        <v>41</v>
      </c>
      <c r="F163">
        <v>32</v>
      </c>
      <c r="G163">
        <v>32</v>
      </c>
      <c r="H163">
        <v>36</v>
      </c>
      <c r="I163">
        <v>57</v>
      </c>
      <c r="J163">
        <v>44</v>
      </c>
      <c r="K163">
        <v>58</v>
      </c>
      <c r="L163">
        <v>69</v>
      </c>
      <c r="M163">
        <v>77</v>
      </c>
      <c r="N163">
        <v>74</v>
      </c>
      <c r="O163">
        <v>79</v>
      </c>
      <c r="P163">
        <v>79</v>
      </c>
      <c r="Q163">
        <v>72</v>
      </c>
      <c r="R163">
        <v>97</v>
      </c>
      <c r="S163">
        <v>92</v>
      </c>
      <c r="T163">
        <v>91</v>
      </c>
      <c r="U163">
        <v>95</v>
      </c>
      <c r="V163">
        <v>98</v>
      </c>
      <c r="W163">
        <v>114</v>
      </c>
      <c r="X163">
        <v>46</v>
      </c>
      <c r="Y163">
        <v>40</v>
      </c>
      <c r="Z163">
        <v>36</v>
      </c>
      <c r="AA163">
        <v>45</v>
      </c>
      <c r="AB163">
        <v>36</v>
      </c>
      <c r="AC163">
        <v>40</v>
      </c>
      <c r="AD163">
        <v>43</v>
      </c>
      <c r="AE163">
        <v>56</v>
      </c>
      <c r="AF163">
        <v>68</v>
      </c>
      <c r="AG163">
        <v>77</v>
      </c>
      <c r="AH163">
        <v>94</v>
      </c>
      <c r="AI163">
        <v>91</v>
      </c>
      <c r="AJ163">
        <v>90</v>
      </c>
      <c r="AK163">
        <v>97</v>
      </c>
      <c r="AL163">
        <v>94</v>
      </c>
      <c r="AM163">
        <v>93</v>
      </c>
      <c r="AN163">
        <v>97</v>
      </c>
      <c r="AO163">
        <v>85</v>
      </c>
      <c r="AP163">
        <v>100</v>
      </c>
      <c r="AQ163">
        <v>2665</v>
      </c>
      <c r="AR163">
        <v>1.5009380863039401</v>
      </c>
      <c r="AS163">
        <f t="shared" si="10"/>
        <v>0.48416301363491965</v>
      </c>
      <c r="AT163">
        <f t="shared" si="11"/>
        <v>3.8926706296247539E-2</v>
      </c>
      <c r="AU163">
        <f t="shared" si="12"/>
        <v>3.892670629624754</v>
      </c>
      <c r="AV163">
        <f t="shared" si="13"/>
        <v>3</v>
      </c>
      <c r="AW163">
        <f t="shared" si="14"/>
        <v>9.3923170846247697E-2</v>
      </c>
    </row>
    <row r="164" spans="1:49" x14ac:dyDescent="0.3">
      <c r="A164" t="s">
        <v>221</v>
      </c>
      <c r="B164" t="s">
        <v>222</v>
      </c>
      <c r="C164">
        <v>1</v>
      </c>
      <c r="D164" t="s">
        <v>24</v>
      </c>
      <c r="E164">
        <v>10</v>
      </c>
      <c r="F164">
        <v>13</v>
      </c>
      <c r="G164">
        <v>13</v>
      </c>
      <c r="H164">
        <v>18</v>
      </c>
      <c r="I164">
        <v>13</v>
      </c>
      <c r="J164">
        <v>15</v>
      </c>
      <c r="K164">
        <v>23</v>
      </c>
      <c r="L164">
        <v>16</v>
      </c>
      <c r="M164">
        <v>19</v>
      </c>
      <c r="N164">
        <v>24</v>
      </c>
      <c r="O164">
        <v>28</v>
      </c>
      <c r="P164">
        <v>34</v>
      </c>
      <c r="Q164">
        <v>34</v>
      </c>
      <c r="R164">
        <v>33</v>
      </c>
      <c r="S164">
        <v>34</v>
      </c>
      <c r="T164">
        <v>50</v>
      </c>
      <c r="U164">
        <v>55</v>
      </c>
      <c r="V164">
        <v>54</v>
      </c>
      <c r="W164">
        <v>56</v>
      </c>
      <c r="X164">
        <v>17</v>
      </c>
      <c r="Y164">
        <v>18</v>
      </c>
      <c r="Z164">
        <v>10</v>
      </c>
      <c r="AA164">
        <v>18</v>
      </c>
      <c r="AB164">
        <v>10</v>
      </c>
      <c r="AC164">
        <v>13</v>
      </c>
      <c r="AD164">
        <v>22</v>
      </c>
      <c r="AE164">
        <v>17</v>
      </c>
      <c r="AF164">
        <v>22</v>
      </c>
      <c r="AG164">
        <v>36</v>
      </c>
      <c r="AH164">
        <v>30</v>
      </c>
      <c r="AI164">
        <v>33</v>
      </c>
      <c r="AJ164">
        <v>36</v>
      </c>
      <c r="AK164">
        <v>41</v>
      </c>
      <c r="AL164">
        <v>43</v>
      </c>
      <c r="AM164">
        <v>54</v>
      </c>
      <c r="AN164">
        <v>44</v>
      </c>
      <c r="AO164">
        <v>41</v>
      </c>
      <c r="AP164">
        <v>50</v>
      </c>
      <c r="AQ164">
        <v>1097</v>
      </c>
      <c r="AR164">
        <v>0.91157702825888798</v>
      </c>
      <c r="AS164">
        <f t="shared" si="10"/>
        <v>0.28136002779071073</v>
      </c>
      <c r="AT164">
        <f t="shared" si="11"/>
        <v>2.2621346234373143E-2</v>
      </c>
      <c r="AU164">
        <f t="shared" si="12"/>
        <v>2.2621346234373143</v>
      </c>
      <c r="AV164">
        <f t="shared" si="13"/>
        <v>3</v>
      </c>
      <c r="AW164">
        <f t="shared" si="14"/>
        <v>9.3923170846247697E-2</v>
      </c>
    </row>
    <row r="165" spans="1:49" x14ac:dyDescent="0.3">
      <c r="A165" t="s">
        <v>223</v>
      </c>
      <c r="B165" t="s">
        <v>72</v>
      </c>
      <c r="C165">
        <v>1</v>
      </c>
      <c r="D165" t="s">
        <v>12</v>
      </c>
      <c r="E165">
        <v>74</v>
      </c>
      <c r="F165">
        <v>97</v>
      </c>
      <c r="G165">
        <v>80</v>
      </c>
      <c r="H165">
        <v>79</v>
      </c>
      <c r="I165">
        <v>96</v>
      </c>
      <c r="J165">
        <v>111</v>
      </c>
      <c r="K165">
        <v>99</v>
      </c>
      <c r="L165">
        <v>115</v>
      </c>
      <c r="M165">
        <v>126</v>
      </c>
      <c r="N165">
        <v>154</v>
      </c>
      <c r="O165">
        <v>175</v>
      </c>
      <c r="P165">
        <v>168</v>
      </c>
      <c r="Q165">
        <v>242</v>
      </c>
      <c r="R165">
        <v>252</v>
      </c>
      <c r="S165">
        <v>266</v>
      </c>
      <c r="T165">
        <v>213</v>
      </c>
      <c r="U165">
        <v>208</v>
      </c>
      <c r="V165">
        <v>240</v>
      </c>
      <c r="W165">
        <v>241</v>
      </c>
      <c r="X165">
        <v>65</v>
      </c>
      <c r="Y165">
        <v>81</v>
      </c>
      <c r="Z165">
        <v>73</v>
      </c>
      <c r="AA165">
        <v>96</v>
      </c>
      <c r="AB165">
        <v>96</v>
      </c>
      <c r="AC165">
        <v>81</v>
      </c>
      <c r="AD165">
        <v>94</v>
      </c>
      <c r="AE165">
        <v>126</v>
      </c>
      <c r="AF165">
        <v>120</v>
      </c>
      <c r="AG165">
        <v>152</v>
      </c>
      <c r="AH165">
        <v>155</v>
      </c>
      <c r="AI165">
        <v>162</v>
      </c>
      <c r="AJ165">
        <v>235</v>
      </c>
      <c r="AK165">
        <v>245</v>
      </c>
      <c r="AL165">
        <v>255</v>
      </c>
      <c r="AM165">
        <v>242</v>
      </c>
      <c r="AN165">
        <v>235</v>
      </c>
      <c r="AO165">
        <v>260</v>
      </c>
      <c r="AP165">
        <v>269</v>
      </c>
      <c r="AQ165">
        <v>6078</v>
      </c>
      <c r="AR165">
        <v>0.16452780519907859</v>
      </c>
      <c r="AS165">
        <f t="shared" si="10"/>
        <v>2.4295515398810329E-2</v>
      </c>
      <c r="AT165">
        <f t="shared" si="11"/>
        <v>1.9533594380643504E-3</v>
      </c>
      <c r="AU165">
        <f t="shared" si="12"/>
        <v>0.19533594380643504</v>
      </c>
      <c r="AV165">
        <f t="shared" si="13"/>
        <v>3</v>
      </c>
      <c r="AW165">
        <f t="shared" si="14"/>
        <v>9.3923170846247697E-2</v>
      </c>
    </row>
    <row r="166" spans="1:49" x14ac:dyDescent="0.3">
      <c r="A166" t="s">
        <v>224</v>
      </c>
      <c r="B166" t="s">
        <v>225</v>
      </c>
      <c r="C166">
        <v>1</v>
      </c>
      <c r="D166" t="s">
        <v>12</v>
      </c>
      <c r="E166">
        <v>39</v>
      </c>
      <c r="F166">
        <v>42</v>
      </c>
      <c r="G166">
        <v>26</v>
      </c>
      <c r="H166">
        <v>25</v>
      </c>
      <c r="I166">
        <v>40</v>
      </c>
      <c r="J166">
        <v>33</v>
      </c>
      <c r="K166">
        <v>48</v>
      </c>
      <c r="L166">
        <v>64</v>
      </c>
      <c r="M166">
        <v>47</v>
      </c>
      <c r="N166">
        <v>48</v>
      </c>
      <c r="O166">
        <v>72</v>
      </c>
      <c r="P166">
        <v>71</v>
      </c>
      <c r="Q166">
        <v>68</v>
      </c>
      <c r="R166">
        <v>65</v>
      </c>
      <c r="S166">
        <v>72</v>
      </c>
      <c r="T166">
        <v>73</v>
      </c>
      <c r="U166">
        <v>65</v>
      </c>
      <c r="V166">
        <v>70</v>
      </c>
      <c r="W166">
        <v>68</v>
      </c>
      <c r="X166">
        <v>37</v>
      </c>
      <c r="Y166">
        <v>33</v>
      </c>
      <c r="Z166">
        <v>28</v>
      </c>
      <c r="AA166">
        <v>31</v>
      </c>
      <c r="AB166">
        <v>35</v>
      </c>
      <c r="AC166">
        <v>26</v>
      </c>
      <c r="AD166">
        <v>42</v>
      </c>
      <c r="AE166">
        <v>52</v>
      </c>
      <c r="AF166">
        <v>50</v>
      </c>
      <c r="AG166">
        <v>57</v>
      </c>
      <c r="AH166">
        <v>80</v>
      </c>
      <c r="AI166">
        <v>50</v>
      </c>
      <c r="AJ166">
        <v>49</v>
      </c>
      <c r="AK166">
        <v>79</v>
      </c>
      <c r="AL166">
        <v>58</v>
      </c>
      <c r="AM166">
        <v>68</v>
      </c>
      <c r="AN166">
        <v>67</v>
      </c>
      <c r="AO166">
        <v>60</v>
      </c>
      <c r="AP166">
        <v>84</v>
      </c>
      <c r="AQ166">
        <v>2022</v>
      </c>
      <c r="AR166">
        <v>0.4945598417408506</v>
      </c>
      <c r="AS166">
        <f t="shared" si="10"/>
        <v>0.13786169273827081</v>
      </c>
      <c r="AT166">
        <f t="shared" si="11"/>
        <v>1.1084080096156973E-2</v>
      </c>
      <c r="AU166">
        <f t="shared" si="12"/>
        <v>1.1084080096156972</v>
      </c>
      <c r="AV166">
        <f t="shared" si="13"/>
        <v>3</v>
      </c>
      <c r="AW166">
        <f t="shared" si="14"/>
        <v>9.3923170846247697E-2</v>
      </c>
    </row>
    <row r="167" spans="1:49" x14ac:dyDescent="0.3">
      <c r="A167" t="s">
        <v>226</v>
      </c>
      <c r="B167" t="s">
        <v>225</v>
      </c>
      <c r="C167">
        <v>2</v>
      </c>
      <c r="D167" t="s">
        <v>12</v>
      </c>
      <c r="E167">
        <v>41</v>
      </c>
      <c r="F167">
        <v>40</v>
      </c>
      <c r="G167">
        <v>30</v>
      </c>
      <c r="H167">
        <v>29</v>
      </c>
      <c r="I167">
        <v>44</v>
      </c>
      <c r="J167">
        <v>43</v>
      </c>
      <c r="K167">
        <v>28</v>
      </c>
      <c r="L167">
        <v>36</v>
      </c>
      <c r="M167">
        <v>44</v>
      </c>
      <c r="N167">
        <v>50</v>
      </c>
      <c r="O167">
        <v>65</v>
      </c>
      <c r="P167">
        <v>59</v>
      </c>
      <c r="Q167">
        <v>85</v>
      </c>
      <c r="R167">
        <v>57</v>
      </c>
      <c r="S167">
        <v>73</v>
      </c>
      <c r="T167">
        <v>85</v>
      </c>
      <c r="U167">
        <v>70</v>
      </c>
      <c r="V167">
        <v>66</v>
      </c>
      <c r="W167">
        <v>94</v>
      </c>
      <c r="X167">
        <v>38</v>
      </c>
      <c r="Y167">
        <v>28</v>
      </c>
      <c r="Z167">
        <v>28</v>
      </c>
      <c r="AA167">
        <v>43</v>
      </c>
      <c r="AB167">
        <v>35</v>
      </c>
      <c r="AC167">
        <v>37</v>
      </c>
      <c r="AD167">
        <v>33</v>
      </c>
      <c r="AE167">
        <v>56</v>
      </c>
      <c r="AF167">
        <v>37</v>
      </c>
      <c r="AG167">
        <v>55</v>
      </c>
      <c r="AH167">
        <v>56</v>
      </c>
      <c r="AI167">
        <v>59</v>
      </c>
      <c r="AJ167">
        <v>68</v>
      </c>
      <c r="AK167">
        <v>60</v>
      </c>
      <c r="AL167">
        <v>69</v>
      </c>
      <c r="AM167">
        <v>89</v>
      </c>
      <c r="AN167">
        <v>84</v>
      </c>
      <c r="AO167">
        <v>78</v>
      </c>
      <c r="AP167">
        <v>96</v>
      </c>
      <c r="AQ167">
        <v>2088</v>
      </c>
      <c r="AR167">
        <v>0.95785440613026818</v>
      </c>
      <c r="AS167">
        <f t="shared" si="10"/>
        <v>0.29728437549106251</v>
      </c>
      <c r="AT167">
        <f t="shared" si="11"/>
        <v>2.3901663789481425E-2</v>
      </c>
      <c r="AU167">
        <f t="shared" si="12"/>
        <v>2.3901663789481424</v>
      </c>
      <c r="AV167">
        <f t="shared" si="13"/>
        <v>3</v>
      </c>
      <c r="AW167">
        <f t="shared" si="14"/>
        <v>9.3923170846247697E-2</v>
      </c>
    </row>
    <row r="168" spans="1:49" x14ac:dyDescent="0.3">
      <c r="A168" t="s">
        <v>227</v>
      </c>
      <c r="B168" t="s">
        <v>225</v>
      </c>
      <c r="C168">
        <v>1</v>
      </c>
      <c r="D168" t="s">
        <v>12</v>
      </c>
      <c r="E168">
        <v>68</v>
      </c>
      <c r="F168">
        <v>62</v>
      </c>
      <c r="G168">
        <v>56</v>
      </c>
      <c r="H168">
        <v>77</v>
      </c>
      <c r="I168">
        <v>75</v>
      </c>
      <c r="J168">
        <v>66</v>
      </c>
      <c r="K168">
        <v>77</v>
      </c>
      <c r="L168">
        <v>93</v>
      </c>
      <c r="M168">
        <v>90</v>
      </c>
      <c r="N168">
        <v>111</v>
      </c>
      <c r="O168">
        <v>110</v>
      </c>
      <c r="P168">
        <v>97</v>
      </c>
      <c r="Q168">
        <v>110</v>
      </c>
      <c r="R168">
        <v>144</v>
      </c>
      <c r="S168">
        <v>137</v>
      </c>
      <c r="T168">
        <v>147</v>
      </c>
      <c r="U168">
        <v>137</v>
      </c>
      <c r="V168">
        <v>122</v>
      </c>
      <c r="W168">
        <v>138</v>
      </c>
      <c r="X168">
        <v>62</v>
      </c>
      <c r="Y168">
        <v>60</v>
      </c>
      <c r="Z168">
        <v>55</v>
      </c>
      <c r="AA168">
        <v>53</v>
      </c>
      <c r="AB168">
        <v>55</v>
      </c>
      <c r="AC168">
        <v>87</v>
      </c>
      <c r="AD168">
        <v>82</v>
      </c>
      <c r="AE168">
        <v>76</v>
      </c>
      <c r="AF168">
        <v>97</v>
      </c>
      <c r="AG168">
        <v>126</v>
      </c>
      <c r="AH168">
        <v>149</v>
      </c>
      <c r="AI168">
        <v>185</v>
      </c>
      <c r="AJ168">
        <v>171</v>
      </c>
      <c r="AK168">
        <v>195</v>
      </c>
      <c r="AL168">
        <v>146</v>
      </c>
      <c r="AM168">
        <v>199</v>
      </c>
      <c r="AN168">
        <v>150</v>
      </c>
      <c r="AO168">
        <v>163</v>
      </c>
      <c r="AP168">
        <v>192</v>
      </c>
      <c r="AQ168">
        <v>4220</v>
      </c>
      <c r="AR168">
        <v>0.23696682464454971</v>
      </c>
      <c r="AS168">
        <f t="shared" si="10"/>
        <v>4.9222254677952285E-2</v>
      </c>
      <c r="AT168">
        <f t="shared" si="11"/>
        <v>3.9574692761073635E-3</v>
      </c>
      <c r="AU168">
        <f t="shared" si="12"/>
        <v>0.39574692761073632</v>
      </c>
      <c r="AV168">
        <f t="shared" si="13"/>
        <v>3</v>
      </c>
      <c r="AW168">
        <f t="shared" si="14"/>
        <v>9.3923170846247697E-2</v>
      </c>
    </row>
    <row r="169" spans="1:49" x14ac:dyDescent="0.3">
      <c r="A169" t="s">
        <v>228</v>
      </c>
      <c r="B169" t="s">
        <v>167</v>
      </c>
      <c r="C169">
        <v>1</v>
      </c>
      <c r="D169" t="s">
        <v>12</v>
      </c>
      <c r="E169">
        <v>46</v>
      </c>
      <c r="F169">
        <v>29</v>
      </c>
      <c r="G169">
        <v>31</v>
      </c>
      <c r="H169">
        <v>39</v>
      </c>
      <c r="I169">
        <v>62</v>
      </c>
      <c r="J169">
        <v>37</v>
      </c>
      <c r="K169">
        <v>65</v>
      </c>
      <c r="L169">
        <v>57</v>
      </c>
      <c r="M169">
        <v>60</v>
      </c>
      <c r="N169">
        <v>85</v>
      </c>
      <c r="O169">
        <v>86</v>
      </c>
      <c r="P169">
        <v>79</v>
      </c>
      <c r="Q169">
        <v>88</v>
      </c>
      <c r="R169">
        <v>100</v>
      </c>
      <c r="S169">
        <v>104</v>
      </c>
      <c r="T169">
        <v>103</v>
      </c>
      <c r="U169">
        <v>109</v>
      </c>
      <c r="V169">
        <v>105</v>
      </c>
      <c r="W169">
        <v>133</v>
      </c>
      <c r="X169">
        <v>31</v>
      </c>
      <c r="Y169">
        <v>16</v>
      </c>
      <c r="Z169">
        <v>31</v>
      </c>
      <c r="AA169">
        <v>50</v>
      </c>
      <c r="AB169">
        <v>43</v>
      </c>
      <c r="AC169">
        <v>34</v>
      </c>
      <c r="AD169">
        <v>50</v>
      </c>
      <c r="AE169">
        <v>58</v>
      </c>
      <c r="AF169">
        <v>68</v>
      </c>
      <c r="AG169">
        <v>66</v>
      </c>
      <c r="AH169">
        <v>77</v>
      </c>
      <c r="AI169">
        <v>89</v>
      </c>
      <c r="AJ169">
        <v>92</v>
      </c>
      <c r="AK169">
        <v>97</v>
      </c>
      <c r="AL169">
        <v>110</v>
      </c>
      <c r="AM169">
        <v>99</v>
      </c>
      <c r="AN169">
        <v>99</v>
      </c>
      <c r="AO169">
        <v>98</v>
      </c>
      <c r="AP169">
        <v>125</v>
      </c>
      <c r="AQ169">
        <v>2751</v>
      </c>
      <c r="AR169">
        <v>0.36350418029807341</v>
      </c>
      <c r="AS169">
        <f t="shared" si="10"/>
        <v>9.2764584455369517E-2</v>
      </c>
      <c r="AT169">
        <f t="shared" si="11"/>
        <v>7.4582725902117095E-3</v>
      </c>
      <c r="AU169">
        <f t="shared" si="12"/>
        <v>0.74582725902117097</v>
      </c>
      <c r="AV169">
        <f t="shared" si="13"/>
        <v>3</v>
      </c>
      <c r="AW169">
        <f t="shared" si="14"/>
        <v>9.3923170846247697E-2</v>
      </c>
    </row>
    <row r="170" spans="1:49" x14ac:dyDescent="0.3">
      <c r="A170" t="s">
        <v>229</v>
      </c>
      <c r="B170" t="s">
        <v>167</v>
      </c>
      <c r="C170">
        <v>1</v>
      </c>
      <c r="D170" t="s">
        <v>12</v>
      </c>
      <c r="E170">
        <v>16</v>
      </c>
      <c r="F170">
        <v>17</v>
      </c>
      <c r="G170">
        <v>22</v>
      </c>
      <c r="H170">
        <v>17</v>
      </c>
      <c r="I170">
        <v>20</v>
      </c>
      <c r="J170">
        <v>29</v>
      </c>
      <c r="K170">
        <v>31</v>
      </c>
      <c r="L170">
        <v>25</v>
      </c>
      <c r="M170">
        <v>40</v>
      </c>
      <c r="N170">
        <v>39</v>
      </c>
      <c r="O170">
        <v>40</v>
      </c>
      <c r="P170">
        <v>48</v>
      </c>
      <c r="Q170">
        <v>45</v>
      </c>
      <c r="R170">
        <v>44</v>
      </c>
      <c r="S170">
        <v>57</v>
      </c>
      <c r="T170">
        <v>67</v>
      </c>
      <c r="U170">
        <v>60</v>
      </c>
      <c r="V170">
        <v>64</v>
      </c>
      <c r="W170">
        <v>59</v>
      </c>
      <c r="X170">
        <v>18</v>
      </c>
      <c r="Y170">
        <v>21</v>
      </c>
      <c r="Z170">
        <v>18</v>
      </c>
      <c r="AA170">
        <v>18</v>
      </c>
      <c r="AB170">
        <v>23</v>
      </c>
      <c r="AC170">
        <v>26</v>
      </c>
      <c r="AD170">
        <v>17</v>
      </c>
      <c r="AE170">
        <v>22</v>
      </c>
      <c r="AF170">
        <v>30</v>
      </c>
      <c r="AG170">
        <v>44</v>
      </c>
      <c r="AH170">
        <v>40</v>
      </c>
      <c r="AI170">
        <v>43</v>
      </c>
      <c r="AJ170">
        <v>34</v>
      </c>
      <c r="AK170">
        <v>49</v>
      </c>
      <c r="AL170">
        <v>61</v>
      </c>
      <c r="AM170">
        <v>64</v>
      </c>
      <c r="AN170">
        <v>46</v>
      </c>
      <c r="AO170">
        <v>62</v>
      </c>
      <c r="AP170">
        <v>58</v>
      </c>
      <c r="AQ170">
        <v>1434</v>
      </c>
      <c r="AR170">
        <v>0.69735006973500691</v>
      </c>
      <c r="AS170">
        <f t="shared" si="10"/>
        <v>0.20764313346267474</v>
      </c>
      <c r="AT170">
        <f t="shared" si="11"/>
        <v>1.669450793039905E-2</v>
      </c>
      <c r="AU170">
        <f t="shared" si="12"/>
        <v>1.669450793039905</v>
      </c>
      <c r="AV170">
        <f t="shared" si="13"/>
        <v>3</v>
      </c>
      <c r="AW170">
        <f t="shared" si="14"/>
        <v>9.3923170846247697E-2</v>
      </c>
    </row>
    <row r="171" spans="1:49" x14ac:dyDescent="0.3">
      <c r="A171" t="s">
        <v>230</v>
      </c>
      <c r="B171" t="s">
        <v>167</v>
      </c>
      <c r="C171">
        <v>1</v>
      </c>
      <c r="D171" t="s">
        <v>12</v>
      </c>
      <c r="E171">
        <v>40</v>
      </c>
      <c r="F171">
        <v>45</v>
      </c>
      <c r="G171">
        <v>48</v>
      </c>
      <c r="H171">
        <v>46</v>
      </c>
      <c r="I171">
        <v>62</v>
      </c>
      <c r="J171">
        <v>61</v>
      </c>
      <c r="K171">
        <v>57</v>
      </c>
      <c r="L171">
        <v>88</v>
      </c>
      <c r="M171">
        <v>99</v>
      </c>
      <c r="N171">
        <v>83</v>
      </c>
      <c r="O171">
        <v>109</v>
      </c>
      <c r="P171">
        <v>158</v>
      </c>
      <c r="Q171">
        <v>141</v>
      </c>
      <c r="R171">
        <v>143</v>
      </c>
      <c r="S171">
        <v>151</v>
      </c>
      <c r="T171">
        <v>128</v>
      </c>
      <c r="U171">
        <v>132</v>
      </c>
      <c r="V171">
        <v>120</v>
      </c>
      <c r="W171">
        <v>154</v>
      </c>
      <c r="X171">
        <v>48</v>
      </c>
      <c r="Y171">
        <v>42</v>
      </c>
      <c r="Z171">
        <v>36</v>
      </c>
      <c r="AA171">
        <v>45</v>
      </c>
      <c r="AB171">
        <v>45</v>
      </c>
      <c r="AC171">
        <v>38</v>
      </c>
      <c r="AD171">
        <v>71</v>
      </c>
      <c r="AE171">
        <v>70</v>
      </c>
      <c r="AF171">
        <v>88</v>
      </c>
      <c r="AG171">
        <v>92</v>
      </c>
      <c r="AH171">
        <v>113</v>
      </c>
      <c r="AI171">
        <v>108</v>
      </c>
      <c r="AJ171">
        <v>111</v>
      </c>
      <c r="AK171">
        <v>127</v>
      </c>
      <c r="AL171">
        <v>107</v>
      </c>
      <c r="AM171">
        <v>117</v>
      </c>
      <c r="AN171">
        <v>100</v>
      </c>
      <c r="AO171">
        <v>107</v>
      </c>
      <c r="AP171">
        <v>121</v>
      </c>
      <c r="AQ171">
        <v>3451</v>
      </c>
      <c r="AR171">
        <v>0.28977108084613151</v>
      </c>
      <c r="AS171">
        <f t="shared" si="10"/>
        <v>6.7392543801711738E-2</v>
      </c>
      <c r="AT171">
        <f t="shared" si="11"/>
        <v>5.4183605216576239E-3</v>
      </c>
      <c r="AU171">
        <f t="shared" si="12"/>
        <v>0.54183605216576236</v>
      </c>
      <c r="AV171">
        <f t="shared" si="13"/>
        <v>3</v>
      </c>
      <c r="AW171">
        <f t="shared" si="14"/>
        <v>9.3923170846247697E-2</v>
      </c>
    </row>
    <row r="172" spans="1:49" x14ac:dyDescent="0.3">
      <c r="A172" t="s">
        <v>231</v>
      </c>
      <c r="B172" t="s">
        <v>72</v>
      </c>
      <c r="C172">
        <v>2</v>
      </c>
      <c r="D172" t="s">
        <v>12</v>
      </c>
      <c r="E172">
        <v>108</v>
      </c>
      <c r="F172">
        <v>102</v>
      </c>
      <c r="G172">
        <v>117</v>
      </c>
      <c r="H172">
        <v>132</v>
      </c>
      <c r="I172">
        <v>139</v>
      </c>
      <c r="J172">
        <v>134</v>
      </c>
      <c r="K172">
        <v>145</v>
      </c>
      <c r="L172">
        <v>123</v>
      </c>
      <c r="M172">
        <v>140</v>
      </c>
      <c r="N172">
        <v>190</v>
      </c>
      <c r="O172">
        <v>192</v>
      </c>
      <c r="P172">
        <v>174</v>
      </c>
      <c r="Q172">
        <v>196</v>
      </c>
      <c r="R172">
        <v>239</v>
      </c>
      <c r="S172">
        <v>221</v>
      </c>
      <c r="T172">
        <v>196</v>
      </c>
      <c r="U172">
        <v>194</v>
      </c>
      <c r="V172">
        <v>197</v>
      </c>
      <c r="W172">
        <v>245</v>
      </c>
      <c r="X172">
        <v>89</v>
      </c>
      <c r="Y172">
        <v>117</v>
      </c>
      <c r="Z172">
        <v>110</v>
      </c>
      <c r="AA172">
        <v>125</v>
      </c>
      <c r="AB172">
        <v>103</v>
      </c>
      <c r="AC172">
        <v>122</v>
      </c>
      <c r="AD172">
        <v>130</v>
      </c>
      <c r="AE172">
        <v>131</v>
      </c>
      <c r="AF172">
        <v>153</v>
      </c>
      <c r="AG172">
        <v>166</v>
      </c>
      <c r="AH172">
        <v>186</v>
      </c>
      <c r="AI172">
        <v>198</v>
      </c>
      <c r="AJ172">
        <v>188</v>
      </c>
      <c r="AK172">
        <v>254</v>
      </c>
      <c r="AL172">
        <v>230</v>
      </c>
      <c r="AM172">
        <v>198</v>
      </c>
      <c r="AN172">
        <v>176</v>
      </c>
      <c r="AO172">
        <v>207</v>
      </c>
      <c r="AP172">
        <v>217</v>
      </c>
      <c r="AQ172">
        <v>6284</v>
      </c>
      <c r="AR172">
        <v>0.31826861871419471</v>
      </c>
      <c r="AS172">
        <f t="shared" si="10"/>
        <v>7.7198732537734127E-2</v>
      </c>
      <c r="AT172">
        <f t="shared" si="11"/>
        <v>6.2067780960338237E-3</v>
      </c>
      <c r="AU172">
        <f t="shared" si="12"/>
        <v>0.62067780960338237</v>
      </c>
      <c r="AV172">
        <f t="shared" si="13"/>
        <v>3</v>
      </c>
      <c r="AW172">
        <f t="shared" si="14"/>
        <v>9.3923170846247697E-2</v>
      </c>
    </row>
    <row r="173" spans="1:49" x14ac:dyDescent="0.3">
      <c r="A173" t="s">
        <v>232</v>
      </c>
      <c r="B173" t="s">
        <v>72</v>
      </c>
      <c r="C173">
        <v>1</v>
      </c>
      <c r="D173" t="s">
        <v>12</v>
      </c>
      <c r="E173">
        <v>61</v>
      </c>
      <c r="F173">
        <v>42</v>
      </c>
      <c r="G173">
        <v>41</v>
      </c>
      <c r="H173">
        <v>36</v>
      </c>
      <c r="I173">
        <v>44</v>
      </c>
      <c r="J173">
        <v>47</v>
      </c>
      <c r="K173">
        <v>36</v>
      </c>
      <c r="L173">
        <v>42</v>
      </c>
      <c r="M173">
        <v>44</v>
      </c>
      <c r="N173">
        <v>51</v>
      </c>
      <c r="O173">
        <v>55</v>
      </c>
      <c r="P173">
        <v>62</v>
      </c>
      <c r="Q173">
        <v>47</v>
      </c>
      <c r="R173">
        <v>53</v>
      </c>
      <c r="S173">
        <v>62</v>
      </c>
      <c r="T173">
        <v>63</v>
      </c>
      <c r="U173">
        <v>76</v>
      </c>
      <c r="V173">
        <v>70</v>
      </c>
      <c r="W173">
        <v>71</v>
      </c>
      <c r="X173">
        <v>53</v>
      </c>
      <c r="Y173">
        <v>44</v>
      </c>
      <c r="Z173">
        <v>30</v>
      </c>
      <c r="AA173">
        <v>31</v>
      </c>
      <c r="AB173">
        <v>33</v>
      </c>
      <c r="AC173">
        <v>43</v>
      </c>
      <c r="AD173">
        <v>23</v>
      </c>
      <c r="AE173">
        <v>25</v>
      </c>
      <c r="AF173">
        <v>48</v>
      </c>
      <c r="AG173">
        <v>44</v>
      </c>
      <c r="AH173">
        <v>62</v>
      </c>
      <c r="AI173">
        <v>56</v>
      </c>
      <c r="AJ173">
        <v>47</v>
      </c>
      <c r="AK173">
        <v>52</v>
      </c>
      <c r="AL173">
        <v>49</v>
      </c>
      <c r="AM173">
        <v>53</v>
      </c>
      <c r="AN173">
        <v>62</v>
      </c>
      <c r="AO173">
        <v>66</v>
      </c>
      <c r="AP173">
        <v>62</v>
      </c>
      <c r="AQ173">
        <v>1886</v>
      </c>
      <c r="AR173">
        <v>0.53022269353128315</v>
      </c>
      <c r="AS173">
        <f t="shared" si="10"/>
        <v>0.15013351275096384</v>
      </c>
      <c r="AT173">
        <f t="shared" si="11"/>
        <v>1.2070734425177494E-2</v>
      </c>
      <c r="AU173">
        <f t="shared" si="12"/>
        <v>1.2070734425177494</v>
      </c>
      <c r="AV173">
        <f t="shared" si="13"/>
        <v>3</v>
      </c>
      <c r="AW173">
        <f t="shared" si="14"/>
        <v>9.3923170846247697E-2</v>
      </c>
    </row>
    <row r="174" spans="1:49" x14ac:dyDescent="0.3">
      <c r="A174" t="s">
        <v>233</v>
      </c>
      <c r="B174" t="s">
        <v>64</v>
      </c>
      <c r="C174">
        <v>3</v>
      </c>
      <c r="D174" t="s">
        <v>24</v>
      </c>
      <c r="E174">
        <v>39</v>
      </c>
      <c r="F174">
        <v>27</v>
      </c>
      <c r="G174">
        <v>32</v>
      </c>
      <c r="H174">
        <v>29</v>
      </c>
      <c r="I174">
        <v>21</v>
      </c>
      <c r="J174">
        <v>24</v>
      </c>
      <c r="K174">
        <v>23</v>
      </c>
      <c r="L174">
        <v>26</v>
      </c>
      <c r="M174">
        <v>33</v>
      </c>
      <c r="N174">
        <v>19</v>
      </c>
      <c r="O174">
        <v>38</v>
      </c>
      <c r="P174">
        <v>43</v>
      </c>
      <c r="Q174">
        <v>45</v>
      </c>
      <c r="R174">
        <v>45</v>
      </c>
      <c r="S174">
        <v>36</v>
      </c>
      <c r="T174">
        <v>61</v>
      </c>
      <c r="U174">
        <v>48</v>
      </c>
      <c r="V174">
        <v>63</v>
      </c>
      <c r="W174">
        <v>71</v>
      </c>
      <c r="X174">
        <v>31</v>
      </c>
      <c r="Y174">
        <v>27</v>
      </c>
      <c r="Z174">
        <v>22</v>
      </c>
      <c r="AA174">
        <v>29</v>
      </c>
      <c r="AB174">
        <v>27</v>
      </c>
      <c r="AC174">
        <v>31</v>
      </c>
      <c r="AD174">
        <v>22</v>
      </c>
      <c r="AE174">
        <v>33</v>
      </c>
      <c r="AF174">
        <v>27</v>
      </c>
      <c r="AG174">
        <v>33</v>
      </c>
      <c r="AH174">
        <v>38</v>
      </c>
      <c r="AI174">
        <v>37</v>
      </c>
      <c r="AJ174">
        <v>32</v>
      </c>
      <c r="AK174">
        <v>43</v>
      </c>
      <c r="AL174">
        <v>50</v>
      </c>
      <c r="AM174">
        <v>38</v>
      </c>
      <c r="AN174">
        <v>60</v>
      </c>
      <c r="AO174">
        <v>61</v>
      </c>
      <c r="AP174">
        <v>63</v>
      </c>
      <c r="AQ174">
        <v>1427</v>
      </c>
      <c r="AR174">
        <v>2.102312543798178</v>
      </c>
      <c r="AS174">
        <f t="shared" si="10"/>
        <v>0.69109988862089788</v>
      </c>
      <c r="AT174">
        <f t="shared" si="11"/>
        <v>5.556443104512019E-2</v>
      </c>
      <c r="AU174">
        <f t="shared" si="12"/>
        <v>5.5564431045120193</v>
      </c>
      <c r="AV174">
        <f t="shared" si="13"/>
        <v>3</v>
      </c>
      <c r="AW174">
        <f t="shared" si="14"/>
        <v>9.3923170846247697E-2</v>
      </c>
    </row>
    <row r="175" spans="1:49" x14ac:dyDescent="0.3">
      <c r="A175" t="s">
        <v>234</v>
      </c>
      <c r="B175" t="s">
        <v>182</v>
      </c>
      <c r="C175">
        <v>1</v>
      </c>
      <c r="D175" t="s">
        <v>24</v>
      </c>
      <c r="E175">
        <v>1</v>
      </c>
      <c r="F175">
        <v>3</v>
      </c>
      <c r="G175">
        <v>7</v>
      </c>
      <c r="H175">
        <v>8</v>
      </c>
      <c r="I175">
        <v>5</v>
      </c>
      <c r="J175">
        <v>7</v>
      </c>
      <c r="K175">
        <v>7</v>
      </c>
      <c r="L175">
        <v>11</v>
      </c>
      <c r="M175">
        <v>16</v>
      </c>
      <c r="N175">
        <v>16</v>
      </c>
      <c r="O175">
        <v>11</v>
      </c>
      <c r="P175">
        <v>11</v>
      </c>
      <c r="Q175">
        <v>14</v>
      </c>
      <c r="R175">
        <v>17</v>
      </c>
      <c r="S175">
        <v>18</v>
      </c>
      <c r="T175">
        <v>24</v>
      </c>
      <c r="U175">
        <v>15</v>
      </c>
      <c r="V175">
        <v>20</v>
      </c>
      <c r="W175">
        <v>19</v>
      </c>
      <c r="X175">
        <v>7</v>
      </c>
      <c r="Y175">
        <v>3</v>
      </c>
      <c r="Z175">
        <v>6</v>
      </c>
      <c r="AA175">
        <v>6</v>
      </c>
      <c r="AB175">
        <v>4</v>
      </c>
      <c r="AC175">
        <v>4</v>
      </c>
      <c r="AD175">
        <v>9</v>
      </c>
      <c r="AE175">
        <v>8</v>
      </c>
      <c r="AF175">
        <v>10</v>
      </c>
      <c r="AG175">
        <v>14</v>
      </c>
      <c r="AH175">
        <v>11</v>
      </c>
      <c r="AI175">
        <v>10</v>
      </c>
      <c r="AJ175">
        <v>10</v>
      </c>
      <c r="AK175">
        <v>12</v>
      </c>
      <c r="AL175">
        <v>10</v>
      </c>
      <c r="AM175">
        <v>18</v>
      </c>
      <c r="AN175">
        <v>21</v>
      </c>
      <c r="AO175">
        <v>18</v>
      </c>
      <c r="AP175">
        <v>28</v>
      </c>
      <c r="AQ175">
        <v>439</v>
      </c>
      <c r="AR175">
        <v>2.2779043280182232</v>
      </c>
      <c r="AS175">
        <f t="shared" si="10"/>
        <v>0.75152216736401611</v>
      </c>
      <c r="AT175">
        <f t="shared" si="11"/>
        <v>6.0422382256066894E-2</v>
      </c>
      <c r="AU175">
        <f t="shared" si="12"/>
        <v>6.0422382256066891</v>
      </c>
      <c r="AV175">
        <f t="shared" si="13"/>
        <v>3</v>
      </c>
      <c r="AW175">
        <f t="shared" si="14"/>
        <v>9.3923170846247697E-2</v>
      </c>
    </row>
    <row r="176" spans="1:49" x14ac:dyDescent="0.3">
      <c r="A176" t="s">
        <v>235</v>
      </c>
      <c r="B176" t="s">
        <v>97</v>
      </c>
      <c r="C176">
        <v>1</v>
      </c>
      <c r="D176" t="s">
        <v>24</v>
      </c>
      <c r="E176">
        <v>67</v>
      </c>
      <c r="F176">
        <v>73</v>
      </c>
      <c r="G176">
        <v>79</v>
      </c>
      <c r="H176">
        <v>75</v>
      </c>
      <c r="I176">
        <v>73</v>
      </c>
      <c r="J176">
        <v>83</v>
      </c>
      <c r="K176">
        <v>84</v>
      </c>
      <c r="L176">
        <v>78</v>
      </c>
      <c r="M176">
        <v>110</v>
      </c>
      <c r="N176">
        <v>117</v>
      </c>
      <c r="O176">
        <v>146</v>
      </c>
      <c r="P176">
        <v>151</v>
      </c>
      <c r="Q176">
        <v>160</v>
      </c>
      <c r="R176">
        <v>193</v>
      </c>
      <c r="S176">
        <v>161</v>
      </c>
      <c r="T176">
        <v>167</v>
      </c>
      <c r="U176">
        <v>125</v>
      </c>
      <c r="V176">
        <v>123</v>
      </c>
      <c r="W176">
        <v>152</v>
      </c>
      <c r="X176">
        <v>63</v>
      </c>
      <c r="Y176">
        <v>71</v>
      </c>
      <c r="Z176">
        <v>61</v>
      </c>
      <c r="AA176">
        <v>75</v>
      </c>
      <c r="AB176">
        <v>85</v>
      </c>
      <c r="AC176">
        <v>68</v>
      </c>
      <c r="AD176">
        <v>90</v>
      </c>
      <c r="AE176">
        <v>79</v>
      </c>
      <c r="AF176">
        <v>97</v>
      </c>
      <c r="AG176">
        <v>110</v>
      </c>
      <c r="AH176">
        <v>131</v>
      </c>
      <c r="AI176">
        <v>133</v>
      </c>
      <c r="AJ176">
        <v>163</v>
      </c>
      <c r="AK176">
        <v>154</v>
      </c>
      <c r="AL176">
        <v>147</v>
      </c>
      <c r="AM176">
        <v>130</v>
      </c>
      <c r="AN176">
        <v>143</v>
      </c>
      <c r="AO176">
        <v>114</v>
      </c>
      <c r="AP176">
        <v>140</v>
      </c>
      <c r="AQ176">
        <v>4271</v>
      </c>
      <c r="AR176">
        <v>0.2341372044017794</v>
      </c>
      <c r="AS176">
        <f t="shared" si="10"/>
        <v>4.8248563888230692E-2</v>
      </c>
      <c r="AT176">
        <f t="shared" si="11"/>
        <v>3.8791845366137477E-3</v>
      </c>
      <c r="AU176">
        <f t="shared" si="12"/>
        <v>0.38791845366137478</v>
      </c>
      <c r="AV176">
        <f t="shared" si="13"/>
        <v>3</v>
      </c>
      <c r="AW176">
        <f t="shared" si="14"/>
        <v>9.3923170846247697E-2</v>
      </c>
    </row>
    <row r="177" spans="1:49" x14ac:dyDescent="0.3">
      <c r="A177" t="s">
        <v>236</v>
      </c>
      <c r="B177" t="s">
        <v>237</v>
      </c>
      <c r="C177">
        <v>1</v>
      </c>
      <c r="D177" t="s">
        <v>12</v>
      </c>
      <c r="E177">
        <v>24</v>
      </c>
      <c r="F177">
        <v>14</v>
      </c>
      <c r="G177">
        <v>11</v>
      </c>
      <c r="H177">
        <v>18</v>
      </c>
      <c r="I177">
        <v>20</v>
      </c>
      <c r="J177">
        <v>15</v>
      </c>
      <c r="K177">
        <v>20</v>
      </c>
      <c r="L177">
        <v>32</v>
      </c>
      <c r="M177">
        <v>24</v>
      </c>
      <c r="N177">
        <v>21</v>
      </c>
      <c r="O177">
        <v>22</v>
      </c>
      <c r="P177">
        <v>33</v>
      </c>
      <c r="Q177">
        <v>22</v>
      </c>
      <c r="R177">
        <v>35</v>
      </c>
      <c r="S177">
        <v>31</v>
      </c>
      <c r="T177">
        <v>33</v>
      </c>
      <c r="U177">
        <v>34</v>
      </c>
      <c r="V177">
        <v>33</v>
      </c>
      <c r="W177">
        <v>46</v>
      </c>
      <c r="X177">
        <v>22</v>
      </c>
      <c r="Y177">
        <v>10</v>
      </c>
      <c r="Z177">
        <v>23</v>
      </c>
      <c r="AA177">
        <v>25</v>
      </c>
      <c r="AB177">
        <v>12</v>
      </c>
      <c r="AC177">
        <v>13</v>
      </c>
      <c r="AD177">
        <v>17</v>
      </c>
      <c r="AE177">
        <v>26</v>
      </c>
      <c r="AF177">
        <v>33</v>
      </c>
      <c r="AG177">
        <v>11</v>
      </c>
      <c r="AH177">
        <v>25</v>
      </c>
      <c r="AI177">
        <v>20</v>
      </c>
      <c r="AJ177">
        <v>30</v>
      </c>
      <c r="AK177">
        <v>39</v>
      </c>
      <c r="AL177">
        <v>30</v>
      </c>
      <c r="AM177">
        <v>46</v>
      </c>
      <c r="AN177">
        <v>30</v>
      </c>
      <c r="AO177">
        <v>37</v>
      </c>
      <c r="AP177">
        <v>47</v>
      </c>
      <c r="AQ177">
        <v>984</v>
      </c>
      <c r="AR177">
        <v>1.0162601626016261</v>
      </c>
      <c r="AS177">
        <f t="shared" si="10"/>
        <v>0.31738217740924707</v>
      </c>
      <c r="AT177">
        <f t="shared" si="11"/>
        <v>2.5517527063703464E-2</v>
      </c>
      <c r="AU177">
        <f t="shared" si="12"/>
        <v>2.5517527063703462</v>
      </c>
      <c r="AV177">
        <f t="shared" si="13"/>
        <v>3</v>
      </c>
      <c r="AW177">
        <f t="shared" si="14"/>
        <v>9.3923170846247697E-2</v>
      </c>
    </row>
    <row r="178" spans="1:49" x14ac:dyDescent="0.3">
      <c r="A178" t="s">
        <v>238</v>
      </c>
      <c r="B178" t="s">
        <v>237</v>
      </c>
      <c r="C178">
        <v>2</v>
      </c>
      <c r="D178" t="s">
        <v>12</v>
      </c>
      <c r="E178">
        <v>18</v>
      </c>
      <c r="F178">
        <v>12</v>
      </c>
      <c r="G178">
        <v>20</v>
      </c>
      <c r="H178">
        <v>11</v>
      </c>
      <c r="I178">
        <v>24</v>
      </c>
      <c r="J178">
        <v>10</v>
      </c>
      <c r="K178">
        <v>17</v>
      </c>
      <c r="L178">
        <v>15</v>
      </c>
      <c r="M178">
        <v>24</v>
      </c>
      <c r="N178">
        <v>25</v>
      </c>
      <c r="O178">
        <v>40</v>
      </c>
      <c r="P178">
        <v>29</v>
      </c>
      <c r="Q178">
        <v>32</v>
      </c>
      <c r="R178">
        <v>47</v>
      </c>
      <c r="S178">
        <v>38</v>
      </c>
      <c r="T178">
        <v>38</v>
      </c>
      <c r="U178">
        <v>41</v>
      </c>
      <c r="V178">
        <v>47</v>
      </c>
      <c r="W178">
        <v>50</v>
      </c>
      <c r="X178">
        <v>16</v>
      </c>
      <c r="Y178">
        <v>14</v>
      </c>
      <c r="Z178">
        <v>17</v>
      </c>
      <c r="AA178">
        <v>11</v>
      </c>
      <c r="AB178">
        <v>20</v>
      </c>
      <c r="AC178">
        <v>20</v>
      </c>
      <c r="AD178">
        <v>18</v>
      </c>
      <c r="AE178">
        <v>28</v>
      </c>
      <c r="AF178">
        <v>23</v>
      </c>
      <c r="AG178">
        <v>28</v>
      </c>
      <c r="AH178">
        <v>32</v>
      </c>
      <c r="AI178">
        <v>31</v>
      </c>
      <c r="AJ178">
        <v>25</v>
      </c>
      <c r="AK178">
        <v>31</v>
      </c>
      <c r="AL178">
        <v>38</v>
      </c>
      <c r="AM178">
        <v>53</v>
      </c>
      <c r="AN178">
        <v>37</v>
      </c>
      <c r="AO178">
        <v>32</v>
      </c>
      <c r="AP178">
        <v>34</v>
      </c>
      <c r="AQ178">
        <v>1046</v>
      </c>
      <c r="AR178">
        <v>1.9120458891013381</v>
      </c>
      <c r="AS178">
        <f t="shared" si="10"/>
        <v>0.62562789118845363</v>
      </c>
      <c r="AT178">
        <f t="shared" si="11"/>
        <v>5.0300482451551672E-2</v>
      </c>
      <c r="AU178">
        <f t="shared" si="12"/>
        <v>5.0300482451551671</v>
      </c>
      <c r="AV178">
        <f t="shared" si="13"/>
        <v>3</v>
      </c>
      <c r="AW178">
        <f t="shared" si="14"/>
        <v>9.3923170846247697E-2</v>
      </c>
    </row>
    <row r="179" spans="1:49" x14ac:dyDescent="0.3">
      <c r="A179" t="s">
        <v>239</v>
      </c>
      <c r="B179" t="s">
        <v>237</v>
      </c>
      <c r="C179">
        <v>3</v>
      </c>
      <c r="D179" t="s">
        <v>12</v>
      </c>
      <c r="E179">
        <v>27</v>
      </c>
      <c r="F179">
        <v>28</v>
      </c>
      <c r="G179">
        <v>27</v>
      </c>
      <c r="H179">
        <v>23</v>
      </c>
      <c r="I179">
        <v>19</v>
      </c>
      <c r="J179">
        <v>28</v>
      </c>
      <c r="K179">
        <v>19</v>
      </c>
      <c r="L179">
        <v>33</v>
      </c>
      <c r="M179">
        <v>24</v>
      </c>
      <c r="N179">
        <v>40</v>
      </c>
      <c r="O179">
        <v>38</v>
      </c>
      <c r="P179">
        <v>44</v>
      </c>
      <c r="Q179">
        <v>48</v>
      </c>
      <c r="R179">
        <v>48</v>
      </c>
      <c r="S179">
        <v>59</v>
      </c>
      <c r="T179">
        <v>55</v>
      </c>
      <c r="U179">
        <v>54</v>
      </c>
      <c r="V179">
        <v>48</v>
      </c>
      <c r="W179">
        <v>66</v>
      </c>
      <c r="X179">
        <v>32</v>
      </c>
      <c r="Y179">
        <v>31</v>
      </c>
      <c r="Z179">
        <v>26</v>
      </c>
      <c r="AA179">
        <v>21</v>
      </c>
      <c r="AB179">
        <v>25</v>
      </c>
      <c r="AC179">
        <v>20</v>
      </c>
      <c r="AD179">
        <v>24</v>
      </c>
      <c r="AE179">
        <v>28</v>
      </c>
      <c r="AF179">
        <v>38</v>
      </c>
      <c r="AG179">
        <v>36</v>
      </c>
      <c r="AH179">
        <v>27</v>
      </c>
      <c r="AI179">
        <v>40</v>
      </c>
      <c r="AJ179">
        <v>45</v>
      </c>
      <c r="AK179">
        <v>46</v>
      </c>
      <c r="AL179">
        <v>50</v>
      </c>
      <c r="AM179">
        <v>44</v>
      </c>
      <c r="AN179">
        <v>46</v>
      </c>
      <c r="AO179">
        <v>62</v>
      </c>
      <c r="AP179">
        <v>59</v>
      </c>
      <c r="AQ179">
        <v>1428</v>
      </c>
      <c r="AR179">
        <v>2.1008403361344539</v>
      </c>
      <c r="AS179">
        <f t="shared" si="10"/>
        <v>0.69059329235718081</v>
      </c>
      <c r="AT179">
        <f t="shared" si="11"/>
        <v>5.5523700705517334E-2</v>
      </c>
      <c r="AU179">
        <f t="shared" si="12"/>
        <v>5.5523700705517331</v>
      </c>
      <c r="AV179">
        <f t="shared" si="13"/>
        <v>3</v>
      </c>
      <c r="AW179">
        <f t="shared" si="14"/>
        <v>9.3923170846247697E-2</v>
      </c>
    </row>
    <row r="180" spans="1:49" x14ac:dyDescent="0.3">
      <c r="A180" t="s">
        <v>240</v>
      </c>
      <c r="B180" t="s">
        <v>109</v>
      </c>
      <c r="C180">
        <v>2</v>
      </c>
      <c r="D180" t="s">
        <v>24</v>
      </c>
      <c r="E180">
        <v>304</v>
      </c>
      <c r="F180">
        <v>277</v>
      </c>
      <c r="G180">
        <v>257</v>
      </c>
      <c r="H180">
        <v>312</v>
      </c>
      <c r="I180">
        <v>281</v>
      </c>
      <c r="J180">
        <v>316</v>
      </c>
      <c r="K180">
        <v>338</v>
      </c>
      <c r="L180">
        <v>382</v>
      </c>
      <c r="M180">
        <v>418</v>
      </c>
      <c r="N180">
        <v>426</v>
      </c>
      <c r="O180">
        <v>487</v>
      </c>
      <c r="P180">
        <v>469</v>
      </c>
      <c r="Q180">
        <v>433</v>
      </c>
      <c r="R180">
        <v>479</v>
      </c>
      <c r="S180">
        <v>463</v>
      </c>
      <c r="T180">
        <v>423</v>
      </c>
      <c r="U180">
        <v>408</v>
      </c>
      <c r="V180">
        <v>406</v>
      </c>
      <c r="W180">
        <v>380</v>
      </c>
      <c r="X180">
        <v>268</v>
      </c>
      <c r="Y180">
        <v>260</v>
      </c>
      <c r="Z180">
        <v>263</v>
      </c>
      <c r="AA180">
        <v>252</v>
      </c>
      <c r="AB180">
        <v>292</v>
      </c>
      <c r="AC180">
        <v>287</v>
      </c>
      <c r="AD180">
        <v>359</v>
      </c>
      <c r="AE180">
        <v>364</v>
      </c>
      <c r="AF180">
        <v>395</v>
      </c>
      <c r="AG180">
        <v>434</v>
      </c>
      <c r="AH180">
        <v>488</v>
      </c>
      <c r="AI180">
        <v>446</v>
      </c>
      <c r="AJ180">
        <v>425</v>
      </c>
      <c r="AK180">
        <v>488</v>
      </c>
      <c r="AL180">
        <v>420</v>
      </c>
      <c r="AM180">
        <v>450</v>
      </c>
      <c r="AN180">
        <v>374</v>
      </c>
      <c r="AO180">
        <v>406</v>
      </c>
      <c r="AP180">
        <v>363</v>
      </c>
      <c r="AQ180">
        <v>14293</v>
      </c>
      <c r="AR180">
        <v>0.13992863639543829</v>
      </c>
      <c r="AS180">
        <f t="shared" si="10"/>
        <v>1.583078089597079E-2</v>
      </c>
      <c r="AT180">
        <f t="shared" si="11"/>
        <v>1.2727947840360514E-3</v>
      </c>
      <c r="AU180">
        <f t="shared" si="12"/>
        <v>0.12727947840360515</v>
      </c>
      <c r="AV180">
        <f t="shared" si="13"/>
        <v>3</v>
      </c>
      <c r="AW180">
        <f t="shared" si="14"/>
        <v>9.3923170846247697E-2</v>
      </c>
    </row>
    <row r="181" spans="1:49" x14ac:dyDescent="0.3">
      <c r="A181" t="s">
        <v>241</v>
      </c>
      <c r="B181" t="s">
        <v>109</v>
      </c>
      <c r="C181">
        <v>2</v>
      </c>
      <c r="D181" t="s">
        <v>24</v>
      </c>
      <c r="E181">
        <v>17</v>
      </c>
      <c r="F181">
        <v>22</v>
      </c>
      <c r="G181">
        <v>18</v>
      </c>
      <c r="H181">
        <v>24</v>
      </c>
      <c r="I181">
        <v>34</v>
      </c>
      <c r="J181">
        <v>33</v>
      </c>
      <c r="K181">
        <v>34</v>
      </c>
      <c r="L181">
        <v>39</v>
      </c>
      <c r="M181">
        <v>48</v>
      </c>
      <c r="N181">
        <v>65</v>
      </c>
      <c r="O181">
        <v>55</v>
      </c>
      <c r="P181">
        <v>53</v>
      </c>
      <c r="Q181">
        <v>70</v>
      </c>
      <c r="R181">
        <v>82</v>
      </c>
      <c r="S181">
        <v>85</v>
      </c>
      <c r="T181">
        <v>77</v>
      </c>
      <c r="U181">
        <v>90</v>
      </c>
      <c r="V181">
        <v>90</v>
      </c>
      <c r="W181">
        <v>104</v>
      </c>
      <c r="X181">
        <v>21</v>
      </c>
      <c r="Y181">
        <v>19</v>
      </c>
      <c r="Z181">
        <v>26</v>
      </c>
      <c r="AA181">
        <v>21</v>
      </c>
      <c r="AB181">
        <v>20</v>
      </c>
      <c r="AC181">
        <v>27</v>
      </c>
      <c r="AD181">
        <v>30</v>
      </c>
      <c r="AE181">
        <v>48</v>
      </c>
      <c r="AF181">
        <v>37</v>
      </c>
      <c r="AG181">
        <v>51</v>
      </c>
      <c r="AH181">
        <v>63</v>
      </c>
      <c r="AI181">
        <v>70</v>
      </c>
      <c r="AJ181">
        <v>65</v>
      </c>
      <c r="AK181">
        <v>70</v>
      </c>
      <c r="AL181">
        <v>82</v>
      </c>
      <c r="AM181">
        <v>88</v>
      </c>
      <c r="AN181">
        <v>82</v>
      </c>
      <c r="AO181">
        <v>80</v>
      </c>
      <c r="AP181">
        <v>70</v>
      </c>
      <c r="AQ181">
        <v>2010</v>
      </c>
      <c r="AR181">
        <v>0.99502487562189035</v>
      </c>
      <c r="AS181">
        <f t="shared" si="10"/>
        <v>0.31007497659242644</v>
      </c>
      <c r="AT181">
        <f t="shared" si="11"/>
        <v>2.4930028118031085E-2</v>
      </c>
      <c r="AU181">
        <f t="shared" si="12"/>
        <v>2.4930028118031085</v>
      </c>
      <c r="AV181">
        <f t="shared" si="13"/>
        <v>3</v>
      </c>
      <c r="AW181">
        <f t="shared" si="14"/>
        <v>9.3923170846247697E-2</v>
      </c>
    </row>
    <row r="182" spans="1:49" x14ac:dyDescent="0.3">
      <c r="A182" t="s">
        <v>242</v>
      </c>
      <c r="B182" t="s">
        <v>129</v>
      </c>
      <c r="C182">
        <v>1</v>
      </c>
      <c r="D182" t="s">
        <v>12</v>
      </c>
      <c r="E182">
        <v>11</v>
      </c>
      <c r="F182">
        <v>8</v>
      </c>
      <c r="G182">
        <v>10</v>
      </c>
      <c r="H182">
        <v>10</v>
      </c>
      <c r="I182">
        <v>5</v>
      </c>
      <c r="J182">
        <v>6</v>
      </c>
      <c r="K182">
        <v>7</v>
      </c>
      <c r="L182">
        <v>11</v>
      </c>
      <c r="M182">
        <v>7</v>
      </c>
      <c r="N182">
        <v>6</v>
      </c>
      <c r="O182">
        <v>10</v>
      </c>
      <c r="P182">
        <v>10</v>
      </c>
      <c r="Q182">
        <v>17</v>
      </c>
      <c r="R182">
        <v>26</v>
      </c>
      <c r="S182">
        <v>25</v>
      </c>
      <c r="T182">
        <v>21</v>
      </c>
      <c r="U182">
        <v>19</v>
      </c>
      <c r="V182">
        <v>24</v>
      </c>
      <c r="W182">
        <v>28</v>
      </c>
      <c r="X182">
        <v>4</v>
      </c>
      <c r="Y182">
        <v>4</v>
      </c>
      <c r="Z182">
        <v>8</v>
      </c>
      <c r="AA182">
        <v>5</v>
      </c>
      <c r="AB182">
        <v>4</v>
      </c>
      <c r="AC182">
        <v>5</v>
      </c>
      <c r="AD182">
        <v>7</v>
      </c>
      <c r="AE182">
        <v>8</v>
      </c>
      <c r="AF182">
        <v>5</v>
      </c>
      <c r="AG182">
        <v>11</v>
      </c>
      <c r="AH182">
        <v>7</v>
      </c>
      <c r="AI182">
        <v>4</v>
      </c>
      <c r="AJ182">
        <v>14</v>
      </c>
      <c r="AK182">
        <v>12</v>
      </c>
      <c r="AL182">
        <v>10</v>
      </c>
      <c r="AM182">
        <v>15</v>
      </c>
      <c r="AN182">
        <v>6</v>
      </c>
      <c r="AO182">
        <v>19</v>
      </c>
      <c r="AP182">
        <v>12</v>
      </c>
      <c r="AQ182">
        <v>421</v>
      </c>
      <c r="AR182">
        <v>2.3752969121140142</v>
      </c>
      <c r="AS182">
        <f t="shared" si="10"/>
        <v>0.78503559106938725</v>
      </c>
      <c r="AT182">
        <f t="shared" si="11"/>
        <v>6.3116861521978734E-2</v>
      </c>
      <c r="AU182">
        <f t="shared" si="12"/>
        <v>6.3116861521978738</v>
      </c>
      <c r="AV182">
        <f t="shared" si="13"/>
        <v>3</v>
      </c>
      <c r="AW182">
        <f t="shared" si="14"/>
        <v>9.3923170846247697E-2</v>
      </c>
    </row>
    <row r="183" spans="1:49" x14ac:dyDescent="0.3">
      <c r="A183" t="s">
        <v>243</v>
      </c>
      <c r="B183" t="s">
        <v>124</v>
      </c>
      <c r="C183">
        <v>1</v>
      </c>
      <c r="D183" t="s">
        <v>12</v>
      </c>
      <c r="E183">
        <v>34</v>
      </c>
      <c r="F183">
        <v>23</v>
      </c>
      <c r="G183">
        <v>32</v>
      </c>
      <c r="H183">
        <v>36</v>
      </c>
      <c r="I183">
        <v>20</v>
      </c>
      <c r="J183">
        <v>32</v>
      </c>
      <c r="K183">
        <v>30</v>
      </c>
      <c r="L183">
        <v>29</v>
      </c>
      <c r="M183">
        <v>42</v>
      </c>
      <c r="N183">
        <v>66</v>
      </c>
      <c r="O183">
        <v>65</v>
      </c>
      <c r="P183">
        <v>57</v>
      </c>
      <c r="Q183">
        <v>56</v>
      </c>
      <c r="R183">
        <v>54</v>
      </c>
      <c r="S183">
        <v>59</v>
      </c>
      <c r="T183">
        <v>55</v>
      </c>
      <c r="U183">
        <v>54</v>
      </c>
      <c r="V183">
        <v>66</v>
      </c>
      <c r="W183">
        <v>67</v>
      </c>
      <c r="X183">
        <v>23</v>
      </c>
      <c r="Y183">
        <v>33</v>
      </c>
      <c r="Z183">
        <v>28</v>
      </c>
      <c r="AA183">
        <v>22</v>
      </c>
      <c r="AB183">
        <v>33</v>
      </c>
      <c r="AC183">
        <v>24</v>
      </c>
      <c r="AD183">
        <v>41</v>
      </c>
      <c r="AE183">
        <v>36</v>
      </c>
      <c r="AF183">
        <v>33</v>
      </c>
      <c r="AG183">
        <v>41</v>
      </c>
      <c r="AH183">
        <v>58</v>
      </c>
      <c r="AI183">
        <v>59</v>
      </c>
      <c r="AJ183">
        <v>54</v>
      </c>
      <c r="AK183">
        <v>56</v>
      </c>
      <c r="AL183">
        <v>53</v>
      </c>
      <c r="AM183">
        <v>49</v>
      </c>
      <c r="AN183">
        <v>61</v>
      </c>
      <c r="AO183">
        <v>75</v>
      </c>
      <c r="AP183">
        <v>72</v>
      </c>
      <c r="AQ183">
        <v>1728</v>
      </c>
      <c r="AR183">
        <v>0.57870370370370372</v>
      </c>
      <c r="AS183">
        <f t="shared" si="10"/>
        <v>0.16681614470551481</v>
      </c>
      <c r="AT183">
        <f t="shared" si="11"/>
        <v>1.3412018034323391E-2</v>
      </c>
      <c r="AU183">
        <f t="shared" si="12"/>
        <v>1.3412018034323392</v>
      </c>
      <c r="AV183">
        <f t="shared" si="13"/>
        <v>3</v>
      </c>
      <c r="AW183">
        <f t="shared" si="14"/>
        <v>9.3923170846247697E-2</v>
      </c>
    </row>
    <row r="184" spans="1:49" x14ac:dyDescent="0.3">
      <c r="A184" t="s">
        <v>244</v>
      </c>
      <c r="B184" t="s">
        <v>33</v>
      </c>
      <c r="C184">
        <v>3</v>
      </c>
      <c r="D184" t="s">
        <v>17</v>
      </c>
      <c r="E184">
        <v>24</v>
      </c>
      <c r="F184">
        <v>16</v>
      </c>
      <c r="G184">
        <v>20</v>
      </c>
      <c r="H184">
        <v>22</v>
      </c>
      <c r="I184">
        <v>19</v>
      </c>
      <c r="J184">
        <v>21</v>
      </c>
      <c r="K184">
        <v>19</v>
      </c>
      <c r="L184">
        <v>19</v>
      </c>
      <c r="M184">
        <v>24</v>
      </c>
      <c r="N184">
        <v>36</v>
      </c>
      <c r="O184">
        <v>32</v>
      </c>
      <c r="P184">
        <v>36</v>
      </c>
      <c r="Q184">
        <v>36</v>
      </c>
      <c r="R184">
        <v>52</v>
      </c>
      <c r="S184">
        <v>40</v>
      </c>
      <c r="T184">
        <v>52</v>
      </c>
      <c r="U184">
        <v>40</v>
      </c>
      <c r="V184">
        <v>47</v>
      </c>
      <c r="W184">
        <v>40</v>
      </c>
      <c r="X184">
        <v>28</v>
      </c>
      <c r="Y184">
        <v>19</v>
      </c>
      <c r="Z184">
        <v>21</v>
      </c>
      <c r="AA184">
        <v>17</v>
      </c>
      <c r="AB184">
        <v>17</v>
      </c>
      <c r="AC184">
        <v>21</v>
      </c>
      <c r="AD184">
        <v>24</v>
      </c>
      <c r="AE184">
        <v>35</v>
      </c>
      <c r="AF184">
        <v>21</v>
      </c>
      <c r="AG184">
        <v>30</v>
      </c>
      <c r="AH184">
        <v>34</v>
      </c>
      <c r="AI184">
        <v>39</v>
      </c>
      <c r="AJ184">
        <v>41</v>
      </c>
      <c r="AK184">
        <v>47</v>
      </c>
      <c r="AL184">
        <v>39</v>
      </c>
      <c r="AM184">
        <v>42</v>
      </c>
      <c r="AN184">
        <v>39</v>
      </c>
      <c r="AO184">
        <v>47</v>
      </c>
      <c r="AP184">
        <v>51</v>
      </c>
      <c r="AQ184">
        <v>1207</v>
      </c>
      <c r="AR184">
        <v>2.485501242750622</v>
      </c>
      <c r="AS184">
        <f t="shared" si="10"/>
        <v>0.8229576203602299</v>
      </c>
      <c r="AT184">
        <f t="shared" si="11"/>
        <v>6.6165792676962487E-2</v>
      </c>
      <c r="AU184">
        <f t="shared" si="12"/>
        <v>6.6165792676962489</v>
      </c>
      <c r="AV184">
        <f t="shared" si="13"/>
        <v>3</v>
      </c>
      <c r="AW184">
        <f t="shared" si="14"/>
        <v>9.3923170846247697E-2</v>
      </c>
    </row>
    <row r="185" spans="1:49" x14ac:dyDescent="0.3">
      <c r="A185" t="s">
        <v>245</v>
      </c>
      <c r="B185" t="s">
        <v>33</v>
      </c>
      <c r="C185">
        <v>2</v>
      </c>
      <c r="D185" t="s">
        <v>17</v>
      </c>
      <c r="E185">
        <v>52</v>
      </c>
      <c r="F185">
        <v>52</v>
      </c>
      <c r="G185">
        <v>44</v>
      </c>
      <c r="H185">
        <v>41</v>
      </c>
      <c r="I185">
        <v>58</v>
      </c>
      <c r="J185">
        <v>46</v>
      </c>
      <c r="K185">
        <v>48</v>
      </c>
      <c r="L185">
        <v>59</v>
      </c>
      <c r="M185">
        <v>56</v>
      </c>
      <c r="N185">
        <v>59</v>
      </c>
      <c r="O185">
        <v>72</v>
      </c>
      <c r="P185">
        <v>73</v>
      </c>
      <c r="Q185">
        <v>74</v>
      </c>
      <c r="R185">
        <v>56</v>
      </c>
      <c r="S185">
        <v>92</v>
      </c>
      <c r="T185">
        <v>89</v>
      </c>
      <c r="U185">
        <v>80</v>
      </c>
      <c r="V185">
        <v>94</v>
      </c>
      <c r="W185">
        <v>91</v>
      </c>
      <c r="X185">
        <v>44</v>
      </c>
      <c r="Y185">
        <v>50</v>
      </c>
      <c r="Z185">
        <v>38</v>
      </c>
      <c r="AA185">
        <v>46</v>
      </c>
      <c r="AB185">
        <v>42</v>
      </c>
      <c r="AC185">
        <v>42</v>
      </c>
      <c r="AD185">
        <v>47</v>
      </c>
      <c r="AE185">
        <v>63</v>
      </c>
      <c r="AF185">
        <v>49</v>
      </c>
      <c r="AG185">
        <v>68</v>
      </c>
      <c r="AH185">
        <v>71</v>
      </c>
      <c r="AI185">
        <v>76</v>
      </c>
      <c r="AJ185">
        <v>67</v>
      </c>
      <c r="AK185">
        <v>78</v>
      </c>
      <c r="AL185">
        <v>75</v>
      </c>
      <c r="AM185">
        <v>79</v>
      </c>
      <c r="AN185">
        <v>88</v>
      </c>
      <c r="AO185">
        <v>88</v>
      </c>
      <c r="AP185">
        <v>89</v>
      </c>
      <c r="AQ185">
        <v>2436</v>
      </c>
      <c r="AR185">
        <v>0.82101806239737274</v>
      </c>
      <c r="AS185">
        <f t="shared" si="10"/>
        <v>0.25019809671131599</v>
      </c>
      <c r="AT185">
        <f t="shared" si="11"/>
        <v>2.0115926975589806E-2</v>
      </c>
      <c r="AU185">
        <f t="shared" si="12"/>
        <v>2.0115926975589806</v>
      </c>
      <c r="AV185">
        <f t="shared" si="13"/>
        <v>3</v>
      </c>
      <c r="AW185">
        <f t="shared" si="14"/>
        <v>9.3923170846247697E-2</v>
      </c>
    </row>
    <row r="186" spans="1:49" x14ac:dyDescent="0.3">
      <c r="A186" t="s">
        <v>246</v>
      </c>
      <c r="B186" t="s">
        <v>33</v>
      </c>
      <c r="C186">
        <v>2</v>
      </c>
      <c r="D186" t="s">
        <v>17</v>
      </c>
      <c r="E186">
        <v>60</v>
      </c>
      <c r="F186">
        <v>64</v>
      </c>
      <c r="G186">
        <v>53</v>
      </c>
      <c r="H186">
        <v>35</v>
      </c>
      <c r="I186">
        <v>34</v>
      </c>
      <c r="J186">
        <v>29</v>
      </c>
      <c r="K186">
        <v>28</v>
      </c>
      <c r="L186">
        <v>29</v>
      </c>
      <c r="M186">
        <v>33</v>
      </c>
      <c r="N186">
        <v>48</v>
      </c>
      <c r="O186">
        <v>34</v>
      </c>
      <c r="P186">
        <v>58</v>
      </c>
      <c r="Q186">
        <v>49</v>
      </c>
      <c r="R186">
        <v>64</v>
      </c>
      <c r="S186">
        <v>65</v>
      </c>
      <c r="T186">
        <v>39</v>
      </c>
      <c r="U186">
        <v>66</v>
      </c>
      <c r="V186">
        <v>46</v>
      </c>
      <c r="W186">
        <v>61</v>
      </c>
      <c r="X186">
        <v>59</v>
      </c>
      <c r="Y186">
        <v>47</v>
      </c>
      <c r="Z186">
        <v>34</v>
      </c>
      <c r="AA186">
        <v>40</v>
      </c>
      <c r="AB186">
        <v>41</v>
      </c>
      <c r="AC186">
        <v>36</v>
      </c>
      <c r="AD186">
        <v>37</v>
      </c>
      <c r="AE186">
        <v>30</v>
      </c>
      <c r="AF186">
        <v>38</v>
      </c>
      <c r="AG186">
        <v>39</v>
      </c>
      <c r="AH186">
        <v>41</v>
      </c>
      <c r="AI186">
        <v>55</v>
      </c>
      <c r="AJ186">
        <v>54</v>
      </c>
      <c r="AK186">
        <v>49</v>
      </c>
      <c r="AL186">
        <v>54</v>
      </c>
      <c r="AM186">
        <v>46</v>
      </c>
      <c r="AN186">
        <v>43</v>
      </c>
      <c r="AO186">
        <v>41</v>
      </c>
      <c r="AP186">
        <v>63</v>
      </c>
      <c r="AQ186">
        <v>1742</v>
      </c>
      <c r="AR186">
        <v>1.1481056257175659</v>
      </c>
      <c r="AS186">
        <f t="shared" si="10"/>
        <v>0.36275106160159409</v>
      </c>
      <c r="AT186">
        <f t="shared" si="11"/>
        <v>2.9165185352768165E-2</v>
      </c>
      <c r="AU186">
        <f t="shared" si="12"/>
        <v>2.9165185352768166</v>
      </c>
      <c r="AV186">
        <f t="shared" si="13"/>
        <v>3</v>
      </c>
      <c r="AW186">
        <f t="shared" si="14"/>
        <v>9.3923170846247697E-2</v>
      </c>
    </row>
    <row r="187" spans="1:49" x14ac:dyDescent="0.3">
      <c r="A187" t="s">
        <v>247</v>
      </c>
      <c r="B187" t="s">
        <v>33</v>
      </c>
      <c r="C187">
        <v>2</v>
      </c>
      <c r="D187" t="s">
        <v>17</v>
      </c>
      <c r="E187">
        <v>71</v>
      </c>
      <c r="F187">
        <v>63</v>
      </c>
      <c r="G187">
        <v>52</v>
      </c>
      <c r="H187">
        <v>43</v>
      </c>
      <c r="I187">
        <v>31</v>
      </c>
      <c r="J187">
        <v>45</v>
      </c>
      <c r="K187">
        <v>45</v>
      </c>
      <c r="L187">
        <v>44</v>
      </c>
      <c r="M187">
        <v>50</v>
      </c>
      <c r="N187">
        <v>46</v>
      </c>
      <c r="O187">
        <v>40</v>
      </c>
      <c r="P187">
        <v>44</v>
      </c>
      <c r="Q187">
        <v>27</v>
      </c>
      <c r="R187">
        <v>37</v>
      </c>
      <c r="S187">
        <v>36</v>
      </c>
      <c r="T187">
        <v>49</v>
      </c>
      <c r="U187">
        <v>43</v>
      </c>
      <c r="V187">
        <v>43</v>
      </c>
      <c r="W187">
        <v>61</v>
      </c>
      <c r="X187">
        <v>54</v>
      </c>
      <c r="Y187">
        <v>34</v>
      </c>
      <c r="Z187">
        <v>56</v>
      </c>
      <c r="AA187">
        <v>43</v>
      </c>
      <c r="AB187">
        <v>36</v>
      </c>
      <c r="AC187">
        <v>33</v>
      </c>
      <c r="AD187">
        <v>45</v>
      </c>
      <c r="AE187">
        <v>37</v>
      </c>
      <c r="AF187">
        <v>37</v>
      </c>
      <c r="AG187">
        <v>46</v>
      </c>
      <c r="AH187">
        <v>43</v>
      </c>
      <c r="AI187">
        <v>37</v>
      </c>
      <c r="AJ187">
        <v>45</v>
      </c>
      <c r="AK187">
        <v>31</v>
      </c>
      <c r="AL187">
        <v>44</v>
      </c>
      <c r="AM187">
        <v>41</v>
      </c>
      <c r="AN187">
        <v>42</v>
      </c>
      <c r="AO187">
        <v>50</v>
      </c>
      <c r="AP187">
        <v>41</v>
      </c>
      <c r="AQ187">
        <v>1665</v>
      </c>
      <c r="AR187">
        <v>1.201201201201201</v>
      </c>
      <c r="AS187">
        <f t="shared" si="10"/>
        <v>0.38102159559126031</v>
      </c>
      <c r="AT187">
        <f t="shared" si="11"/>
        <v>3.0634136285537329E-2</v>
      </c>
      <c r="AU187">
        <f t="shared" si="12"/>
        <v>3.0634136285537328</v>
      </c>
      <c r="AV187">
        <f t="shared" si="13"/>
        <v>3</v>
      </c>
      <c r="AW187">
        <f t="shared" si="14"/>
        <v>9.3923170846247697E-2</v>
      </c>
    </row>
    <row r="188" spans="1:49" x14ac:dyDescent="0.3">
      <c r="A188" t="s">
        <v>248</v>
      </c>
      <c r="B188" t="s">
        <v>33</v>
      </c>
      <c r="C188">
        <v>4</v>
      </c>
      <c r="D188" t="s">
        <v>17</v>
      </c>
      <c r="E188">
        <v>79</v>
      </c>
      <c r="F188">
        <v>61</v>
      </c>
      <c r="G188">
        <v>43</v>
      </c>
      <c r="H188">
        <v>40</v>
      </c>
      <c r="I188">
        <v>66</v>
      </c>
      <c r="J188">
        <v>54</v>
      </c>
      <c r="K188">
        <v>85</v>
      </c>
      <c r="L188">
        <v>65</v>
      </c>
      <c r="M188">
        <v>73</v>
      </c>
      <c r="N188">
        <v>113</v>
      </c>
      <c r="O188">
        <v>128</v>
      </c>
      <c r="P188">
        <v>112</v>
      </c>
      <c r="Q188">
        <v>102</v>
      </c>
      <c r="R188">
        <v>116</v>
      </c>
      <c r="S188">
        <v>98</v>
      </c>
      <c r="T188">
        <v>101</v>
      </c>
      <c r="U188">
        <v>103</v>
      </c>
      <c r="V188">
        <v>103</v>
      </c>
      <c r="W188">
        <v>110</v>
      </c>
      <c r="X188">
        <v>55</v>
      </c>
      <c r="Y188">
        <v>60</v>
      </c>
      <c r="Z188">
        <v>51</v>
      </c>
      <c r="AA188">
        <v>65</v>
      </c>
      <c r="AB188">
        <v>45</v>
      </c>
      <c r="AC188">
        <v>62</v>
      </c>
      <c r="AD188">
        <v>62</v>
      </c>
      <c r="AE188">
        <v>81</v>
      </c>
      <c r="AF188">
        <v>91</v>
      </c>
      <c r="AG188">
        <v>89</v>
      </c>
      <c r="AH188">
        <v>104</v>
      </c>
      <c r="AI188">
        <v>114</v>
      </c>
      <c r="AJ188">
        <v>95</v>
      </c>
      <c r="AK188">
        <v>108</v>
      </c>
      <c r="AL188">
        <v>108</v>
      </c>
      <c r="AM188">
        <v>99</v>
      </c>
      <c r="AN188">
        <v>103</v>
      </c>
      <c r="AO188">
        <v>119</v>
      </c>
      <c r="AP188">
        <v>102</v>
      </c>
      <c r="AQ188">
        <v>3265</v>
      </c>
      <c r="AR188">
        <v>1.2251148545176109</v>
      </c>
      <c r="AS188">
        <f t="shared" si="10"/>
        <v>0.38925043974173434</v>
      </c>
      <c r="AT188">
        <f t="shared" si="11"/>
        <v>3.1295735355235443E-2</v>
      </c>
      <c r="AU188">
        <f t="shared" si="12"/>
        <v>3.1295735355235443</v>
      </c>
      <c r="AV188">
        <f t="shared" si="13"/>
        <v>3</v>
      </c>
      <c r="AW188">
        <f t="shared" si="14"/>
        <v>9.3923170846247697E-2</v>
      </c>
    </row>
    <row r="189" spans="1:49" x14ac:dyDescent="0.3">
      <c r="A189" t="s">
        <v>249</v>
      </c>
      <c r="B189" t="s">
        <v>33</v>
      </c>
      <c r="C189">
        <v>1</v>
      </c>
      <c r="D189" t="s">
        <v>17</v>
      </c>
      <c r="E189">
        <v>108</v>
      </c>
      <c r="F189">
        <v>90</v>
      </c>
      <c r="G189">
        <v>76</v>
      </c>
      <c r="H189">
        <v>83</v>
      </c>
      <c r="I189">
        <v>118</v>
      </c>
      <c r="J189">
        <v>111</v>
      </c>
      <c r="K189">
        <v>121</v>
      </c>
      <c r="L189">
        <v>109</v>
      </c>
      <c r="M189">
        <v>122</v>
      </c>
      <c r="N189">
        <v>135</v>
      </c>
      <c r="O189">
        <v>141</v>
      </c>
      <c r="P189">
        <v>127</v>
      </c>
      <c r="Q189">
        <v>127</v>
      </c>
      <c r="R189">
        <v>138</v>
      </c>
      <c r="S189">
        <v>111</v>
      </c>
      <c r="T189">
        <v>142</v>
      </c>
      <c r="U189">
        <v>123</v>
      </c>
      <c r="V189">
        <v>130</v>
      </c>
      <c r="W189">
        <v>131</v>
      </c>
      <c r="X189">
        <v>101</v>
      </c>
      <c r="Y189">
        <v>88</v>
      </c>
      <c r="Z189">
        <v>74</v>
      </c>
      <c r="AA189">
        <v>92</v>
      </c>
      <c r="AB189">
        <v>98</v>
      </c>
      <c r="AC189">
        <v>94</v>
      </c>
      <c r="AD189">
        <v>91</v>
      </c>
      <c r="AE189">
        <v>113</v>
      </c>
      <c r="AF189">
        <v>99</v>
      </c>
      <c r="AG189">
        <v>132</v>
      </c>
      <c r="AH189">
        <v>134</v>
      </c>
      <c r="AI189">
        <v>139</v>
      </c>
      <c r="AJ189">
        <v>130</v>
      </c>
      <c r="AK189">
        <v>135</v>
      </c>
      <c r="AL189">
        <v>142</v>
      </c>
      <c r="AM189">
        <v>128</v>
      </c>
      <c r="AN189">
        <v>122</v>
      </c>
      <c r="AO189">
        <v>125</v>
      </c>
      <c r="AP189">
        <v>131</v>
      </c>
      <c r="AQ189">
        <v>4411</v>
      </c>
      <c r="AR189">
        <v>0.2267059623668102</v>
      </c>
      <c r="AS189">
        <f t="shared" si="10"/>
        <v>4.5691425012747769E-2</v>
      </c>
      <c r="AT189">
        <f t="shared" si="11"/>
        <v>3.6735905710249205E-3</v>
      </c>
      <c r="AU189">
        <f t="shared" si="12"/>
        <v>0.36735905710249206</v>
      </c>
      <c r="AV189">
        <f t="shared" si="13"/>
        <v>3</v>
      </c>
      <c r="AW189">
        <f t="shared" si="14"/>
        <v>9.3923170846247697E-2</v>
      </c>
    </row>
    <row r="190" spans="1:49" x14ac:dyDescent="0.3">
      <c r="A190" t="s">
        <v>250</v>
      </c>
      <c r="B190" t="s">
        <v>127</v>
      </c>
      <c r="C190">
        <v>1</v>
      </c>
      <c r="D190" t="s">
        <v>12</v>
      </c>
      <c r="E190">
        <v>39</v>
      </c>
      <c r="F190">
        <v>37</v>
      </c>
      <c r="G190">
        <v>30</v>
      </c>
      <c r="H190">
        <v>53</v>
      </c>
      <c r="I190">
        <v>46</v>
      </c>
      <c r="J190">
        <v>36</v>
      </c>
      <c r="K190">
        <v>50</v>
      </c>
      <c r="L190">
        <v>49</v>
      </c>
      <c r="M190">
        <v>70</v>
      </c>
      <c r="N190">
        <v>85</v>
      </c>
      <c r="O190">
        <v>85</v>
      </c>
      <c r="P190">
        <v>118</v>
      </c>
      <c r="Q190">
        <v>101</v>
      </c>
      <c r="R190">
        <v>109</v>
      </c>
      <c r="S190">
        <v>86</v>
      </c>
      <c r="T190">
        <v>95</v>
      </c>
      <c r="U190">
        <v>97</v>
      </c>
      <c r="V190">
        <v>98</v>
      </c>
      <c r="W190">
        <v>102</v>
      </c>
      <c r="X190">
        <v>44</v>
      </c>
      <c r="Y190">
        <v>48</v>
      </c>
      <c r="Z190">
        <v>31</v>
      </c>
      <c r="AA190">
        <v>31</v>
      </c>
      <c r="AB190">
        <v>42</v>
      </c>
      <c r="AC190">
        <v>55</v>
      </c>
      <c r="AD190">
        <v>35</v>
      </c>
      <c r="AE190">
        <v>42</v>
      </c>
      <c r="AF190">
        <v>53</v>
      </c>
      <c r="AG190">
        <v>76</v>
      </c>
      <c r="AH190">
        <v>83</v>
      </c>
      <c r="AI190">
        <v>84</v>
      </c>
      <c r="AJ190">
        <v>91</v>
      </c>
      <c r="AK190">
        <v>101</v>
      </c>
      <c r="AL190">
        <v>117</v>
      </c>
      <c r="AM190">
        <v>103</v>
      </c>
      <c r="AN190">
        <v>85</v>
      </c>
      <c r="AO190">
        <v>87</v>
      </c>
      <c r="AP190">
        <v>86</v>
      </c>
      <c r="AQ190">
        <v>2680</v>
      </c>
      <c r="AR190">
        <v>0.37313432835820898</v>
      </c>
      <c r="AS190">
        <f t="shared" si="10"/>
        <v>9.6078381242682906E-2</v>
      </c>
      <c r="AT190">
        <f t="shared" si="11"/>
        <v>7.7247018519117057E-3</v>
      </c>
      <c r="AU190">
        <f t="shared" si="12"/>
        <v>0.77247018519117061</v>
      </c>
      <c r="AV190">
        <f t="shared" si="13"/>
        <v>3</v>
      </c>
      <c r="AW190">
        <f t="shared" si="14"/>
        <v>9.3923170846247697E-2</v>
      </c>
    </row>
    <row r="191" spans="1:49" x14ac:dyDescent="0.3">
      <c r="A191" t="s">
        <v>251</v>
      </c>
      <c r="B191" t="s">
        <v>97</v>
      </c>
      <c r="C191">
        <v>1</v>
      </c>
      <c r="D191" t="s">
        <v>24</v>
      </c>
      <c r="E191">
        <v>49</v>
      </c>
      <c r="F191">
        <v>52</v>
      </c>
      <c r="G191">
        <v>47</v>
      </c>
      <c r="H191">
        <v>57</v>
      </c>
      <c r="I191">
        <v>69</v>
      </c>
      <c r="J191">
        <v>63</v>
      </c>
      <c r="K191">
        <v>65</v>
      </c>
      <c r="L191">
        <v>88</v>
      </c>
      <c r="M191">
        <v>102</v>
      </c>
      <c r="N191">
        <v>100</v>
      </c>
      <c r="O191">
        <v>148</v>
      </c>
      <c r="P191">
        <v>106</v>
      </c>
      <c r="Q191">
        <v>116</v>
      </c>
      <c r="R191">
        <v>136</v>
      </c>
      <c r="S191">
        <v>147</v>
      </c>
      <c r="T191">
        <v>133</v>
      </c>
      <c r="U191">
        <v>167</v>
      </c>
      <c r="V191">
        <v>162</v>
      </c>
      <c r="W191">
        <v>158</v>
      </c>
      <c r="X191">
        <v>44</v>
      </c>
      <c r="Y191">
        <v>54</v>
      </c>
      <c r="Z191">
        <v>49</v>
      </c>
      <c r="AA191">
        <v>50</v>
      </c>
      <c r="AB191">
        <v>61</v>
      </c>
      <c r="AC191">
        <v>72</v>
      </c>
      <c r="AD191">
        <v>47</v>
      </c>
      <c r="AE191">
        <v>74</v>
      </c>
      <c r="AF191">
        <v>83</v>
      </c>
      <c r="AG191">
        <v>107</v>
      </c>
      <c r="AH191">
        <v>128</v>
      </c>
      <c r="AI191">
        <v>120</v>
      </c>
      <c r="AJ191">
        <v>108</v>
      </c>
      <c r="AK191">
        <v>144</v>
      </c>
      <c r="AL191">
        <v>149</v>
      </c>
      <c r="AM191">
        <v>152</v>
      </c>
      <c r="AN191">
        <v>119</v>
      </c>
      <c r="AO191">
        <v>128</v>
      </c>
      <c r="AP191">
        <v>125</v>
      </c>
      <c r="AQ191">
        <v>3779</v>
      </c>
      <c r="AR191">
        <v>0.26462026991267529</v>
      </c>
      <c r="AS191">
        <f t="shared" si="10"/>
        <v>5.8737985642359804E-2</v>
      </c>
      <c r="AT191">
        <f t="shared" si="11"/>
        <v>4.7225340456457281E-3</v>
      </c>
      <c r="AU191">
        <f t="shared" si="12"/>
        <v>0.47225340456457282</v>
      </c>
      <c r="AV191">
        <f t="shared" si="13"/>
        <v>3</v>
      </c>
      <c r="AW191">
        <f t="shared" si="14"/>
        <v>9.3923170846247697E-2</v>
      </c>
    </row>
    <row r="192" spans="1:49" x14ac:dyDescent="0.3">
      <c r="A192" t="s">
        <v>252</v>
      </c>
      <c r="B192" t="s">
        <v>36</v>
      </c>
      <c r="C192">
        <v>2</v>
      </c>
      <c r="D192" t="s">
        <v>12</v>
      </c>
      <c r="E192">
        <v>81</v>
      </c>
      <c r="F192">
        <v>57</v>
      </c>
      <c r="G192">
        <v>59</v>
      </c>
      <c r="H192">
        <v>81</v>
      </c>
      <c r="I192">
        <v>58</v>
      </c>
      <c r="J192">
        <v>89</v>
      </c>
      <c r="K192">
        <v>63</v>
      </c>
      <c r="L192">
        <v>93</v>
      </c>
      <c r="M192">
        <v>60</v>
      </c>
      <c r="N192">
        <v>97</v>
      </c>
      <c r="O192">
        <v>80</v>
      </c>
      <c r="P192">
        <v>96</v>
      </c>
      <c r="Q192">
        <v>118</v>
      </c>
      <c r="R192">
        <v>109</v>
      </c>
      <c r="S192">
        <v>101</v>
      </c>
      <c r="T192">
        <v>123</v>
      </c>
      <c r="U192">
        <v>98</v>
      </c>
      <c r="V192">
        <v>110</v>
      </c>
      <c r="W192">
        <v>125</v>
      </c>
      <c r="X192">
        <v>71</v>
      </c>
      <c r="Y192">
        <v>61</v>
      </c>
      <c r="Z192">
        <v>58</v>
      </c>
      <c r="AA192">
        <v>71</v>
      </c>
      <c r="AB192">
        <v>58</v>
      </c>
      <c r="AC192">
        <v>70</v>
      </c>
      <c r="AD192">
        <v>43</v>
      </c>
      <c r="AE192">
        <v>62</v>
      </c>
      <c r="AF192">
        <v>74</v>
      </c>
      <c r="AG192">
        <v>84</v>
      </c>
      <c r="AH192">
        <v>109</v>
      </c>
      <c r="AI192">
        <v>95</v>
      </c>
      <c r="AJ192">
        <v>89</v>
      </c>
      <c r="AK192">
        <v>108</v>
      </c>
      <c r="AL192">
        <v>80</v>
      </c>
      <c r="AM192">
        <v>113</v>
      </c>
      <c r="AN192">
        <v>113</v>
      </c>
      <c r="AO192">
        <v>85</v>
      </c>
      <c r="AP192">
        <v>115</v>
      </c>
      <c r="AQ192">
        <v>3257</v>
      </c>
      <c r="AR192">
        <v>0.61406202026404666</v>
      </c>
      <c r="AS192">
        <f t="shared" si="10"/>
        <v>0.17898317215834347</v>
      </c>
      <c r="AT192">
        <f t="shared" si="11"/>
        <v>1.4390247041530815E-2</v>
      </c>
      <c r="AU192">
        <f t="shared" si="12"/>
        <v>1.4390247041530815</v>
      </c>
      <c r="AV192">
        <f t="shared" si="13"/>
        <v>3</v>
      </c>
      <c r="AW192">
        <f t="shared" si="14"/>
        <v>9.3923170846247697E-2</v>
      </c>
    </row>
    <row r="193" spans="1:49" x14ac:dyDescent="0.3">
      <c r="A193" t="s">
        <v>253</v>
      </c>
      <c r="B193" t="s">
        <v>36</v>
      </c>
      <c r="C193">
        <v>1</v>
      </c>
      <c r="D193" t="s">
        <v>12</v>
      </c>
      <c r="E193">
        <v>30</v>
      </c>
      <c r="F193">
        <v>29</v>
      </c>
      <c r="G193">
        <v>27</v>
      </c>
      <c r="H193">
        <v>25</v>
      </c>
      <c r="I193">
        <v>27</v>
      </c>
      <c r="J193">
        <v>26</v>
      </c>
      <c r="K193">
        <v>34</v>
      </c>
      <c r="L193">
        <v>28</v>
      </c>
      <c r="M193">
        <v>45</v>
      </c>
      <c r="N193">
        <v>41</v>
      </c>
      <c r="O193">
        <v>50</v>
      </c>
      <c r="P193">
        <v>47</v>
      </c>
      <c r="Q193">
        <v>50</v>
      </c>
      <c r="R193">
        <v>75</v>
      </c>
      <c r="S193">
        <v>55</v>
      </c>
      <c r="T193">
        <v>73</v>
      </c>
      <c r="U193">
        <v>56</v>
      </c>
      <c r="V193">
        <v>72</v>
      </c>
      <c r="W193">
        <v>104</v>
      </c>
      <c r="X193">
        <v>30</v>
      </c>
      <c r="Y193">
        <v>35</v>
      </c>
      <c r="Z193">
        <v>24</v>
      </c>
      <c r="AA193">
        <v>24</v>
      </c>
      <c r="AB193">
        <v>23</v>
      </c>
      <c r="AC193">
        <v>29</v>
      </c>
      <c r="AD193">
        <v>19</v>
      </c>
      <c r="AE193">
        <v>32</v>
      </c>
      <c r="AF193">
        <v>36</v>
      </c>
      <c r="AG193">
        <v>43</v>
      </c>
      <c r="AH193">
        <v>62</v>
      </c>
      <c r="AI193">
        <v>53</v>
      </c>
      <c r="AJ193">
        <v>47</v>
      </c>
      <c r="AK193">
        <v>55</v>
      </c>
      <c r="AL193">
        <v>76</v>
      </c>
      <c r="AM193">
        <v>73</v>
      </c>
      <c r="AN193">
        <v>56</v>
      </c>
      <c r="AO193">
        <v>65</v>
      </c>
      <c r="AP193">
        <v>78</v>
      </c>
      <c r="AQ193">
        <v>1754</v>
      </c>
      <c r="AR193">
        <v>0.5701254275940707</v>
      </c>
      <c r="AS193">
        <f t="shared" si="10"/>
        <v>0.16386430392017295</v>
      </c>
      <c r="AT193">
        <f t="shared" si="11"/>
        <v>1.3174690035181905E-2</v>
      </c>
      <c r="AU193">
        <f t="shared" si="12"/>
        <v>1.3174690035181906</v>
      </c>
      <c r="AV193">
        <f t="shared" si="13"/>
        <v>3</v>
      </c>
      <c r="AW193">
        <f t="shared" si="14"/>
        <v>9.3923170846247697E-2</v>
      </c>
    </row>
    <row r="194" spans="1:49" x14ac:dyDescent="0.3">
      <c r="A194" t="s">
        <v>254</v>
      </c>
      <c r="B194" t="s">
        <v>77</v>
      </c>
      <c r="C194">
        <v>1</v>
      </c>
      <c r="D194" t="s">
        <v>24</v>
      </c>
      <c r="E194">
        <v>73</v>
      </c>
      <c r="F194">
        <v>65</v>
      </c>
      <c r="G194">
        <v>55</v>
      </c>
      <c r="H194">
        <v>79</v>
      </c>
      <c r="I194">
        <v>63</v>
      </c>
      <c r="J194">
        <v>49</v>
      </c>
      <c r="K194">
        <v>58</v>
      </c>
      <c r="L194">
        <v>56</v>
      </c>
      <c r="M194">
        <v>66</v>
      </c>
      <c r="N194">
        <v>45</v>
      </c>
      <c r="O194">
        <v>65</v>
      </c>
      <c r="P194">
        <v>56</v>
      </c>
      <c r="Q194">
        <v>50</v>
      </c>
      <c r="R194">
        <v>56</v>
      </c>
      <c r="S194">
        <v>66</v>
      </c>
      <c r="T194">
        <v>72</v>
      </c>
      <c r="U194">
        <v>62</v>
      </c>
      <c r="V194">
        <v>70</v>
      </c>
      <c r="W194">
        <v>76</v>
      </c>
      <c r="X194">
        <v>63</v>
      </c>
      <c r="Y194">
        <v>77</v>
      </c>
      <c r="Z194">
        <v>60</v>
      </c>
      <c r="AA194">
        <v>54</v>
      </c>
      <c r="AB194">
        <v>76</v>
      </c>
      <c r="AC194">
        <v>71</v>
      </c>
      <c r="AD194">
        <v>56</v>
      </c>
      <c r="AE194">
        <v>69</v>
      </c>
      <c r="AF194">
        <v>49</v>
      </c>
      <c r="AG194">
        <v>58</v>
      </c>
      <c r="AH194">
        <v>59</v>
      </c>
      <c r="AI194">
        <v>53</v>
      </c>
      <c r="AJ194">
        <v>58</v>
      </c>
      <c r="AK194">
        <v>59</v>
      </c>
      <c r="AL194">
        <v>61</v>
      </c>
      <c r="AM194">
        <v>64</v>
      </c>
      <c r="AN194">
        <v>49</v>
      </c>
      <c r="AO194">
        <v>62</v>
      </c>
      <c r="AP194">
        <v>69</v>
      </c>
      <c r="AQ194">
        <v>2349</v>
      </c>
      <c r="AR194">
        <v>0.42571306939123033</v>
      </c>
      <c r="AS194">
        <f t="shared" si="10"/>
        <v>0.11417106912538152</v>
      </c>
      <c r="AT194">
        <f t="shared" si="11"/>
        <v>9.1793539576806738E-3</v>
      </c>
      <c r="AU194">
        <f t="shared" si="12"/>
        <v>0.91793539576806737</v>
      </c>
      <c r="AV194">
        <f t="shared" si="13"/>
        <v>3</v>
      </c>
      <c r="AW194">
        <f t="shared" si="14"/>
        <v>9.3923170846247697E-2</v>
      </c>
    </row>
    <row r="195" spans="1:49" x14ac:dyDescent="0.3">
      <c r="A195" t="s">
        <v>255</v>
      </c>
      <c r="B195" t="s">
        <v>132</v>
      </c>
      <c r="C195">
        <v>1</v>
      </c>
      <c r="D195" t="s">
        <v>12</v>
      </c>
      <c r="E195">
        <v>38</v>
      </c>
      <c r="F195">
        <v>18</v>
      </c>
      <c r="G195">
        <v>30</v>
      </c>
      <c r="H195">
        <v>25</v>
      </c>
      <c r="I195">
        <v>22</v>
      </c>
      <c r="J195">
        <v>21</v>
      </c>
      <c r="K195">
        <v>27</v>
      </c>
      <c r="L195">
        <v>20</v>
      </c>
      <c r="M195">
        <v>30</v>
      </c>
      <c r="N195">
        <v>24</v>
      </c>
      <c r="O195">
        <v>28</v>
      </c>
      <c r="P195">
        <v>39</v>
      </c>
      <c r="Q195">
        <v>32</v>
      </c>
      <c r="R195">
        <v>41</v>
      </c>
      <c r="S195">
        <v>39</v>
      </c>
      <c r="T195">
        <v>40</v>
      </c>
      <c r="U195">
        <v>26</v>
      </c>
      <c r="V195">
        <v>40</v>
      </c>
      <c r="W195">
        <v>60</v>
      </c>
      <c r="X195">
        <v>28</v>
      </c>
      <c r="Y195">
        <v>20</v>
      </c>
      <c r="Z195">
        <v>25</v>
      </c>
      <c r="AA195">
        <v>18</v>
      </c>
      <c r="AB195">
        <v>13</v>
      </c>
      <c r="AC195">
        <v>23</v>
      </c>
      <c r="AD195">
        <v>19</v>
      </c>
      <c r="AE195">
        <v>19</v>
      </c>
      <c r="AF195">
        <v>29</v>
      </c>
      <c r="AG195">
        <v>32</v>
      </c>
      <c r="AH195">
        <v>43</v>
      </c>
      <c r="AI195">
        <v>32</v>
      </c>
      <c r="AJ195">
        <v>30</v>
      </c>
      <c r="AK195">
        <v>26</v>
      </c>
      <c r="AL195">
        <v>31</v>
      </c>
      <c r="AM195">
        <v>42</v>
      </c>
      <c r="AN195">
        <v>15</v>
      </c>
      <c r="AO195">
        <v>36</v>
      </c>
      <c r="AP195">
        <v>51</v>
      </c>
      <c r="AQ195">
        <v>1132</v>
      </c>
      <c r="AR195">
        <v>0.88339222614840984</v>
      </c>
      <c r="AS195">
        <f t="shared" ref="AS195:AS258" si="15">(AR195-AW195)/(AV195-AW195)</f>
        <v>0.27166145346957499</v>
      </c>
      <c r="AT195">
        <f t="shared" ref="AT195:AT258" si="16">AS195*0.0804</f>
        <v>2.1841580858953828E-2</v>
      </c>
      <c r="AU195">
        <f t="shared" ref="AU195:AU258" si="17">AT195*100</f>
        <v>2.1841580858953829</v>
      </c>
      <c r="AV195">
        <f t="shared" ref="AV195:AV258" si="18">MAX(AR:AR)</f>
        <v>3</v>
      </c>
      <c r="AW195">
        <f t="shared" ref="AW195:AW258" si="19">MIN(AR:AR)</f>
        <v>9.3923170846247697E-2</v>
      </c>
    </row>
    <row r="196" spans="1:49" x14ac:dyDescent="0.3">
      <c r="A196" t="s">
        <v>256</v>
      </c>
      <c r="B196" t="s">
        <v>132</v>
      </c>
      <c r="C196">
        <v>1</v>
      </c>
      <c r="D196" t="s">
        <v>12</v>
      </c>
      <c r="E196">
        <v>100</v>
      </c>
      <c r="F196">
        <v>79</v>
      </c>
      <c r="G196">
        <v>69</v>
      </c>
      <c r="H196">
        <v>66</v>
      </c>
      <c r="I196">
        <v>50</v>
      </c>
      <c r="J196">
        <v>56</v>
      </c>
      <c r="K196">
        <v>81</v>
      </c>
      <c r="L196">
        <v>80</v>
      </c>
      <c r="M196">
        <v>85</v>
      </c>
      <c r="N196">
        <v>94</v>
      </c>
      <c r="O196">
        <v>96</v>
      </c>
      <c r="P196">
        <v>95</v>
      </c>
      <c r="Q196">
        <v>99</v>
      </c>
      <c r="R196">
        <v>82</v>
      </c>
      <c r="S196">
        <v>82</v>
      </c>
      <c r="T196">
        <v>96</v>
      </c>
      <c r="U196">
        <v>93</v>
      </c>
      <c r="V196">
        <v>90</v>
      </c>
      <c r="W196">
        <v>130</v>
      </c>
      <c r="X196">
        <v>88</v>
      </c>
      <c r="Y196">
        <v>74</v>
      </c>
      <c r="Z196">
        <v>69</v>
      </c>
      <c r="AA196">
        <v>56</v>
      </c>
      <c r="AB196">
        <v>64</v>
      </c>
      <c r="AC196">
        <v>65</v>
      </c>
      <c r="AD196">
        <v>69</v>
      </c>
      <c r="AE196">
        <v>66</v>
      </c>
      <c r="AF196">
        <v>77</v>
      </c>
      <c r="AG196">
        <v>75</v>
      </c>
      <c r="AH196">
        <v>81</v>
      </c>
      <c r="AI196">
        <v>88</v>
      </c>
      <c r="AJ196">
        <v>64</v>
      </c>
      <c r="AK196">
        <v>76</v>
      </c>
      <c r="AL196">
        <v>68</v>
      </c>
      <c r="AM196">
        <v>51</v>
      </c>
      <c r="AN196">
        <v>77</v>
      </c>
      <c r="AO196">
        <v>67</v>
      </c>
      <c r="AP196">
        <v>96</v>
      </c>
      <c r="AQ196">
        <v>2994</v>
      </c>
      <c r="AR196">
        <v>0.33400133600534399</v>
      </c>
      <c r="AS196">
        <f t="shared" si="15"/>
        <v>8.2612463218670953E-2</v>
      </c>
      <c r="AT196">
        <f t="shared" si="16"/>
        <v>6.6420420427811449E-3</v>
      </c>
      <c r="AU196">
        <f t="shared" si="17"/>
        <v>0.66420420427811444</v>
      </c>
      <c r="AV196">
        <f t="shared" si="18"/>
        <v>3</v>
      </c>
      <c r="AW196">
        <f t="shared" si="19"/>
        <v>9.3923170846247697E-2</v>
      </c>
    </row>
    <row r="197" spans="1:49" x14ac:dyDescent="0.3">
      <c r="A197" t="s">
        <v>257</v>
      </c>
      <c r="B197" t="s">
        <v>132</v>
      </c>
      <c r="C197">
        <v>1</v>
      </c>
      <c r="D197" t="s">
        <v>12</v>
      </c>
      <c r="E197">
        <v>25</v>
      </c>
      <c r="F197">
        <v>28</v>
      </c>
      <c r="G197">
        <v>22</v>
      </c>
      <c r="H197">
        <v>20</v>
      </c>
      <c r="I197">
        <v>22</v>
      </c>
      <c r="J197">
        <v>20</v>
      </c>
      <c r="K197">
        <v>26</v>
      </c>
      <c r="L197">
        <v>32</v>
      </c>
      <c r="M197">
        <v>14</v>
      </c>
      <c r="N197">
        <v>25</v>
      </c>
      <c r="O197">
        <v>33</v>
      </c>
      <c r="P197">
        <v>23</v>
      </c>
      <c r="Q197">
        <v>21</v>
      </c>
      <c r="R197">
        <v>41</v>
      </c>
      <c r="S197">
        <v>30</v>
      </c>
      <c r="T197">
        <v>37</v>
      </c>
      <c r="U197">
        <v>27</v>
      </c>
      <c r="V197">
        <v>34</v>
      </c>
      <c r="W197">
        <v>39</v>
      </c>
      <c r="X197">
        <v>29</v>
      </c>
      <c r="Y197">
        <v>16</v>
      </c>
      <c r="Z197">
        <v>27</v>
      </c>
      <c r="AA197">
        <v>20</v>
      </c>
      <c r="AB197">
        <v>19</v>
      </c>
      <c r="AC197">
        <v>22</v>
      </c>
      <c r="AD197">
        <v>14</v>
      </c>
      <c r="AE197">
        <v>24</v>
      </c>
      <c r="AF197">
        <v>19</v>
      </c>
      <c r="AG197">
        <v>22</v>
      </c>
      <c r="AH197">
        <v>32</v>
      </c>
      <c r="AI197">
        <v>30</v>
      </c>
      <c r="AJ197">
        <v>20</v>
      </c>
      <c r="AK197">
        <v>27</v>
      </c>
      <c r="AL197">
        <v>22</v>
      </c>
      <c r="AM197">
        <v>24</v>
      </c>
      <c r="AN197">
        <v>29</v>
      </c>
      <c r="AO197">
        <v>37</v>
      </c>
      <c r="AP197">
        <v>41</v>
      </c>
      <c r="AQ197">
        <v>993</v>
      </c>
      <c r="AR197">
        <v>1.0070493454179259</v>
      </c>
      <c r="AS197">
        <f t="shared" si="15"/>
        <v>0.31421267511278422</v>
      </c>
      <c r="AT197">
        <f t="shared" si="16"/>
        <v>2.5262699079067853E-2</v>
      </c>
      <c r="AU197">
        <f t="shared" si="17"/>
        <v>2.5262699079067854</v>
      </c>
      <c r="AV197">
        <f t="shared" si="18"/>
        <v>3</v>
      </c>
      <c r="AW197">
        <f t="shared" si="19"/>
        <v>9.3923170846247697E-2</v>
      </c>
    </row>
    <row r="198" spans="1:49" x14ac:dyDescent="0.3">
      <c r="A198" t="s">
        <v>258</v>
      </c>
      <c r="B198" t="s">
        <v>132</v>
      </c>
      <c r="C198">
        <v>1</v>
      </c>
      <c r="D198" t="s">
        <v>12</v>
      </c>
      <c r="E198">
        <v>63</v>
      </c>
      <c r="F198">
        <v>44</v>
      </c>
      <c r="G198">
        <v>44</v>
      </c>
      <c r="H198">
        <v>38</v>
      </c>
      <c r="I198">
        <v>22</v>
      </c>
      <c r="J198">
        <v>41</v>
      </c>
      <c r="K198">
        <v>24</v>
      </c>
      <c r="L198">
        <v>39</v>
      </c>
      <c r="M198">
        <v>32</v>
      </c>
      <c r="N198">
        <v>41</v>
      </c>
      <c r="O198">
        <v>39</v>
      </c>
      <c r="P198">
        <v>41</v>
      </c>
      <c r="Q198">
        <v>39</v>
      </c>
      <c r="R198">
        <v>32</v>
      </c>
      <c r="S198">
        <v>40</v>
      </c>
      <c r="T198">
        <v>55</v>
      </c>
      <c r="U198">
        <v>43</v>
      </c>
      <c r="V198">
        <v>60</v>
      </c>
      <c r="W198">
        <v>55</v>
      </c>
      <c r="X198">
        <v>51</v>
      </c>
      <c r="Y198">
        <v>43</v>
      </c>
      <c r="Z198">
        <v>38</v>
      </c>
      <c r="AA198">
        <v>42</v>
      </c>
      <c r="AB198">
        <v>38</v>
      </c>
      <c r="AC198">
        <v>27</v>
      </c>
      <c r="AD198">
        <v>30</v>
      </c>
      <c r="AE198">
        <v>32</v>
      </c>
      <c r="AF198">
        <v>30</v>
      </c>
      <c r="AG198">
        <v>37</v>
      </c>
      <c r="AH198">
        <v>35</v>
      </c>
      <c r="AI198">
        <v>46</v>
      </c>
      <c r="AJ198">
        <v>31</v>
      </c>
      <c r="AK198">
        <v>33</v>
      </c>
      <c r="AL198">
        <v>46</v>
      </c>
      <c r="AM198">
        <v>50</v>
      </c>
      <c r="AN198">
        <v>30</v>
      </c>
      <c r="AO198">
        <v>51</v>
      </c>
      <c r="AP198">
        <v>39</v>
      </c>
      <c r="AQ198">
        <v>1521</v>
      </c>
      <c r="AR198">
        <v>0.65746219592373445</v>
      </c>
      <c r="AS198">
        <f t="shared" si="15"/>
        <v>0.19391745580297989</v>
      </c>
      <c r="AT198">
        <f t="shared" si="16"/>
        <v>1.5590963446559584E-2</v>
      </c>
      <c r="AU198">
        <f t="shared" si="17"/>
        <v>1.5590963446559585</v>
      </c>
      <c r="AV198">
        <f t="shared" si="18"/>
        <v>3</v>
      </c>
      <c r="AW198">
        <f t="shared" si="19"/>
        <v>9.3923170846247697E-2</v>
      </c>
    </row>
    <row r="199" spans="1:49" x14ac:dyDescent="0.3">
      <c r="A199" t="s">
        <v>259</v>
      </c>
      <c r="B199" t="s">
        <v>91</v>
      </c>
      <c r="C199">
        <v>3</v>
      </c>
      <c r="D199" t="s">
        <v>24</v>
      </c>
      <c r="E199">
        <v>30</v>
      </c>
      <c r="F199">
        <v>41</v>
      </c>
      <c r="G199">
        <v>40</v>
      </c>
      <c r="H199">
        <v>48</v>
      </c>
      <c r="I199">
        <v>50</v>
      </c>
      <c r="J199">
        <v>46</v>
      </c>
      <c r="K199">
        <v>38</v>
      </c>
      <c r="L199">
        <v>57</v>
      </c>
      <c r="M199">
        <v>58</v>
      </c>
      <c r="N199">
        <v>62</v>
      </c>
      <c r="O199">
        <v>76</v>
      </c>
      <c r="P199">
        <v>70</v>
      </c>
      <c r="Q199">
        <v>91</v>
      </c>
      <c r="R199">
        <v>107</v>
      </c>
      <c r="S199">
        <v>90</v>
      </c>
      <c r="T199">
        <v>109</v>
      </c>
      <c r="U199">
        <v>104</v>
      </c>
      <c r="V199">
        <v>96</v>
      </c>
      <c r="W199">
        <v>106</v>
      </c>
      <c r="X199">
        <v>37</v>
      </c>
      <c r="Y199">
        <v>43</v>
      </c>
      <c r="Z199">
        <v>26</v>
      </c>
      <c r="AA199">
        <v>45</v>
      </c>
      <c r="AB199">
        <v>32</v>
      </c>
      <c r="AC199">
        <v>35</v>
      </c>
      <c r="AD199">
        <v>47</v>
      </c>
      <c r="AE199">
        <v>48</v>
      </c>
      <c r="AF199">
        <v>51</v>
      </c>
      <c r="AG199">
        <v>54</v>
      </c>
      <c r="AH199">
        <v>73</v>
      </c>
      <c r="AI199">
        <v>76</v>
      </c>
      <c r="AJ199">
        <v>68</v>
      </c>
      <c r="AK199">
        <v>96</v>
      </c>
      <c r="AL199">
        <v>94</v>
      </c>
      <c r="AM199">
        <v>84</v>
      </c>
      <c r="AN199">
        <v>95</v>
      </c>
      <c r="AO199">
        <v>109</v>
      </c>
      <c r="AP199">
        <v>106</v>
      </c>
      <c r="AQ199">
        <v>2538</v>
      </c>
      <c r="AR199">
        <v>1.1820330969267141</v>
      </c>
      <c r="AS199">
        <f t="shared" si="15"/>
        <v>0.37442572583234945</v>
      </c>
      <c r="AT199">
        <f t="shared" si="16"/>
        <v>3.0103828356920895E-2</v>
      </c>
      <c r="AU199">
        <f t="shared" si="17"/>
        <v>3.0103828356920896</v>
      </c>
      <c r="AV199">
        <f t="shared" si="18"/>
        <v>3</v>
      </c>
      <c r="AW199">
        <f t="shared" si="19"/>
        <v>9.3923170846247697E-2</v>
      </c>
    </row>
    <row r="200" spans="1:49" x14ac:dyDescent="0.3">
      <c r="A200" t="s">
        <v>260</v>
      </c>
      <c r="B200" t="s">
        <v>33</v>
      </c>
      <c r="C200">
        <v>1</v>
      </c>
      <c r="D200" t="s">
        <v>17</v>
      </c>
      <c r="E200">
        <v>61</v>
      </c>
      <c r="F200">
        <v>75</v>
      </c>
      <c r="G200">
        <v>64</v>
      </c>
      <c r="H200">
        <v>65</v>
      </c>
      <c r="I200">
        <v>53</v>
      </c>
      <c r="J200">
        <v>67</v>
      </c>
      <c r="K200">
        <v>66</v>
      </c>
      <c r="L200">
        <v>56</v>
      </c>
      <c r="M200">
        <v>56</v>
      </c>
      <c r="N200">
        <v>53</v>
      </c>
      <c r="O200">
        <v>53</v>
      </c>
      <c r="P200">
        <v>47</v>
      </c>
      <c r="Q200">
        <v>52</v>
      </c>
      <c r="R200">
        <v>51</v>
      </c>
      <c r="S200">
        <v>56</v>
      </c>
      <c r="T200">
        <v>54</v>
      </c>
      <c r="U200">
        <v>56</v>
      </c>
      <c r="V200">
        <v>62</v>
      </c>
      <c r="W200">
        <v>79</v>
      </c>
      <c r="X200">
        <v>55</v>
      </c>
      <c r="Y200">
        <v>57</v>
      </c>
      <c r="Z200">
        <v>41</v>
      </c>
      <c r="AA200">
        <v>65</v>
      </c>
      <c r="AB200">
        <v>52</v>
      </c>
      <c r="AC200">
        <v>51</v>
      </c>
      <c r="AD200">
        <v>50</v>
      </c>
      <c r="AE200">
        <v>54</v>
      </c>
      <c r="AF200">
        <v>60</v>
      </c>
      <c r="AG200">
        <v>51</v>
      </c>
      <c r="AH200">
        <v>54</v>
      </c>
      <c r="AI200">
        <v>43</v>
      </c>
      <c r="AJ200">
        <v>50</v>
      </c>
      <c r="AK200">
        <v>38</v>
      </c>
      <c r="AL200">
        <v>42</v>
      </c>
      <c r="AM200">
        <v>52</v>
      </c>
      <c r="AN200">
        <v>62</v>
      </c>
      <c r="AO200">
        <v>52</v>
      </c>
      <c r="AP200">
        <v>60</v>
      </c>
      <c r="AQ200">
        <v>2115</v>
      </c>
      <c r="AR200">
        <v>0.47281323877068548</v>
      </c>
      <c r="AS200">
        <f t="shared" si="15"/>
        <v>0.13037854475264177</v>
      </c>
      <c r="AT200">
        <f t="shared" si="16"/>
        <v>1.0482434998112399E-2</v>
      </c>
      <c r="AU200">
        <f t="shared" si="17"/>
        <v>1.04824349981124</v>
      </c>
      <c r="AV200">
        <f t="shared" si="18"/>
        <v>3</v>
      </c>
      <c r="AW200">
        <f t="shared" si="19"/>
        <v>9.3923170846247697E-2</v>
      </c>
    </row>
    <row r="201" spans="1:49" x14ac:dyDescent="0.3">
      <c r="A201" t="s">
        <v>261</v>
      </c>
      <c r="B201" t="s">
        <v>33</v>
      </c>
      <c r="C201">
        <v>1</v>
      </c>
      <c r="D201" t="s">
        <v>17</v>
      </c>
      <c r="E201">
        <v>31</v>
      </c>
      <c r="F201">
        <v>31</v>
      </c>
      <c r="G201">
        <v>19</v>
      </c>
      <c r="H201">
        <v>29</v>
      </c>
      <c r="I201">
        <v>23</v>
      </c>
      <c r="J201">
        <v>24</v>
      </c>
      <c r="K201">
        <v>46</v>
      </c>
      <c r="L201">
        <v>42</v>
      </c>
      <c r="M201">
        <v>34</v>
      </c>
      <c r="N201">
        <v>61</v>
      </c>
      <c r="O201">
        <v>61</v>
      </c>
      <c r="P201">
        <v>59</v>
      </c>
      <c r="Q201">
        <v>76</v>
      </c>
      <c r="R201">
        <v>76</v>
      </c>
      <c r="S201">
        <v>78</v>
      </c>
      <c r="T201">
        <v>92</v>
      </c>
      <c r="U201">
        <v>86</v>
      </c>
      <c r="V201">
        <v>80</v>
      </c>
      <c r="W201">
        <v>76</v>
      </c>
      <c r="X201">
        <v>26</v>
      </c>
      <c r="Y201">
        <v>33</v>
      </c>
      <c r="Z201">
        <v>24</v>
      </c>
      <c r="AA201">
        <v>22</v>
      </c>
      <c r="AB201">
        <v>29</v>
      </c>
      <c r="AC201">
        <v>27</v>
      </c>
      <c r="AD201">
        <v>49</v>
      </c>
      <c r="AE201">
        <v>37</v>
      </c>
      <c r="AF201">
        <v>49</v>
      </c>
      <c r="AG201">
        <v>50</v>
      </c>
      <c r="AH201">
        <v>54</v>
      </c>
      <c r="AI201">
        <v>51</v>
      </c>
      <c r="AJ201">
        <v>63</v>
      </c>
      <c r="AK201">
        <v>79</v>
      </c>
      <c r="AL201">
        <v>61</v>
      </c>
      <c r="AM201">
        <v>75</v>
      </c>
      <c r="AN201">
        <v>66</v>
      </c>
      <c r="AO201">
        <v>93</v>
      </c>
      <c r="AP201">
        <v>102</v>
      </c>
      <c r="AQ201">
        <v>2014</v>
      </c>
      <c r="AR201">
        <v>0.49652432969215488</v>
      </c>
      <c r="AS201">
        <f t="shared" si="15"/>
        <v>0.1385376858612318</v>
      </c>
      <c r="AT201">
        <f t="shared" si="16"/>
        <v>1.1138429943243038E-2</v>
      </c>
      <c r="AU201">
        <f t="shared" si="17"/>
        <v>1.1138429943243038</v>
      </c>
      <c r="AV201">
        <f t="shared" si="18"/>
        <v>3</v>
      </c>
      <c r="AW201">
        <f t="shared" si="19"/>
        <v>9.3923170846247697E-2</v>
      </c>
    </row>
    <row r="202" spans="1:49" x14ac:dyDescent="0.3">
      <c r="A202" t="s">
        <v>262</v>
      </c>
      <c r="B202" t="s">
        <v>33</v>
      </c>
      <c r="C202">
        <v>1</v>
      </c>
      <c r="D202" t="s">
        <v>17</v>
      </c>
      <c r="E202">
        <v>27</v>
      </c>
      <c r="F202">
        <v>21</v>
      </c>
      <c r="G202">
        <v>34</v>
      </c>
      <c r="H202">
        <v>30</v>
      </c>
      <c r="I202">
        <v>33</v>
      </c>
      <c r="J202">
        <v>34</v>
      </c>
      <c r="K202">
        <v>37</v>
      </c>
      <c r="L202">
        <v>47</v>
      </c>
      <c r="M202">
        <v>52</v>
      </c>
      <c r="N202">
        <v>56</v>
      </c>
      <c r="O202">
        <v>69</v>
      </c>
      <c r="P202">
        <v>53</v>
      </c>
      <c r="Q202">
        <v>72</v>
      </c>
      <c r="R202">
        <v>68</v>
      </c>
      <c r="S202">
        <v>90</v>
      </c>
      <c r="T202">
        <v>91</v>
      </c>
      <c r="U202">
        <v>66</v>
      </c>
      <c r="V202">
        <v>90</v>
      </c>
      <c r="W202">
        <v>79</v>
      </c>
      <c r="X202">
        <v>26</v>
      </c>
      <c r="Y202">
        <v>27</v>
      </c>
      <c r="Z202">
        <v>33</v>
      </c>
      <c r="AA202">
        <v>21</v>
      </c>
      <c r="AB202">
        <v>29</v>
      </c>
      <c r="AC202">
        <v>28</v>
      </c>
      <c r="AD202">
        <v>41</v>
      </c>
      <c r="AE202">
        <v>39</v>
      </c>
      <c r="AF202">
        <v>49</v>
      </c>
      <c r="AG202">
        <v>42</v>
      </c>
      <c r="AH202">
        <v>62</v>
      </c>
      <c r="AI202">
        <v>52</v>
      </c>
      <c r="AJ202">
        <v>65</v>
      </c>
      <c r="AK202">
        <v>75</v>
      </c>
      <c r="AL202">
        <v>75</v>
      </c>
      <c r="AM202">
        <v>65</v>
      </c>
      <c r="AN202">
        <v>76</v>
      </c>
      <c r="AO202">
        <v>81</v>
      </c>
      <c r="AP202">
        <v>77</v>
      </c>
      <c r="AQ202">
        <v>2012</v>
      </c>
      <c r="AR202">
        <v>0.4970178926441351</v>
      </c>
      <c r="AS202">
        <f t="shared" si="15"/>
        <v>0.1387075240936656</v>
      </c>
      <c r="AT202">
        <f t="shared" si="16"/>
        <v>1.1152084937130715E-2</v>
      </c>
      <c r="AU202">
        <f t="shared" si="17"/>
        <v>1.1152084937130715</v>
      </c>
      <c r="AV202">
        <f t="shared" si="18"/>
        <v>3</v>
      </c>
      <c r="AW202">
        <f t="shared" si="19"/>
        <v>9.3923170846247697E-2</v>
      </c>
    </row>
    <row r="203" spans="1:49" x14ac:dyDescent="0.3">
      <c r="A203" t="s">
        <v>263</v>
      </c>
      <c r="B203" t="s">
        <v>33</v>
      </c>
      <c r="C203">
        <v>2</v>
      </c>
      <c r="D203" t="s">
        <v>17</v>
      </c>
      <c r="E203">
        <v>77</v>
      </c>
      <c r="F203">
        <v>73</v>
      </c>
      <c r="G203">
        <v>72</v>
      </c>
      <c r="H203">
        <v>64</v>
      </c>
      <c r="I203">
        <v>78</v>
      </c>
      <c r="J203">
        <v>71</v>
      </c>
      <c r="K203">
        <v>66</v>
      </c>
      <c r="L203">
        <v>69</v>
      </c>
      <c r="M203">
        <v>118</v>
      </c>
      <c r="N203">
        <v>112</v>
      </c>
      <c r="O203">
        <v>114</v>
      </c>
      <c r="P203">
        <v>134</v>
      </c>
      <c r="Q203">
        <v>126</v>
      </c>
      <c r="R203">
        <v>147</v>
      </c>
      <c r="S203">
        <v>149</v>
      </c>
      <c r="T203">
        <v>144</v>
      </c>
      <c r="U203">
        <v>145</v>
      </c>
      <c r="V203">
        <v>166</v>
      </c>
      <c r="W203">
        <v>165</v>
      </c>
      <c r="X203">
        <v>58</v>
      </c>
      <c r="Y203">
        <v>63</v>
      </c>
      <c r="Z203">
        <v>45</v>
      </c>
      <c r="AA203">
        <v>54</v>
      </c>
      <c r="AB203">
        <v>62</v>
      </c>
      <c r="AC203">
        <v>63</v>
      </c>
      <c r="AD203">
        <v>66</v>
      </c>
      <c r="AE203">
        <v>68</v>
      </c>
      <c r="AF203">
        <v>78</v>
      </c>
      <c r="AG203">
        <v>99</v>
      </c>
      <c r="AH203">
        <v>115</v>
      </c>
      <c r="AI203">
        <v>118</v>
      </c>
      <c r="AJ203">
        <v>121</v>
      </c>
      <c r="AK203">
        <v>125</v>
      </c>
      <c r="AL203">
        <v>139</v>
      </c>
      <c r="AM203">
        <v>168</v>
      </c>
      <c r="AN203">
        <v>149</v>
      </c>
      <c r="AO203">
        <v>150</v>
      </c>
      <c r="AP203">
        <v>164</v>
      </c>
      <c r="AQ203">
        <v>3995</v>
      </c>
      <c r="AR203">
        <v>0.50062578222778475</v>
      </c>
      <c r="AS203">
        <f t="shared" si="15"/>
        <v>0.1399490224420421</v>
      </c>
      <c r="AT203">
        <f t="shared" si="16"/>
        <v>1.1251901404340185E-2</v>
      </c>
      <c r="AU203">
        <f t="shared" si="17"/>
        <v>1.1251901404340185</v>
      </c>
      <c r="AV203">
        <f t="shared" si="18"/>
        <v>3</v>
      </c>
      <c r="AW203">
        <f t="shared" si="19"/>
        <v>9.3923170846247697E-2</v>
      </c>
    </row>
    <row r="204" spans="1:49" x14ac:dyDescent="0.3">
      <c r="A204" t="s">
        <v>264</v>
      </c>
      <c r="B204" t="s">
        <v>121</v>
      </c>
      <c r="C204">
        <v>1</v>
      </c>
      <c r="D204" t="s">
        <v>12</v>
      </c>
      <c r="E204">
        <v>26</v>
      </c>
      <c r="F204">
        <v>34</v>
      </c>
      <c r="G204">
        <v>26</v>
      </c>
      <c r="H204">
        <v>31</v>
      </c>
      <c r="I204">
        <v>26</v>
      </c>
      <c r="J204">
        <v>28</v>
      </c>
      <c r="K204">
        <v>43</v>
      </c>
      <c r="L204">
        <v>34</v>
      </c>
      <c r="M204">
        <v>42</v>
      </c>
      <c r="N204">
        <v>51</v>
      </c>
      <c r="O204">
        <v>57</v>
      </c>
      <c r="P204">
        <v>45</v>
      </c>
      <c r="Q204">
        <v>44</v>
      </c>
      <c r="R204">
        <v>70</v>
      </c>
      <c r="S204">
        <v>69</v>
      </c>
      <c r="T204">
        <v>70</v>
      </c>
      <c r="U204">
        <v>66</v>
      </c>
      <c r="V204">
        <v>93</v>
      </c>
      <c r="W204">
        <v>90</v>
      </c>
      <c r="X204">
        <v>29</v>
      </c>
      <c r="Y204">
        <v>26</v>
      </c>
      <c r="Z204">
        <v>24</v>
      </c>
      <c r="AA204">
        <v>26</v>
      </c>
      <c r="AB204">
        <v>36</v>
      </c>
      <c r="AC204">
        <v>32</v>
      </c>
      <c r="AD204">
        <v>36</v>
      </c>
      <c r="AE204">
        <v>37</v>
      </c>
      <c r="AF204">
        <v>35</v>
      </c>
      <c r="AG204">
        <v>48</v>
      </c>
      <c r="AH204">
        <v>56</v>
      </c>
      <c r="AI204">
        <v>64</v>
      </c>
      <c r="AJ204">
        <v>43</v>
      </c>
      <c r="AK204">
        <v>65</v>
      </c>
      <c r="AL204">
        <v>76</v>
      </c>
      <c r="AM204">
        <v>75</v>
      </c>
      <c r="AN204">
        <v>83</v>
      </c>
      <c r="AO204">
        <v>71</v>
      </c>
      <c r="AP204">
        <v>102</v>
      </c>
      <c r="AQ204">
        <v>1909</v>
      </c>
      <c r="AR204">
        <v>0.52383446830801472</v>
      </c>
      <c r="AS204">
        <f t="shared" si="15"/>
        <v>0.1479352827664081</v>
      </c>
      <c r="AT204">
        <f t="shared" si="16"/>
        <v>1.1893996734419212E-2</v>
      </c>
      <c r="AU204">
        <f t="shared" si="17"/>
        <v>1.1893996734419212</v>
      </c>
      <c r="AV204">
        <f t="shared" si="18"/>
        <v>3</v>
      </c>
      <c r="AW204">
        <f t="shared" si="19"/>
        <v>9.3923170846247697E-2</v>
      </c>
    </row>
    <row r="205" spans="1:49" x14ac:dyDescent="0.3">
      <c r="A205" t="s">
        <v>265</v>
      </c>
      <c r="B205" t="s">
        <v>124</v>
      </c>
      <c r="C205">
        <v>1</v>
      </c>
      <c r="D205" t="s">
        <v>12</v>
      </c>
      <c r="E205">
        <v>39</v>
      </c>
      <c r="F205">
        <v>27</v>
      </c>
      <c r="G205">
        <v>35</v>
      </c>
      <c r="H205">
        <v>18</v>
      </c>
      <c r="I205">
        <v>34</v>
      </c>
      <c r="J205">
        <v>23</v>
      </c>
      <c r="K205">
        <v>36</v>
      </c>
      <c r="L205">
        <v>31</v>
      </c>
      <c r="M205">
        <v>34</v>
      </c>
      <c r="N205">
        <v>43</v>
      </c>
      <c r="O205">
        <v>44</v>
      </c>
      <c r="P205">
        <v>54</v>
      </c>
      <c r="Q205">
        <v>43</v>
      </c>
      <c r="R205">
        <v>58</v>
      </c>
      <c r="S205">
        <v>47</v>
      </c>
      <c r="T205">
        <v>58</v>
      </c>
      <c r="U205">
        <v>52</v>
      </c>
      <c r="V205">
        <v>72</v>
      </c>
      <c r="W205">
        <v>72</v>
      </c>
      <c r="X205">
        <v>38</v>
      </c>
      <c r="Y205">
        <v>24</v>
      </c>
      <c r="Z205">
        <v>24</v>
      </c>
      <c r="AA205">
        <v>21</v>
      </c>
      <c r="AB205">
        <v>28</v>
      </c>
      <c r="AC205">
        <v>30</v>
      </c>
      <c r="AD205">
        <v>27</v>
      </c>
      <c r="AE205">
        <v>25</v>
      </c>
      <c r="AF205">
        <v>26</v>
      </c>
      <c r="AG205">
        <v>28</v>
      </c>
      <c r="AH205">
        <v>44</v>
      </c>
      <c r="AI205">
        <v>53</v>
      </c>
      <c r="AJ205">
        <v>37</v>
      </c>
      <c r="AK205">
        <v>49</v>
      </c>
      <c r="AL205">
        <v>59</v>
      </c>
      <c r="AM205">
        <v>43</v>
      </c>
      <c r="AN205">
        <v>44</v>
      </c>
      <c r="AO205">
        <v>54</v>
      </c>
      <c r="AP205">
        <v>59</v>
      </c>
      <c r="AQ205">
        <v>1533</v>
      </c>
      <c r="AR205">
        <v>0.65231572080887146</v>
      </c>
      <c r="AS205">
        <f t="shared" si="15"/>
        <v>0.19214652013354627</v>
      </c>
      <c r="AT205">
        <f t="shared" si="16"/>
        <v>1.544858021873712E-2</v>
      </c>
      <c r="AU205">
        <f t="shared" si="17"/>
        <v>1.544858021873712</v>
      </c>
      <c r="AV205">
        <f t="shared" si="18"/>
        <v>3</v>
      </c>
      <c r="AW205">
        <f t="shared" si="19"/>
        <v>9.3923170846247697E-2</v>
      </c>
    </row>
    <row r="206" spans="1:49" x14ac:dyDescent="0.3">
      <c r="A206" t="s">
        <v>266</v>
      </c>
      <c r="B206" t="s">
        <v>237</v>
      </c>
      <c r="C206">
        <v>2</v>
      </c>
      <c r="D206" t="s">
        <v>12</v>
      </c>
      <c r="E206">
        <v>47</v>
      </c>
      <c r="F206">
        <v>49</v>
      </c>
      <c r="G206">
        <v>50</v>
      </c>
      <c r="H206">
        <v>36</v>
      </c>
      <c r="I206">
        <v>48</v>
      </c>
      <c r="J206">
        <v>39</v>
      </c>
      <c r="K206">
        <v>51</v>
      </c>
      <c r="L206">
        <v>51</v>
      </c>
      <c r="M206">
        <v>63</v>
      </c>
      <c r="N206">
        <v>64</v>
      </c>
      <c r="O206">
        <v>80</v>
      </c>
      <c r="P206">
        <v>70</v>
      </c>
      <c r="Q206">
        <v>65</v>
      </c>
      <c r="R206">
        <v>73</v>
      </c>
      <c r="S206">
        <v>93</v>
      </c>
      <c r="T206">
        <v>91</v>
      </c>
      <c r="U206">
        <v>78</v>
      </c>
      <c r="V206">
        <v>98</v>
      </c>
      <c r="W206">
        <v>132</v>
      </c>
      <c r="X206">
        <v>45</v>
      </c>
      <c r="Y206">
        <v>44</v>
      </c>
      <c r="Z206">
        <v>43</v>
      </c>
      <c r="AA206">
        <v>64</v>
      </c>
      <c r="AB206">
        <v>50</v>
      </c>
      <c r="AC206">
        <v>35</v>
      </c>
      <c r="AD206">
        <v>55</v>
      </c>
      <c r="AE206">
        <v>37</v>
      </c>
      <c r="AF206">
        <v>49</v>
      </c>
      <c r="AG206">
        <v>82</v>
      </c>
      <c r="AH206">
        <v>69</v>
      </c>
      <c r="AI206">
        <v>65</v>
      </c>
      <c r="AJ206">
        <v>73</v>
      </c>
      <c r="AK206">
        <v>76</v>
      </c>
      <c r="AL206">
        <v>78</v>
      </c>
      <c r="AM206">
        <v>71</v>
      </c>
      <c r="AN206">
        <v>80</v>
      </c>
      <c r="AO206">
        <v>103</v>
      </c>
      <c r="AP206">
        <v>95</v>
      </c>
      <c r="AQ206">
        <v>2492</v>
      </c>
      <c r="AR206">
        <v>0.8025682182985554</v>
      </c>
      <c r="AS206">
        <f t="shared" si="15"/>
        <v>0.24384938496573219</v>
      </c>
      <c r="AT206">
        <f t="shared" si="16"/>
        <v>1.9605490551244869E-2</v>
      </c>
      <c r="AU206">
        <f t="shared" si="17"/>
        <v>1.9605490551244869</v>
      </c>
      <c r="AV206">
        <f t="shared" si="18"/>
        <v>3</v>
      </c>
      <c r="AW206">
        <f t="shared" si="19"/>
        <v>9.3923170846247697E-2</v>
      </c>
    </row>
    <row r="207" spans="1:49" x14ac:dyDescent="0.3">
      <c r="A207" t="s">
        <v>267</v>
      </c>
      <c r="B207" t="s">
        <v>50</v>
      </c>
      <c r="C207">
        <v>1</v>
      </c>
      <c r="D207" t="s">
        <v>12</v>
      </c>
      <c r="E207">
        <v>54</v>
      </c>
      <c r="F207">
        <v>39</v>
      </c>
      <c r="G207">
        <v>38</v>
      </c>
      <c r="H207">
        <v>35</v>
      </c>
      <c r="I207">
        <v>52</v>
      </c>
      <c r="J207">
        <v>43</v>
      </c>
      <c r="K207">
        <v>42</v>
      </c>
      <c r="L207">
        <v>43</v>
      </c>
      <c r="M207">
        <v>50</v>
      </c>
      <c r="N207">
        <v>52</v>
      </c>
      <c r="O207">
        <v>65</v>
      </c>
      <c r="P207">
        <v>68</v>
      </c>
      <c r="Q207">
        <v>59</v>
      </c>
      <c r="R207">
        <v>76</v>
      </c>
      <c r="S207">
        <v>82</v>
      </c>
      <c r="T207">
        <v>89</v>
      </c>
      <c r="U207">
        <v>93</v>
      </c>
      <c r="V207">
        <v>112</v>
      </c>
      <c r="W207">
        <v>123</v>
      </c>
      <c r="X207">
        <v>46</v>
      </c>
      <c r="Y207">
        <v>40</v>
      </c>
      <c r="Z207">
        <v>39</v>
      </c>
      <c r="AA207">
        <v>28</v>
      </c>
      <c r="AB207">
        <v>41</v>
      </c>
      <c r="AC207">
        <v>40</v>
      </c>
      <c r="AD207">
        <v>34</v>
      </c>
      <c r="AE207">
        <v>35</v>
      </c>
      <c r="AF207">
        <v>56</v>
      </c>
      <c r="AG207">
        <v>66</v>
      </c>
      <c r="AH207">
        <v>37</v>
      </c>
      <c r="AI207">
        <v>73</v>
      </c>
      <c r="AJ207">
        <v>64</v>
      </c>
      <c r="AK207">
        <v>92</v>
      </c>
      <c r="AL207">
        <v>85</v>
      </c>
      <c r="AM207">
        <v>90</v>
      </c>
      <c r="AN207">
        <v>72</v>
      </c>
      <c r="AO207">
        <v>92</v>
      </c>
      <c r="AP207">
        <v>98</v>
      </c>
      <c r="AQ207">
        <v>2343</v>
      </c>
      <c r="AR207">
        <v>0.42680324370465211</v>
      </c>
      <c r="AS207">
        <f t="shared" si="15"/>
        <v>0.11454620522036882</v>
      </c>
      <c r="AT207">
        <f t="shared" si="16"/>
        <v>9.2095148997176531E-3</v>
      </c>
      <c r="AU207">
        <f t="shared" si="17"/>
        <v>0.92095148997176535</v>
      </c>
      <c r="AV207">
        <f t="shared" si="18"/>
        <v>3</v>
      </c>
      <c r="AW207">
        <f t="shared" si="19"/>
        <v>9.3923170846247697E-2</v>
      </c>
    </row>
    <row r="208" spans="1:49" x14ac:dyDescent="0.3">
      <c r="A208" t="s">
        <v>268</v>
      </c>
      <c r="B208" t="s">
        <v>97</v>
      </c>
      <c r="C208">
        <v>1</v>
      </c>
      <c r="D208" t="s">
        <v>24</v>
      </c>
      <c r="E208">
        <v>85</v>
      </c>
      <c r="F208">
        <v>89</v>
      </c>
      <c r="G208">
        <v>77</v>
      </c>
      <c r="H208">
        <v>93</v>
      </c>
      <c r="I208">
        <v>115</v>
      </c>
      <c r="J208">
        <v>128</v>
      </c>
      <c r="K208">
        <v>101</v>
      </c>
      <c r="L208">
        <v>97</v>
      </c>
      <c r="M208">
        <v>103</v>
      </c>
      <c r="N208">
        <v>118</v>
      </c>
      <c r="O208">
        <v>142</v>
      </c>
      <c r="P208">
        <v>117</v>
      </c>
      <c r="Q208">
        <v>157</v>
      </c>
      <c r="R208">
        <v>129</v>
      </c>
      <c r="S208">
        <v>155</v>
      </c>
      <c r="T208">
        <v>159</v>
      </c>
      <c r="U208">
        <v>143</v>
      </c>
      <c r="V208">
        <v>130</v>
      </c>
      <c r="W208">
        <v>117</v>
      </c>
      <c r="X208">
        <v>72</v>
      </c>
      <c r="Y208">
        <v>92</v>
      </c>
      <c r="Z208">
        <v>111</v>
      </c>
      <c r="AA208">
        <v>86</v>
      </c>
      <c r="AB208">
        <v>110</v>
      </c>
      <c r="AC208">
        <v>99</v>
      </c>
      <c r="AD208">
        <v>125</v>
      </c>
      <c r="AE208">
        <v>101</v>
      </c>
      <c r="AF208">
        <v>103</v>
      </c>
      <c r="AG208">
        <v>111</v>
      </c>
      <c r="AH208">
        <v>115</v>
      </c>
      <c r="AI208">
        <v>136</v>
      </c>
      <c r="AJ208">
        <v>127</v>
      </c>
      <c r="AK208">
        <v>129</v>
      </c>
      <c r="AL208">
        <v>124</v>
      </c>
      <c r="AM208">
        <v>167</v>
      </c>
      <c r="AN208">
        <v>115</v>
      </c>
      <c r="AO208">
        <v>137</v>
      </c>
      <c r="AP208">
        <v>158</v>
      </c>
      <c r="AQ208">
        <v>4473</v>
      </c>
      <c r="AR208">
        <v>0.223563603845294</v>
      </c>
      <c r="AS208">
        <f t="shared" si="15"/>
        <v>4.4610118940591643E-2</v>
      </c>
      <c r="AT208">
        <f t="shared" si="16"/>
        <v>3.5866535628235681E-3</v>
      </c>
      <c r="AU208">
        <f t="shared" si="17"/>
        <v>0.3586653562823568</v>
      </c>
      <c r="AV208">
        <f t="shared" si="18"/>
        <v>3</v>
      </c>
      <c r="AW208">
        <f t="shared" si="19"/>
        <v>9.3923170846247697E-2</v>
      </c>
    </row>
    <row r="209" spans="1:49" x14ac:dyDescent="0.3">
      <c r="A209" t="s">
        <v>269</v>
      </c>
      <c r="B209" t="s">
        <v>89</v>
      </c>
      <c r="C209">
        <v>1</v>
      </c>
      <c r="D209" t="s">
        <v>24</v>
      </c>
      <c r="E209">
        <v>26</v>
      </c>
      <c r="F209">
        <v>32</v>
      </c>
      <c r="G209">
        <v>29</v>
      </c>
      <c r="H209">
        <v>23</v>
      </c>
      <c r="I209">
        <v>30</v>
      </c>
      <c r="J209">
        <v>28</v>
      </c>
      <c r="K209">
        <v>26</v>
      </c>
      <c r="L209">
        <v>23</v>
      </c>
      <c r="M209">
        <v>46</v>
      </c>
      <c r="N209">
        <v>39</v>
      </c>
      <c r="O209">
        <v>47</v>
      </c>
      <c r="P209">
        <v>41</v>
      </c>
      <c r="Q209">
        <v>49</v>
      </c>
      <c r="R209">
        <v>43</v>
      </c>
      <c r="S209">
        <v>44</v>
      </c>
      <c r="T209">
        <v>51</v>
      </c>
      <c r="U209">
        <v>45</v>
      </c>
      <c r="V209">
        <v>42</v>
      </c>
      <c r="W209">
        <v>58</v>
      </c>
      <c r="X209">
        <v>32</v>
      </c>
      <c r="Y209">
        <v>34</v>
      </c>
      <c r="Z209">
        <v>25</v>
      </c>
      <c r="AA209">
        <v>20</v>
      </c>
      <c r="AB209">
        <v>28</v>
      </c>
      <c r="AC209">
        <v>19</v>
      </c>
      <c r="AD209">
        <v>25</v>
      </c>
      <c r="AE209">
        <v>27</v>
      </c>
      <c r="AF209">
        <v>31</v>
      </c>
      <c r="AG209">
        <v>28</v>
      </c>
      <c r="AH209">
        <v>34</v>
      </c>
      <c r="AI209">
        <v>30</v>
      </c>
      <c r="AJ209">
        <v>29</v>
      </c>
      <c r="AK209">
        <v>45</v>
      </c>
      <c r="AL209">
        <v>40</v>
      </c>
      <c r="AM209">
        <v>63</v>
      </c>
      <c r="AN209">
        <v>44</v>
      </c>
      <c r="AO209">
        <v>61</v>
      </c>
      <c r="AP209">
        <v>53</v>
      </c>
      <c r="AQ209">
        <v>1390</v>
      </c>
      <c r="AR209">
        <v>0.71942446043165464</v>
      </c>
      <c r="AS209">
        <f t="shared" si="15"/>
        <v>0.21523907534390704</v>
      </c>
      <c r="AT209">
        <f t="shared" si="16"/>
        <v>1.7305221657650124E-2</v>
      </c>
      <c r="AU209">
        <f t="shared" si="17"/>
        <v>1.7305221657650125</v>
      </c>
      <c r="AV209">
        <f t="shared" si="18"/>
        <v>3</v>
      </c>
      <c r="AW209">
        <f t="shared" si="19"/>
        <v>9.3923170846247697E-2</v>
      </c>
    </row>
    <row r="210" spans="1:49" x14ac:dyDescent="0.3">
      <c r="A210" t="s">
        <v>270</v>
      </c>
      <c r="B210" t="s">
        <v>70</v>
      </c>
      <c r="C210">
        <v>3</v>
      </c>
      <c r="D210" t="s">
        <v>12</v>
      </c>
      <c r="E210">
        <v>79</v>
      </c>
      <c r="F210">
        <v>81</v>
      </c>
      <c r="G210">
        <v>61</v>
      </c>
      <c r="H210">
        <v>71</v>
      </c>
      <c r="I210">
        <v>75</v>
      </c>
      <c r="J210">
        <v>61</v>
      </c>
      <c r="K210">
        <v>70</v>
      </c>
      <c r="L210">
        <v>83</v>
      </c>
      <c r="M210">
        <v>88</v>
      </c>
      <c r="N210">
        <v>94</v>
      </c>
      <c r="O210">
        <v>131</v>
      </c>
      <c r="P210">
        <v>116</v>
      </c>
      <c r="Q210">
        <v>122</v>
      </c>
      <c r="R210">
        <v>110</v>
      </c>
      <c r="S210">
        <v>149</v>
      </c>
      <c r="T210">
        <v>137</v>
      </c>
      <c r="U210">
        <v>145</v>
      </c>
      <c r="V210">
        <v>157</v>
      </c>
      <c r="W210">
        <v>173</v>
      </c>
      <c r="X210">
        <v>69</v>
      </c>
      <c r="Y210">
        <v>59</v>
      </c>
      <c r="Z210">
        <v>57</v>
      </c>
      <c r="AA210">
        <v>65</v>
      </c>
      <c r="AB210">
        <v>59</v>
      </c>
      <c r="AC210">
        <v>59</v>
      </c>
      <c r="AD210">
        <v>81</v>
      </c>
      <c r="AE210">
        <v>75</v>
      </c>
      <c r="AF210">
        <v>91</v>
      </c>
      <c r="AG210">
        <v>117</v>
      </c>
      <c r="AH210">
        <v>127</v>
      </c>
      <c r="AI210">
        <v>115</v>
      </c>
      <c r="AJ210">
        <v>106</v>
      </c>
      <c r="AK210">
        <v>123</v>
      </c>
      <c r="AL210">
        <v>136</v>
      </c>
      <c r="AM210">
        <v>142</v>
      </c>
      <c r="AN210">
        <v>130</v>
      </c>
      <c r="AO210">
        <v>163</v>
      </c>
      <c r="AP210">
        <v>155</v>
      </c>
      <c r="AQ210">
        <v>3932</v>
      </c>
      <c r="AR210">
        <v>0.76297049847405896</v>
      </c>
      <c r="AS210">
        <f t="shared" si="15"/>
        <v>0.2302235511862353</v>
      </c>
      <c r="AT210">
        <f t="shared" si="16"/>
        <v>1.8509973515373319E-2</v>
      </c>
      <c r="AU210">
        <f t="shared" si="17"/>
        <v>1.8509973515373319</v>
      </c>
      <c r="AV210">
        <f t="shared" si="18"/>
        <v>3</v>
      </c>
      <c r="AW210">
        <f t="shared" si="19"/>
        <v>9.3923170846247697E-2</v>
      </c>
    </row>
    <row r="211" spans="1:49" x14ac:dyDescent="0.3">
      <c r="A211" t="s">
        <v>271</v>
      </c>
      <c r="B211" t="s">
        <v>70</v>
      </c>
      <c r="C211">
        <v>1</v>
      </c>
      <c r="D211" t="s">
        <v>12</v>
      </c>
      <c r="E211">
        <v>23</v>
      </c>
      <c r="F211">
        <v>28</v>
      </c>
      <c r="G211">
        <v>30</v>
      </c>
      <c r="H211">
        <v>20</v>
      </c>
      <c r="I211">
        <v>22</v>
      </c>
      <c r="J211">
        <v>27</v>
      </c>
      <c r="K211">
        <v>19</v>
      </c>
      <c r="L211">
        <v>25</v>
      </c>
      <c r="M211">
        <v>31</v>
      </c>
      <c r="N211">
        <v>42</v>
      </c>
      <c r="O211">
        <v>42</v>
      </c>
      <c r="P211">
        <v>52</v>
      </c>
      <c r="Q211">
        <v>54</v>
      </c>
      <c r="R211">
        <v>75</v>
      </c>
      <c r="S211">
        <v>65</v>
      </c>
      <c r="T211">
        <v>68</v>
      </c>
      <c r="U211">
        <v>80</v>
      </c>
      <c r="V211">
        <v>81</v>
      </c>
      <c r="W211">
        <v>84</v>
      </c>
      <c r="X211">
        <v>27</v>
      </c>
      <c r="Y211">
        <v>22</v>
      </c>
      <c r="Z211">
        <v>30</v>
      </c>
      <c r="AA211">
        <v>24</v>
      </c>
      <c r="AB211">
        <v>35</v>
      </c>
      <c r="AC211">
        <v>26</v>
      </c>
      <c r="AD211">
        <v>16</v>
      </c>
      <c r="AE211">
        <v>34</v>
      </c>
      <c r="AF211">
        <v>35</v>
      </c>
      <c r="AG211">
        <v>38</v>
      </c>
      <c r="AH211">
        <v>49</v>
      </c>
      <c r="AI211">
        <v>54</v>
      </c>
      <c r="AJ211">
        <v>51</v>
      </c>
      <c r="AK211">
        <v>71</v>
      </c>
      <c r="AL211">
        <v>67</v>
      </c>
      <c r="AM211">
        <v>73</v>
      </c>
      <c r="AN211">
        <v>80</v>
      </c>
      <c r="AO211">
        <v>96</v>
      </c>
      <c r="AP211">
        <v>95</v>
      </c>
      <c r="AQ211">
        <v>1791</v>
      </c>
      <c r="AR211">
        <v>0.55834729201563371</v>
      </c>
      <c r="AS211">
        <f t="shared" si="15"/>
        <v>0.159811370611501</v>
      </c>
      <c r="AT211">
        <f t="shared" si="16"/>
        <v>1.284883419716468E-2</v>
      </c>
      <c r="AU211">
        <f t="shared" si="17"/>
        <v>1.284883419716468</v>
      </c>
      <c r="AV211">
        <f t="shared" si="18"/>
        <v>3</v>
      </c>
      <c r="AW211">
        <f t="shared" si="19"/>
        <v>9.3923170846247697E-2</v>
      </c>
    </row>
    <row r="212" spans="1:49" x14ac:dyDescent="0.3">
      <c r="A212" t="s">
        <v>272</v>
      </c>
      <c r="B212" t="s">
        <v>70</v>
      </c>
      <c r="C212">
        <v>2</v>
      </c>
      <c r="D212" t="s">
        <v>12</v>
      </c>
      <c r="E212">
        <v>32</v>
      </c>
      <c r="F212">
        <v>50</v>
      </c>
      <c r="G212">
        <v>54</v>
      </c>
      <c r="H212">
        <v>37</v>
      </c>
      <c r="I212">
        <v>40</v>
      </c>
      <c r="J212">
        <v>67</v>
      </c>
      <c r="K212">
        <v>77</v>
      </c>
      <c r="L212">
        <v>62</v>
      </c>
      <c r="M212">
        <v>76</v>
      </c>
      <c r="N212">
        <v>81</v>
      </c>
      <c r="O212">
        <v>107</v>
      </c>
      <c r="P212">
        <v>92</v>
      </c>
      <c r="Q212">
        <v>103</v>
      </c>
      <c r="R212">
        <v>104</v>
      </c>
      <c r="S212">
        <v>105</v>
      </c>
      <c r="T212">
        <v>105</v>
      </c>
      <c r="U212">
        <v>123</v>
      </c>
      <c r="V212">
        <v>123</v>
      </c>
      <c r="W212">
        <v>120</v>
      </c>
      <c r="X212">
        <v>43</v>
      </c>
      <c r="Y212">
        <v>38</v>
      </c>
      <c r="Z212">
        <v>35</v>
      </c>
      <c r="AA212">
        <v>42</v>
      </c>
      <c r="AB212">
        <v>47</v>
      </c>
      <c r="AC212">
        <v>67</v>
      </c>
      <c r="AD212">
        <v>52</v>
      </c>
      <c r="AE212">
        <v>72</v>
      </c>
      <c r="AF212">
        <v>81</v>
      </c>
      <c r="AG212">
        <v>87</v>
      </c>
      <c r="AH212">
        <v>87</v>
      </c>
      <c r="AI212">
        <v>92</v>
      </c>
      <c r="AJ212">
        <v>87</v>
      </c>
      <c r="AK212">
        <v>83</v>
      </c>
      <c r="AL212">
        <v>105</v>
      </c>
      <c r="AM212">
        <v>89</v>
      </c>
      <c r="AN212">
        <v>89</v>
      </c>
      <c r="AO212">
        <v>80</v>
      </c>
      <c r="AP212">
        <v>114</v>
      </c>
      <c r="AQ212">
        <v>2948</v>
      </c>
      <c r="AR212">
        <v>0.67842605156037983</v>
      </c>
      <c r="AS212">
        <f t="shared" si="15"/>
        <v>0.2011312553234661</v>
      </c>
      <c r="AT212">
        <f t="shared" si="16"/>
        <v>1.6170952928006674E-2</v>
      </c>
      <c r="AU212">
        <f t="shared" si="17"/>
        <v>1.6170952928006674</v>
      </c>
      <c r="AV212">
        <f t="shared" si="18"/>
        <v>3</v>
      </c>
      <c r="AW212">
        <f t="shared" si="19"/>
        <v>9.3923170846247697E-2</v>
      </c>
    </row>
    <row r="213" spans="1:49" x14ac:dyDescent="0.3">
      <c r="A213" t="s">
        <v>273</v>
      </c>
      <c r="B213" t="s">
        <v>70</v>
      </c>
      <c r="C213">
        <v>1</v>
      </c>
      <c r="D213" t="s">
        <v>12</v>
      </c>
      <c r="E213">
        <v>40</v>
      </c>
      <c r="F213">
        <v>34</v>
      </c>
      <c r="G213">
        <v>32</v>
      </c>
      <c r="H213">
        <v>30</v>
      </c>
      <c r="I213">
        <v>19</v>
      </c>
      <c r="J213">
        <v>31</v>
      </c>
      <c r="K213">
        <v>20</v>
      </c>
      <c r="L213">
        <v>31</v>
      </c>
      <c r="M213">
        <v>51</v>
      </c>
      <c r="N213">
        <v>50</v>
      </c>
      <c r="O213">
        <v>47</v>
      </c>
      <c r="P213">
        <v>53</v>
      </c>
      <c r="Q213">
        <v>64</v>
      </c>
      <c r="R213">
        <v>81</v>
      </c>
      <c r="S213">
        <v>68</v>
      </c>
      <c r="T213">
        <v>91</v>
      </c>
      <c r="U213">
        <v>86</v>
      </c>
      <c r="V213">
        <v>96</v>
      </c>
      <c r="W213">
        <v>99</v>
      </c>
      <c r="X213">
        <v>31</v>
      </c>
      <c r="Y213">
        <v>22</v>
      </c>
      <c r="Z213">
        <v>27</v>
      </c>
      <c r="AA213">
        <v>24</v>
      </c>
      <c r="AB213">
        <v>31</v>
      </c>
      <c r="AC213">
        <v>32</v>
      </c>
      <c r="AD213">
        <v>27</v>
      </c>
      <c r="AE213">
        <v>32</v>
      </c>
      <c r="AF213">
        <v>33</v>
      </c>
      <c r="AG213">
        <v>48</v>
      </c>
      <c r="AH213">
        <v>59</v>
      </c>
      <c r="AI213">
        <v>63</v>
      </c>
      <c r="AJ213">
        <v>49</v>
      </c>
      <c r="AK213">
        <v>84</v>
      </c>
      <c r="AL213">
        <v>64</v>
      </c>
      <c r="AM213">
        <v>84</v>
      </c>
      <c r="AN213">
        <v>74</v>
      </c>
      <c r="AO213">
        <v>78</v>
      </c>
      <c r="AP213">
        <v>95</v>
      </c>
      <c r="AQ213">
        <v>1980</v>
      </c>
      <c r="AR213">
        <v>0.50505050505050508</v>
      </c>
      <c r="AS213">
        <f t="shared" si="15"/>
        <v>0.14147159843808307</v>
      </c>
      <c r="AT213">
        <f t="shared" si="16"/>
        <v>1.1374316514421879E-2</v>
      </c>
      <c r="AU213">
        <f t="shared" si="17"/>
        <v>1.1374316514421878</v>
      </c>
      <c r="AV213">
        <f t="shared" si="18"/>
        <v>3</v>
      </c>
      <c r="AW213">
        <f t="shared" si="19"/>
        <v>9.3923170846247697E-2</v>
      </c>
    </row>
    <row r="214" spans="1:49" x14ac:dyDescent="0.3">
      <c r="A214" t="s">
        <v>274</v>
      </c>
      <c r="B214" t="s">
        <v>70</v>
      </c>
      <c r="C214">
        <v>1</v>
      </c>
      <c r="D214" t="s">
        <v>12</v>
      </c>
      <c r="E214">
        <v>107</v>
      </c>
      <c r="F214">
        <v>82</v>
      </c>
      <c r="G214">
        <v>78</v>
      </c>
      <c r="H214">
        <v>77</v>
      </c>
      <c r="I214">
        <v>65</v>
      </c>
      <c r="J214">
        <v>76</v>
      </c>
      <c r="K214">
        <v>77</v>
      </c>
      <c r="L214">
        <v>73</v>
      </c>
      <c r="M214">
        <v>87</v>
      </c>
      <c r="N214">
        <v>85</v>
      </c>
      <c r="O214">
        <v>106</v>
      </c>
      <c r="P214">
        <v>100</v>
      </c>
      <c r="Q214">
        <v>106</v>
      </c>
      <c r="R214">
        <v>106</v>
      </c>
      <c r="S214">
        <v>115</v>
      </c>
      <c r="T214">
        <v>122</v>
      </c>
      <c r="U214">
        <v>115</v>
      </c>
      <c r="V214">
        <v>133</v>
      </c>
      <c r="W214">
        <v>153</v>
      </c>
      <c r="X214">
        <v>106</v>
      </c>
      <c r="Y214">
        <v>88</v>
      </c>
      <c r="Z214">
        <v>77</v>
      </c>
      <c r="AA214">
        <v>79</v>
      </c>
      <c r="AB214">
        <v>58</v>
      </c>
      <c r="AC214">
        <v>62</v>
      </c>
      <c r="AD214">
        <v>68</v>
      </c>
      <c r="AE214">
        <v>66</v>
      </c>
      <c r="AF214">
        <v>71</v>
      </c>
      <c r="AG214">
        <v>91</v>
      </c>
      <c r="AH214">
        <v>108</v>
      </c>
      <c r="AI214">
        <v>114</v>
      </c>
      <c r="AJ214">
        <v>85</v>
      </c>
      <c r="AK214">
        <v>116</v>
      </c>
      <c r="AL214">
        <v>113</v>
      </c>
      <c r="AM214">
        <v>127</v>
      </c>
      <c r="AN214">
        <v>115</v>
      </c>
      <c r="AO214">
        <v>112</v>
      </c>
      <c r="AP214">
        <v>130</v>
      </c>
      <c r="AQ214">
        <v>3649</v>
      </c>
      <c r="AR214">
        <v>0.27404768429706772</v>
      </c>
      <c r="AS214">
        <f t="shared" si="15"/>
        <v>6.1982020448947378E-2</v>
      </c>
      <c r="AT214">
        <f t="shared" si="16"/>
        <v>4.9833544440953687E-3</v>
      </c>
      <c r="AU214">
        <f t="shared" si="17"/>
        <v>0.49833544440953687</v>
      </c>
      <c r="AV214">
        <f t="shared" si="18"/>
        <v>3</v>
      </c>
      <c r="AW214">
        <f t="shared" si="19"/>
        <v>9.3923170846247697E-2</v>
      </c>
    </row>
    <row r="215" spans="1:49" x14ac:dyDescent="0.3">
      <c r="A215" t="s">
        <v>275</v>
      </c>
      <c r="B215" t="s">
        <v>70</v>
      </c>
      <c r="C215">
        <v>1</v>
      </c>
      <c r="D215" t="s">
        <v>12</v>
      </c>
      <c r="E215">
        <v>165</v>
      </c>
      <c r="F215">
        <v>121</v>
      </c>
      <c r="G215">
        <v>86</v>
      </c>
      <c r="H215">
        <v>86</v>
      </c>
      <c r="I215">
        <v>78</v>
      </c>
      <c r="J215">
        <v>70</v>
      </c>
      <c r="K215">
        <v>74</v>
      </c>
      <c r="L215">
        <v>65</v>
      </c>
      <c r="M215">
        <v>82</v>
      </c>
      <c r="N215">
        <v>57</v>
      </c>
      <c r="O215">
        <v>93</v>
      </c>
      <c r="P215">
        <v>95</v>
      </c>
      <c r="Q215">
        <v>76</v>
      </c>
      <c r="R215">
        <v>98</v>
      </c>
      <c r="S215">
        <v>94</v>
      </c>
      <c r="T215">
        <v>70</v>
      </c>
      <c r="U215">
        <v>69</v>
      </c>
      <c r="V215">
        <v>81</v>
      </c>
      <c r="W215">
        <v>93</v>
      </c>
      <c r="X215">
        <v>157</v>
      </c>
      <c r="Y215">
        <v>115</v>
      </c>
      <c r="Z215">
        <v>99</v>
      </c>
      <c r="AA215">
        <v>83</v>
      </c>
      <c r="AB215">
        <v>70</v>
      </c>
      <c r="AC215">
        <v>71</v>
      </c>
      <c r="AD215">
        <v>68</v>
      </c>
      <c r="AE215">
        <v>65</v>
      </c>
      <c r="AF215">
        <v>64</v>
      </c>
      <c r="AG215">
        <v>74</v>
      </c>
      <c r="AH215">
        <v>77</v>
      </c>
      <c r="AI215">
        <v>69</v>
      </c>
      <c r="AJ215">
        <v>67</v>
      </c>
      <c r="AK215">
        <v>94</v>
      </c>
      <c r="AL215">
        <v>77</v>
      </c>
      <c r="AM215">
        <v>79</v>
      </c>
      <c r="AN215">
        <v>64</v>
      </c>
      <c r="AO215">
        <v>73</v>
      </c>
      <c r="AP215">
        <v>87</v>
      </c>
      <c r="AQ215">
        <v>3206</v>
      </c>
      <c r="AR215">
        <v>0.31191515907673112</v>
      </c>
      <c r="AS215">
        <f t="shared" si="15"/>
        <v>7.5012465618110494E-2</v>
      </c>
      <c r="AT215">
        <f t="shared" si="16"/>
        <v>6.0310022356960839E-3</v>
      </c>
      <c r="AU215">
        <f t="shared" si="17"/>
        <v>0.60310022356960835</v>
      </c>
      <c r="AV215">
        <f t="shared" si="18"/>
        <v>3</v>
      </c>
      <c r="AW215">
        <f t="shared" si="19"/>
        <v>9.3923170846247697E-2</v>
      </c>
    </row>
    <row r="216" spans="1:49" x14ac:dyDescent="0.3">
      <c r="A216" t="s">
        <v>276</v>
      </c>
      <c r="B216" t="s">
        <v>111</v>
      </c>
      <c r="C216">
        <v>2</v>
      </c>
      <c r="D216" t="s">
        <v>24</v>
      </c>
      <c r="E216">
        <v>45</v>
      </c>
      <c r="F216">
        <v>43</v>
      </c>
      <c r="G216">
        <v>42</v>
      </c>
      <c r="H216">
        <v>45</v>
      </c>
      <c r="I216">
        <v>28</v>
      </c>
      <c r="J216">
        <v>28</v>
      </c>
      <c r="K216">
        <v>35</v>
      </c>
      <c r="L216">
        <v>35</v>
      </c>
      <c r="M216">
        <v>49</v>
      </c>
      <c r="N216">
        <v>60</v>
      </c>
      <c r="O216">
        <v>62</v>
      </c>
      <c r="P216">
        <v>61</v>
      </c>
      <c r="Q216">
        <v>87</v>
      </c>
      <c r="R216">
        <v>84</v>
      </c>
      <c r="S216">
        <v>86</v>
      </c>
      <c r="T216">
        <v>84</v>
      </c>
      <c r="U216">
        <v>55</v>
      </c>
      <c r="V216">
        <v>72</v>
      </c>
      <c r="W216">
        <v>89</v>
      </c>
      <c r="X216">
        <v>50</v>
      </c>
      <c r="Y216">
        <v>47</v>
      </c>
      <c r="Z216">
        <v>40</v>
      </c>
      <c r="AA216">
        <v>39</v>
      </c>
      <c r="AB216">
        <v>39</v>
      </c>
      <c r="AC216">
        <v>50</v>
      </c>
      <c r="AD216">
        <v>51</v>
      </c>
      <c r="AE216">
        <v>37</v>
      </c>
      <c r="AF216">
        <v>52</v>
      </c>
      <c r="AG216">
        <v>46</v>
      </c>
      <c r="AH216">
        <v>58</v>
      </c>
      <c r="AI216">
        <v>55</v>
      </c>
      <c r="AJ216">
        <v>61</v>
      </c>
      <c r="AK216">
        <v>68</v>
      </c>
      <c r="AL216">
        <v>68</v>
      </c>
      <c r="AM216">
        <v>65</v>
      </c>
      <c r="AN216">
        <v>64</v>
      </c>
      <c r="AO216">
        <v>77</v>
      </c>
      <c r="AP216">
        <v>77</v>
      </c>
      <c r="AQ216">
        <v>2134</v>
      </c>
      <c r="AR216">
        <v>0.93720712277413321</v>
      </c>
      <c r="AS216">
        <f t="shared" si="15"/>
        <v>0.29017951055803615</v>
      </c>
      <c r="AT216">
        <f t="shared" si="16"/>
        <v>2.3330432648866105E-2</v>
      </c>
      <c r="AU216">
        <f t="shared" si="17"/>
        <v>2.3330432648866104</v>
      </c>
      <c r="AV216">
        <f t="shared" si="18"/>
        <v>3</v>
      </c>
      <c r="AW216">
        <f t="shared" si="19"/>
        <v>9.3923170846247697E-2</v>
      </c>
    </row>
    <row r="217" spans="1:49" x14ac:dyDescent="0.3">
      <c r="A217" t="s">
        <v>277</v>
      </c>
      <c r="B217" t="s">
        <v>111</v>
      </c>
      <c r="C217">
        <v>1</v>
      </c>
      <c r="D217" t="s">
        <v>24</v>
      </c>
      <c r="E217">
        <v>14</v>
      </c>
      <c r="F217">
        <v>11</v>
      </c>
      <c r="G217">
        <v>10</v>
      </c>
      <c r="H217">
        <v>13</v>
      </c>
      <c r="I217">
        <v>15</v>
      </c>
      <c r="J217">
        <v>12</v>
      </c>
      <c r="K217">
        <v>8</v>
      </c>
      <c r="L217">
        <v>17</v>
      </c>
      <c r="M217">
        <v>18</v>
      </c>
      <c r="N217">
        <v>24</v>
      </c>
      <c r="O217">
        <v>25</v>
      </c>
      <c r="P217">
        <v>23</v>
      </c>
      <c r="Q217">
        <v>29</v>
      </c>
      <c r="R217">
        <v>33</v>
      </c>
      <c r="S217">
        <v>31</v>
      </c>
      <c r="T217">
        <v>40</v>
      </c>
      <c r="U217">
        <v>36</v>
      </c>
      <c r="V217">
        <v>40</v>
      </c>
      <c r="W217">
        <v>33</v>
      </c>
      <c r="X217">
        <v>15</v>
      </c>
      <c r="Y217">
        <v>9</v>
      </c>
      <c r="Z217">
        <v>14</v>
      </c>
      <c r="AA217">
        <v>9</v>
      </c>
      <c r="AB217">
        <v>14</v>
      </c>
      <c r="AC217">
        <v>15</v>
      </c>
      <c r="AD217">
        <v>24</v>
      </c>
      <c r="AE217">
        <v>10</v>
      </c>
      <c r="AF217">
        <v>16</v>
      </c>
      <c r="AG217">
        <v>14</v>
      </c>
      <c r="AH217">
        <v>26</v>
      </c>
      <c r="AI217">
        <v>33</v>
      </c>
      <c r="AJ217">
        <v>26</v>
      </c>
      <c r="AK217">
        <v>27</v>
      </c>
      <c r="AL217">
        <v>36</v>
      </c>
      <c r="AM217">
        <v>32</v>
      </c>
      <c r="AN217">
        <v>33</v>
      </c>
      <c r="AO217">
        <v>28</v>
      </c>
      <c r="AP217">
        <v>42</v>
      </c>
      <c r="AQ217">
        <v>855</v>
      </c>
      <c r="AR217">
        <v>1.169590643274854</v>
      </c>
      <c r="AS217">
        <f t="shared" si="15"/>
        <v>0.37014419633972301</v>
      </c>
      <c r="AT217">
        <f t="shared" si="16"/>
        <v>2.9759593385713729E-2</v>
      </c>
      <c r="AU217">
        <f t="shared" si="17"/>
        <v>2.9759593385713727</v>
      </c>
      <c r="AV217">
        <f t="shared" si="18"/>
        <v>3</v>
      </c>
      <c r="AW217">
        <f t="shared" si="19"/>
        <v>9.3923170846247697E-2</v>
      </c>
    </row>
    <row r="218" spans="1:49" x14ac:dyDescent="0.3">
      <c r="A218" t="s">
        <v>278</v>
      </c>
      <c r="B218" t="s">
        <v>132</v>
      </c>
      <c r="C218">
        <v>5</v>
      </c>
      <c r="D218" t="s">
        <v>12</v>
      </c>
      <c r="E218">
        <v>81</v>
      </c>
      <c r="F218">
        <v>70</v>
      </c>
      <c r="G218">
        <v>56</v>
      </c>
      <c r="H218">
        <v>55</v>
      </c>
      <c r="I218">
        <v>50</v>
      </c>
      <c r="J218">
        <v>63</v>
      </c>
      <c r="K218">
        <v>67</v>
      </c>
      <c r="L218">
        <v>59</v>
      </c>
      <c r="M218">
        <v>72</v>
      </c>
      <c r="N218">
        <v>78</v>
      </c>
      <c r="O218">
        <v>82</v>
      </c>
      <c r="P218">
        <v>68</v>
      </c>
      <c r="Q218">
        <v>72</v>
      </c>
      <c r="R218">
        <v>84</v>
      </c>
      <c r="S218">
        <v>86</v>
      </c>
      <c r="T218">
        <v>85</v>
      </c>
      <c r="U218">
        <v>81</v>
      </c>
      <c r="V218">
        <v>104</v>
      </c>
      <c r="W218">
        <v>112</v>
      </c>
      <c r="X218">
        <v>57</v>
      </c>
      <c r="Y218">
        <v>57</v>
      </c>
      <c r="Z218">
        <v>61</v>
      </c>
      <c r="AA218">
        <v>49</v>
      </c>
      <c r="AB218">
        <v>55</v>
      </c>
      <c r="AC218">
        <v>50</v>
      </c>
      <c r="AD218">
        <v>59</v>
      </c>
      <c r="AE218">
        <v>53</v>
      </c>
      <c r="AF218">
        <v>71</v>
      </c>
      <c r="AG218">
        <v>49</v>
      </c>
      <c r="AH218">
        <v>74</v>
      </c>
      <c r="AI218">
        <v>67</v>
      </c>
      <c r="AJ218">
        <v>66</v>
      </c>
      <c r="AK218">
        <v>82</v>
      </c>
      <c r="AL218">
        <v>84</v>
      </c>
      <c r="AM218">
        <v>100</v>
      </c>
      <c r="AN218">
        <v>89</v>
      </c>
      <c r="AO218">
        <v>84</v>
      </c>
      <c r="AP218">
        <v>86</v>
      </c>
      <c r="AQ218">
        <v>2718</v>
      </c>
      <c r="AR218">
        <v>1.8395879323031641</v>
      </c>
      <c r="AS218">
        <f t="shared" si="15"/>
        <v>0.60069463544267432</v>
      </c>
      <c r="AT218">
        <f t="shared" si="16"/>
        <v>4.8295848689591012E-2</v>
      </c>
      <c r="AU218">
        <f t="shared" si="17"/>
        <v>4.8295848689591008</v>
      </c>
      <c r="AV218">
        <f t="shared" si="18"/>
        <v>3</v>
      </c>
      <c r="AW218">
        <f t="shared" si="19"/>
        <v>9.3923170846247697E-2</v>
      </c>
    </row>
    <row r="219" spans="1:49" x14ac:dyDescent="0.3">
      <c r="A219" t="s">
        <v>279</v>
      </c>
      <c r="B219" t="s">
        <v>164</v>
      </c>
      <c r="C219">
        <v>1</v>
      </c>
      <c r="D219" t="s">
        <v>24</v>
      </c>
      <c r="E219">
        <v>27</v>
      </c>
      <c r="F219">
        <v>28</v>
      </c>
      <c r="G219">
        <v>18</v>
      </c>
      <c r="H219">
        <v>31</v>
      </c>
      <c r="I219">
        <v>31</v>
      </c>
      <c r="J219">
        <v>37</v>
      </c>
      <c r="K219">
        <v>38</v>
      </c>
      <c r="L219">
        <v>37</v>
      </c>
      <c r="M219">
        <v>34</v>
      </c>
      <c r="N219">
        <v>50</v>
      </c>
      <c r="O219">
        <v>59</v>
      </c>
      <c r="P219">
        <v>50</v>
      </c>
      <c r="Q219">
        <v>54</v>
      </c>
      <c r="R219">
        <v>62</v>
      </c>
      <c r="S219">
        <v>63</v>
      </c>
      <c r="T219">
        <v>76</v>
      </c>
      <c r="U219">
        <v>69</v>
      </c>
      <c r="V219">
        <v>71</v>
      </c>
      <c r="W219">
        <v>91</v>
      </c>
      <c r="X219">
        <v>31</v>
      </c>
      <c r="Y219">
        <v>24</v>
      </c>
      <c r="Z219">
        <v>21</v>
      </c>
      <c r="AA219">
        <v>20</v>
      </c>
      <c r="AB219">
        <v>36</v>
      </c>
      <c r="AC219">
        <v>32</v>
      </c>
      <c r="AD219">
        <v>33</v>
      </c>
      <c r="AE219">
        <v>35</v>
      </c>
      <c r="AF219">
        <v>37</v>
      </c>
      <c r="AG219">
        <v>50</v>
      </c>
      <c r="AH219">
        <v>60</v>
      </c>
      <c r="AI219">
        <v>52</v>
      </c>
      <c r="AJ219">
        <v>52</v>
      </c>
      <c r="AK219">
        <v>70</v>
      </c>
      <c r="AL219">
        <v>62</v>
      </c>
      <c r="AM219">
        <v>71</v>
      </c>
      <c r="AN219">
        <v>65</v>
      </c>
      <c r="AO219">
        <v>78</v>
      </c>
      <c r="AP219">
        <v>73</v>
      </c>
      <c r="AQ219">
        <v>1828</v>
      </c>
      <c r="AR219">
        <v>0.54704595185995619</v>
      </c>
      <c r="AS219">
        <f t="shared" si="15"/>
        <v>0.15592250571904445</v>
      </c>
      <c r="AT219">
        <f t="shared" si="16"/>
        <v>1.2536169459811173E-2</v>
      </c>
      <c r="AU219">
        <f t="shared" si="17"/>
        <v>1.2536169459811173</v>
      </c>
      <c r="AV219">
        <f t="shared" si="18"/>
        <v>3</v>
      </c>
      <c r="AW219">
        <f t="shared" si="19"/>
        <v>9.3923170846247697E-2</v>
      </c>
    </row>
    <row r="220" spans="1:49" x14ac:dyDescent="0.3">
      <c r="A220" t="s">
        <v>280</v>
      </c>
      <c r="B220" t="s">
        <v>198</v>
      </c>
      <c r="C220">
        <v>1</v>
      </c>
      <c r="D220" t="s">
        <v>12</v>
      </c>
      <c r="E220">
        <v>82</v>
      </c>
      <c r="F220">
        <v>61</v>
      </c>
      <c r="G220">
        <v>67</v>
      </c>
      <c r="H220">
        <v>53</v>
      </c>
      <c r="I220">
        <v>42</v>
      </c>
      <c r="J220">
        <v>61</v>
      </c>
      <c r="K220">
        <v>57</v>
      </c>
      <c r="L220">
        <v>74</v>
      </c>
      <c r="M220">
        <v>65</v>
      </c>
      <c r="N220">
        <v>77</v>
      </c>
      <c r="O220">
        <v>94</v>
      </c>
      <c r="P220">
        <v>82</v>
      </c>
      <c r="Q220">
        <v>71</v>
      </c>
      <c r="R220">
        <v>93</v>
      </c>
      <c r="S220">
        <v>96</v>
      </c>
      <c r="T220">
        <v>103</v>
      </c>
      <c r="U220">
        <v>80</v>
      </c>
      <c r="V220">
        <v>83</v>
      </c>
      <c r="W220">
        <v>81</v>
      </c>
      <c r="X220">
        <v>72</v>
      </c>
      <c r="Y220">
        <v>53</v>
      </c>
      <c r="Z220">
        <v>52</v>
      </c>
      <c r="AA220">
        <v>55</v>
      </c>
      <c r="AB220">
        <v>67</v>
      </c>
      <c r="AC220">
        <v>70</v>
      </c>
      <c r="AD220">
        <v>74</v>
      </c>
      <c r="AE220">
        <v>68</v>
      </c>
      <c r="AF220">
        <v>67</v>
      </c>
      <c r="AG220">
        <v>61</v>
      </c>
      <c r="AH220">
        <v>73</v>
      </c>
      <c r="AI220">
        <v>73</v>
      </c>
      <c r="AJ220">
        <v>84</v>
      </c>
      <c r="AK220">
        <v>72</v>
      </c>
      <c r="AL220">
        <v>65</v>
      </c>
      <c r="AM220">
        <v>76</v>
      </c>
      <c r="AN220">
        <v>82</v>
      </c>
      <c r="AO220">
        <v>80</v>
      </c>
      <c r="AP220">
        <v>93</v>
      </c>
      <c r="AQ220">
        <v>2759</v>
      </c>
      <c r="AR220">
        <v>0.36245016310257339</v>
      </c>
      <c r="AS220">
        <f t="shared" si="15"/>
        <v>9.2401890260595962E-2</v>
      </c>
      <c r="AT220">
        <f t="shared" si="16"/>
        <v>7.4291119769519156E-3</v>
      </c>
      <c r="AU220">
        <f t="shared" si="17"/>
        <v>0.74291119769519154</v>
      </c>
      <c r="AV220">
        <f t="shared" si="18"/>
        <v>3</v>
      </c>
      <c r="AW220">
        <f t="shared" si="19"/>
        <v>9.3923170846247697E-2</v>
      </c>
    </row>
    <row r="221" spans="1:49" x14ac:dyDescent="0.3">
      <c r="A221" t="s">
        <v>281</v>
      </c>
      <c r="B221" t="s">
        <v>198</v>
      </c>
      <c r="C221">
        <v>1</v>
      </c>
      <c r="D221" t="s">
        <v>12</v>
      </c>
      <c r="E221">
        <v>54</v>
      </c>
      <c r="F221">
        <v>49</v>
      </c>
      <c r="G221">
        <v>33</v>
      </c>
      <c r="H221">
        <v>23</v>
      </c>
      <c r="I221">
        <v>28</v>
      </c>
      <c r="J221">
        <v>22</v>
      </c>
      <c r="K221">
        <v>28</v>
      </c>
      <c r="L221">
        <v>25</v>
      </c>
      <c r="M221">
        <v>23</v>
      </c>
      <c r="N221">
        <v>30</v>
      </c>
      <c r="O221">
        <v>32</v>
      </c>
      <c r="P221">
        <v>23</v>
      </c>
      <c r="Q221">
        <v>28</v>
      </c>
      <c r="R221">
        <v>27</v>
      </c>
      <c r="S221">
        <v>31</v>
      </c>
      <c r="T221">
        <v>38</v>
      </c>
      <c r="U221">
        <v>29</v>
      </c>
      <c r="V221">
        <v>27</v>
      </c>
      <c r="W221">
        <v>52</v>
      </c>
      <c r="X221">
        <v>49</v>
      </c>
      <c r="Y221">
        <v>52</v>
      </c>
      <c r="Z221">
        <v>39</v>
      </c>
      <c r="AA221">
        <v>36</v>
      </c>
      <c r="AB221">
        <v>32</v>
      </c>
      <c r="AC221">
        <v>31</v>
      </c>
      <c r="AD221">
        <v>22</v>
      </c>
      <c r="AE221">
        <v>17</v>
      </c>
      <c r="AF221">
        <v>31</v>
      </c>
      <c r="AG221">
        <v>25</v>
      </c>
      <c r="AH221">
        <v>25</v>
      </c>
      <c r="AI221">
        <v>33</v>
      </c>
      <c r="AJ221">
        <v>28</v>
      </c>
      <c r="AK221">
        <v>29</v>
      </c>
      <c r="AL221">
        <v>30</v>
      </c>
      <c r="AM221">
        <v>27</v>
      </c>
      <c r="AN221">
        <v>35</v>
      </c>
      <c r="AO221">
        <v>34</v>
      </c>
      <c r="AP221">
        <v>44</v>
      </c>
      <c r="AQ221">
        <v>1221</v>
      </c>
      <c r="AR221">
        <v>0.819000819000819</v>
      </c>
      <c r="AS221">
        <f t="shared" si="15"/>
        <v>0.24950395009539836</v>
      </c>
      <c r="AT221">
        <f t="shared" si="16"/>
        <v>2.0060117587670026E-2</v>
      </c>
      <c r="AU221">
        <f t="shared" si="17"/>
        <v>2.0060117587670026</v>
      </c>
      <c r="AV221">
        <f t="shared" si="18"/>
        <v>3</v>
      </c>
      <c r="AW221">
        <f t="shared" si="19"/>
        <v>9.3923170846247697E-2</v>
      </c>
    </row>
    <row r="222" spans="1:49" x14ac:dyDescent="0.3">
      <c r="A222" t="s">
        <v>282</v>
      </c>
      <c r="B222" t="s">
        <v>172</v>
      </c>
      <c r="C222">
        <v>1</v>
      </c>
      <c r="D222" t="s">
        <v>12</v>
      </c>
      <c r="E222">
        <v>55</v>
      </c>
      <c r="F222">
        <v>56</v>
      </c>
      <c r="G222">
        <v>67</v>
      </c>
      <c r="H222">
        <v>70</v>
      </c>
      <c r="I222">
        <v>89</v>
      </c>
      <c r="J222">
        <v>74</v>
      </c>
      <c r="K222">
        <v>84</v>
      </c>
      <c r="L222">
        <v>101</v>
      </c>
      <c r="M222">
        <v>115</v>
      </c>
      <c r="N222">
        <v>149</v>
      </c>
      <c r="O222">
        <v>147</v>
      </c>
      <c r="P222">
        <v>150</v>
      </c>
      <c r="Q222">
        <v>144</v>
      </c>
      <c r="R222">
        <v>160</v>
      </c>
      <c r="S222">
        <v>180</v>
      </c>
      <c r="T222">
        <v>154</v>
      </c>
      <c r="U222">
        <v>187</v>
      </c>
      <c r="V222">
        <v>209</v>
      </c>
      <c r="W222">
        <v>200</v>
      </c>
      <c r="X222">
        <v>45</v>
      </c>
      <c r="Y222">
        <v>57</v>
      </c>
      <c r="Z222">
        <v>63</v>
      </c>
      <c r="AA222">
        <v>71</v>
      </c>
      <c r="AB222">
        <v>80</v>
      </c>
      <c r="AC222">
        <v>59</v>
      </c>
      <c r="AD222">
        <v>69</v>
      </c>
      <c r="AE222">
        <v>87</v>
      </c>
      <c r="AF222">
        <v>110</v>
      </c>
      <c r="AG222">
        <v>133</v>
      </c>
      <c r="AH222">
        <v>117</v>
      </c>
      <c r="AI222">
        <v>112</v>
      </c>
      <c r="AJ222">
        <v>125</v>
      </c>
      <c r="AK222">
        <v>165</v>
      </c>
      <c r="AL222">
        <v>166</v>
      </c>
      <c r="AM222">
        <v>193</v>
      </c>
      <c r="AN222">
        <v>185</v>
      </c>
      <c r="AO222">
        <v>205</v>
      </c>
      <c r="AP222">
        <v>199</v>
      </c>
      <c r="AQ222">
        <v>4632</v>
      </c>
      <c r="AR222">
        <v>0.21588946459412781</v>
      </c>
      <c r="AS222">
        <f t="shared" si="15"/>
        <v>4.1969397548032687E-2</v>
      </c>
      <c r="AT222">
        <f t="shared" si="16"/>
        <v>3.374339562861828E-3</v>
      </c>
      <c r="AU222">
        <f t="shared" si="17"/>
        <v>0.33743395628618278</v>
      </c>
      <c r="AV222">
        <f t="shared" si="18"/>
        <v>3</v>
      </c>
      <c r="AW222">
        <f t="shared" si="19"/>
        <v>9.3923170846247697E-2</v>
      </c>
    </row>
    <row r="223" spans="1:49" x14ac:dyDescent="0.3">
      <c r="A223" t="s">
        <v>283</v>
      </c>
      <c r="B223" t="s">
        <v>39</v>
      </c>
      <c r="C223">
        <v>1</v>
      </c>
      <c r="D223" t="s">
        <v>12</v>
      </c>
      <c r="E223">
        <v>41</v>
      </c>
      <c r="F223">
        <v>40</v>
      </c>
      <c r="G223">
        <v>36</v>
      </c>
      <c r="H223">
        <v>47</v>
      </c>
      <c r="I223">
        <v>78</v>
      </c>
      <c r="J223">
        <v>82</v>
      </c>
      <c r="K223">
        <v>83</v>
      </c>
      <c r="L223">
        <v>61</v>
      </c>
      <c r="M223">
        <v>56</v>
      </c>
      <c r="N223">
        <v>57</v>
      </c>
      <c r="O223">
        <v>58</v>
      </c>
      <c r="P223">
        <v>62</v>
      </c>
      <c r="Q223">
        <v>57</v>
      </c>
      <c r="R223">
        <v>83</v>
      </c>
      <c r="S223">
        <v>87</v>
      </c>
      <c r="T223">
        <v>97</v>
      </c>
      <c r="U223">
        <v>105</v>
      </c>
      <c r="V223">
        <v>96</v>
      </c>
      <c r="W223">
        <v>90</v>
      </c>
      <c r="X223">
        <v>28</v>
      </c>
      <c r="Y223">
        <v>36</v>
      </c>
      <c r="Z223">
        <v>41</v>
      </c>
      <c r="AA223">
        <v>48</v>
      </c>
      <c r="AB223">
        <v>75</v>
      </c>
      <c r="AC223">
        <v>85</v>
      </c>
      <c r="AD223">
        <v>72</v>
      </c>
      <c r="AE223">
        <v>68</v>
      </c>
      <c r="AF223">
        <v>54</v>
      </c>
      <c r="AG223">
        <v>67</v>
      </c>
      <c r="AH223">
        <v>70</v>
      </c>
      <c r="AI223">
        <v>51</v>
      </c>
      <c r="AJ223">
        <v>67</v>
      </c>
      <c r="AK223">
        <v>87</v>
      </c>
      <c r="AL223">
        <v>75</v>
      </c>
      <c r="AM223">
        <v>100</v>
      </c>
      <c r="AN223">
        <v>99</v>
      </c>
      <c r="AO223">
        <v>86</v>
      </c>
      <c r="AP223">
        <v>102</v>
      </c>
      <c r="AQ223">
        <v>2627</v>
      </c>
      <c r="AR223">
        <v>0.38066235249333841</v>
      </c>
      <c r="AS223">
        <f t="shared" si="15"/>
        <v>9.866882347036536E-2</v>
      </c>
      <c r="AT223">
        <f t="shared" si="16"/>
        <v>7.9329734070173741E-3</v>
      </c>
      <c r="AU223">
        <f t="shared" si="17"/>
        <v>0.79329734070173741</v>
      </c>
      <c r="AV223">
        <f t="shared" si="18"/>
        <v>3</v>
      </c>
      <c r="AW223">
        <f t="shared" si="19"/>
        <v>9.3923170846247697E-2</v>
      </c>
    </row>
    <row r="224" spans="1:49" x14ac:dyDescent="0.3">
      <c r="A224" t="s">
        <v>284</v>
      </c>
      <c r="B224" t="s">
        <v>89</v>
      </c>
      <c r="C224">
        <v>2</v>
      </c>
      <c r="D224" t="s">
        <v>24</v>
      </c>
      <c r="E224">
        <v>37</v>
      </c>
      <c r="F224">
        <v>45</v>
      </c>
      <c r="G224">
        <v>45</v>
      </c>
      <c r="H224">
        <v>37</v>
      </c>
      <c r="I224">
        <v>49</v>
      </c>
      <c r="J224">
        <v>52</v>
      </c>
      <c r="K224">
        <v>64</v>
      </c>
      <c r="L224">
        <v>79</v>
      </c>
      <c r="M224">
        <v>75</v>
      </c>
      <c r="N224">
        <v>66</v>
      </c>
      <c r="O224">
        <v>91</v>
      </c>
      <c r="P224">
        <v>85</v>
      </c>
      <c r="Q224">
        <v>129</v>
      </c>
      <c r="R224">
        <v>112</v>
      </c>
      <c r="S224">
        <v>123</v>
      </c>
      <c r="T224">
        <v>107</v>
      </c>
      <c r="U224">
        <v>103</v>
      </c>
      <c r="V224">
        <v>123</v>
      </c>
      <c r="W224">
        <v>151</v>
      </c>
      <c r="X224">
        <v>49</v>
      </c>
      <c r="Y224">
        <v>34</v>
      </c>
      <c r="Z224">
        <v>33</v>
      </c>
      <c r="AA224">
        <v>43</v>
      </c>
      <c r="AB224">
        <v>34</v>
      </c>
      <c r="AC224">
        <v>41</v>
      </c>
      <c r="AD224">
        <v>58</v>
      </c>
      <c r="AE224">
        <v>60</v>
      </c>
      <c r="AF224">
        <v>62</v>
      </c>
      <c r="AG224">
        <v>64</v>
      </c>
      <c r="AH224">
        <v>99</v>
      </c>
      <c r="AI224">
        <v>80</v>
      </c>
      <c r="AJ224">
        <v>91</v>
      </c>
      <c r="AK224">
        <v>100</v>
      </c>
      <c r="AL224">
        <v>109</v>
      </c>
      <c r="AM224">
        <v>117</v>
      </c>
      <c r="AN224">
        <v>119</v>
      </c>
      <c r="AO224">
        <v>113</v>
      </c>
      <c r="AP224">
        <v>133</v>
      </c>
      <c r="AQ224">
        <v>3012</v>
      </c>
      <c r="AR224">
        <v>0.66401062416998669</v>
      </c>
      <c r="AS224">
        <f t="shared" si="15"/>
        <v>0.19617081269312073</v>
      </c>
      <c r="AT224">
        <f t="shared" si="16"/>
        <v>1.5772133340526906E-2</v>
      </c>
      <c r="AU224">
        <f t="shared" si="17"/>
        <v>1.5772133340526906</v>
      </c>
      <c r="AV224">
        <f t="shared" si="18"/>
        <v>3</v>
      </c>
      <c r="AW224">
        <f t="shared" si="19"/>
        <v>9.3923170846247697E-2</v>
      </c>
    </row>
    <row r="225" spans="1:49" x14ac:dyDescent="0.3">
      <c r="A225" t="s">
        <v>285</v>
      </c>
      <c r="B225" t="s">
        <v>286</v>
      </c>
      <c r="C225">
        <v>1</v>
      </c>
      <c r="D225" t="s">
        <v>24</v>
      </c>
      <c r="E225">
        <v>75</v>
      </c>
      <c r="F225">
        <v>78</v>
      </c>
      <c r="G225">
        <v>69</v>
      </c>
      <c r="H225">
        <v>99</v>
      </c>
      <c r="I225">
        <v>89</v>
      </c>
      <c r="J225">
        <v>77</v>
      </c>
      <c r="K225">
        <v>108</v>
      </c>
      <c r="L225">
        <v>124</v>
      </c>
      <c r="M225">
        <v>129</v>
      </c>
      <c r="N225">
        <v>157</v>
      </c>
      <c r="O225">
        <v>162</v>
      </c>
      <c r="P225">
        <v>185</v>
      </c>
      <c r="Q225">
        <v>154</v>
      </c>
      <c r="R225">
        <v>153</v>
      </c>
      <c r="S225">
        <v>187</v>
      </c>
      <c r="T225">
        <v>180</v>
      </c>
      <c r="U225">
        <v>167</v>
      </c>
      <c r="V225">
        <v>177</v>
      </c>
      <c r="W225">
        <v>183</v>
      </c>
      <c r="X225">
        <v>61</v>
      </c>
      <c r="Y225">
        <v>63</v>
      </c>
      <c r="Z225">
        <v>66</v>
      </c>
      <c r="AA225">
        <v>71</v>
      </c>
      <c r="AB225">
        <v>90</v>
      </c>
      <c r="AC225">
        <v>99</v>
      </c>
      <c r="AD225">
        <v>118</v>
      </c>
      <c r="AE225">
        <v>104</v>
      </c>
      <c r="AF225">
        <v>119</v>
      </c>
      <c r="AG225">
        <v>146</v>
      </c>
      <c r="AH225">
        <v>185</v>
      </c>
      <c r="AI225">
        <v>164</v>
      </c>
      <c r="AJ225">
        <v>163</v>
      </c>
      <c r="AK225">
        <v>178</v>
      </c>
      <c r="AL225">
        <v>171</v>
      </c>
      <c r="AM225">
        <v>162</v>
      </c>
      <c r="AN225">
        <v>154</v>
      </c>
      <c r="AO225">
        <v>174</v>
      </c>
      <c r="AP225">
        <v>158</v>
      </c>
      <c r="AQ225">
        <v>4999</v>
      </c>
      <c r="AR225">
        <v>0.20004000800160029</v>
      </c>
      <c r="AS225">
        <f t="shared" si="15"/>
        <v>3.6515496111730036E-2</v>
      </c>
      <c r="AT225">
        <f t="shared" si="16"/>
        <v>2.9358458873830948E-3</v>
      </c>
      <c r="AU225">
        <f t="shared" si="17"/>
        <v>0.2935845887383095</v>
      </c>
      <c r="AV225">
        <f t="shared" si="18"/>
        <v>3</v>
      </c>
      <c r="AW225">
        <f t="shared" si="19"/>
        <v>9.3923170846247697E-2</v>
      </c>
    </row>
    <row r="226" spans="1:49" x14ac:dyDescent="0.3">
      <c r="A226" t="s">
        <v>287</v>
      </c>
      <c r="B226" t="s">
        <v>172</v>
      </c>
      <c r="C226">
        <v>1</v>
      </c>
      <c r="D226" t="s">
        <v>12</v>
      </c>
      <c r="E226">
        <v>25</v>
      </c>
      <c r="F226">
        <v>34</v>
      </c>
      <c r="G226">
        <v>29</v>
      </c>
      <c r="H226">
        <v>18</v>
      </c>
      <c r="I226">
        <v>32</v>
      </c>
      <c r="J226">
        <v>19</v>
      </c>
      <c r="K226">
        <v>29</v>
      </c>
      <c r="L226">
        <v>20</v>
      </c>
      <c r="M226">
        <v>33</v>
      </c>
      <c r="N226">
        <v>39</v>
      </c>
      <c r="O226">
        <v>28</v>
      </c>
      <c r="P226">
        <v>40</v>
      </c>
      <c r="Q226">
        <v>25</v>
      </c>
      <c r="R226">
        <v>47</v>
      </c>
      <c r="S226">
        <v>45</v>
      </c>
      <c r="T226">
        <v>39</v>
      </c>
      <c r="U226">
        <v>49</v>
      </c>
      <c r="V226">
        <v>52</v>
      </c>
      <c r="W226">
        <v>63</v>
      </c>
      <c r="X226">
        <v>25</v>
      </c>
      <c r="Y226">
        <v>26</v>
      </c>
      <c r="Z226">
        <v>22</v>
      </c>
      <c r="AA226">
        <v>22</v>
      </c>
      <c r="AB226">
        <v>28</v>
      </c>
      <c r="AC226">
        <v>34</v>
      </c>
      <c r="AD226">
        <v>32</v>
      </c>
      <c r="AE226">
        <v>32</v>
      </c>
      <c r="AF226">
        <v>36</v>
      </c>
      <c r="AG226">
        <v>31</v>
      </c>
      <c r="AH226">
        <v>45</v>
      </c>
      <c r="AI226">
        <v>35</v>
      </c>
      <c r="AJ226">
        <v>33</v>
      </c>
      <c r="AK226">
        <v>41</v>
      </c>
      <c r="AL226">
        <v>38</v>
      </c>
      <c r="AM226">
        <v>48</v>
      </c>
      <c r="AN226">
        <v>43</v>
      </c>
      <c r="AO226">
        <v>50</v>
      </c>
      <c r="AP226">
        <v>82</v>
      </c>
      <c r="AQ226">
        <v>1369</v>
      </c>
      <c r="AR226">
        <v>0.73046018991964934</v>
      </c>
      <c r="AS226">
        <f t="shared" si="15"/>
        <v>0.21903654187241869</v>
      </c>
      <c r="AT226">
        <f t="shared" si="16"/>
        <v>1.7610537966542463E-2</v>
      </c>
      <c r="AU226">
        <f t="shared" si="17"/>
        <v>1.7610537966542463</v>
      </c>
      <c r="AV226">
        <f t="shared" si="18"/>
        <v>3</v>
      </c>
      <c r="AW226">
        <f t="shared" si="19"/>
        <v>9.3923170846247697E-2</v>
      </c>
    </row>
    <row r="227" spans="1:49" x14ac:dyDescent="0.3">
      <c r="A227" t="s">
        <v>288</v>
      </c>
      <c r="B227" t="s">
        <v>89</v>
      </c>
      <c r="C227">
        <v>1</v>
      </c>
      <c r="D227" t="s">
        <v>24</v>
      </c>
      <c r="E227">
        <v>64</v>
      </c>
      <c r="F227">
        <v>69</v>
      </c>
      <c r="G227">
        <v>74</v>
      </c>
      <c r="H227">
        <v>84</v>
      </c>
      <c r="I227">
        <v>90</v>
      </c>
      <c r="J227">
        <v>70</v>
      </c>
      <c r="K227">
        <v>88</v>
      </c>
      <c r="L227">
        <v>111</v>
      </c>
      <c r="M227">
        <v>115</v>
      </c>
      <c r="N227">
        <v>147</v>
      </c>
      <c r="O227">
        <v>157</v>
      </c>
      <c r="P227">
        <v>158</v>
      </c>
      <c r="Q227">
        <v>153</v>
      </c>
      <c r="R227">
        <v>174</v>
      </c>
      <c r="S227">
        <v>147</v>
      </c>
      <c r="T227">
        <v>157</v>
      </c>
      <c r="U227">
        <v>116</v>
      </c>
      <c r="V227">
        <v>137</v>
      </c>
      <c r="W227">
        <v>126</v>
      </c>
      <c r="X227">
        <v>88</v>
      </c>
      <c r="Y227">
        <v>77</v>
      </c>
      <c r="Z227">
        <v>84</v>
      </c>
      <c r="AA227">
        <v>77</v>
      </c>
      <c r="AB227">
        <v>84</v>
      </c>
      <c r="AC227">
        <v>81</v>
      </c>
      <c r="AD227">
        <v>81</v>
      </c>
      <c r="AE227">
        <v>115</v>
      </c>
      <c r="AF227">
        <v>112</v>
      </c>
      <c r="AG227">
        <v>129</v>
      </c>
      <c r="AH227">
        <v>158</v>
      </c>
      <c r="AI227">
        <v>150</v>
      </c>
      <c r="AJ227">
        <v>150</v>
      </c>
      <c r="AK227">
        <v>163</v>
      </c>
      <c r="AL227">
        <v>161</v>
      </c>
      <c r="AM227">
        <v>142</v>
      </c>
      <c r="AN227">
        <v>138</v>
      </c>
      <c r="AO227">
        <v>121</v>
      </c>
      <c r="AP227">
        <v>132</v>
      </c>
      <c r="AQ227">
        <v>4480</v>
      </c>
      <c r="AR227">
        <v>0.2232142857142857</v>
      </c>
      <c r="AS227">
        <f t="shared" si="15"/>
        <v>4.4489916292298266E-2</v>
      </c>
      <c r="AT227">
        <f t="shared" si="16"/>
        <v>3.5769892699007806E-3</v>
      </c>
      <c r="AU227">
        <f t="shared" si="17"/>
        <v>0.35769892699007805</v>
      </c>
      <c r="AV227">
        <f t="shared" si="18"/>
        <v>3</v>
      </c>
      <c r="AW227">
        <f t="shared" si="19"/>
        <v>9.3923170846247697E-2</v>
      </c>
    </row>
    <row r="228" spans="1:49" x14ac:dyDescent="0.3">
      <c r="A228" t="s">
        <v>289</v>
      </c>
      <c r="B228" t="s">
        <v>124</v>
      </c>
      <c r="C228">
        <v>2</v>
      </c>
      <c r="D228" t="s">
        <v>12</v>
      </c>
      <c r="E228">
        <v>22</v>
      </c>
      <c r="F228">
        <v>25</v>
      </c>
      <c r="G228">
        <v>23</v>
      </c>
      <c r="H228">
        <v>19</v>
      </c>
      <c r="I228">
        <v>22</v>
      </c>
      <c r="J228">
        <v>16</v>
      </c>
      <c r="K228">
        <v>23</v>
      </c>
      <c r="L228">
        <v>30</v>
      </c>
      <c r="M228">
        <v>26</v>
      </c>
      <c r="N228">
        <v>35</v>
      </c>
      <c r="O228">
        <v>42</v>
      </c>
      <c r="P228">
        <v>28</v>
      </c>
      <c r="Q228">
        <v>39</v>
      </c>
      <c r="R228">
        <v>41</v>
      </c>
      <c r="S228">
        <v>43</v>
      </c>
      <c r="T228">
        <v>40</v>
      </c>
      <c r="U228">
        <v>38</v>
      </c>
      <c r="V228">
        <v>61</v>
      </c>
      <c r="W228">
        <v>66</v>
      </c>
      <c r="X228">
        <v>25</v>
      </c>
      <c r="Y228">
        <v>28</v>
      </c>
      <c r="Z228">
        <v>18</v>
      </c>
      <c r="AA228">
        <v>19</v>
      </c>
      <c r="AB228">
        <v>16</v>
      </c>
      <c r="AC228">
        <v>14</v>
      </c>
      <c r="AD228">
        <v>26</v>
      </c>
      <c r="AE228">
        <v>18</v>
      </c>
      <c r="AF228">
        <v>31</v>
      </c>
      <c r="AG228">
        <v>45</v>
      </c>
      <c r="AH228">
        <v>26</v>
      </c>
      <c r="AI228">
        <v>39</v>
      </c>
      <c r="AJ228">
        <v>36</v>
      </c>
      <c r="AK228">
        <v>39</v>
      </c>
      <c r="AL228">
        <v>36</v>
      </c>
      <c r="AM228">
        <v>57</v>
      </c>
      <c r="AN228">
        <v>26</v>
      </c>
      <c r="AO228">
        <v>42</v>
      </c>
      <c r="AP228">
        <v>67</v>
      </c>
      <c r="AQ228">
        <v>1247</v>
      </c>
      <c r="AR228">
        <v>1.6038492381716121</v>
      </c>
      <c r="AS228">
        <f t="shared" si="15"/>
        <v>0.51957541252102879</v>
      </c>
      <c r="AT228">
        <f t="shared" si="16"/>
        <v>4.1773863166690711E-2</v>
      </c>
      <c r="AU228">
        <f t="shared" si="17"/>
        <v>4.1773863166690708</v>
      </c>
      <c r="AV228">
        <f t="shared" si="18"/>
        <v>3</v>
      </c>
      <c r="AW228">
        <f t="shared" si="19"/>
        <v>9.3923170846247697E-2</v>
      </c>
    </row>
    <row r="229" spans="1:49" x14ac:dyDescent="0.3">
      <c r="A229" t="s">
        <v>290</v>
      </c>
      <c r="B229" t="s">
        <v>124</v>
      </c>
      <c r="C229">
        <v>1</v>
      </c>
      <c r="D229" t="s">
        <v>12</v>
      </c>
      <c r="E229">
        <v>28</v>
      </c>
      <c r="F229">
        <v>16</v>
      </c>
      <c r="G229">
        <v>19</v>
      </c>
      <c r="H229">
        <v>14</v>
      </c>
      <c r="I229">
        <v>19</v>
      </c>
      <c r="J229">
        <v>21</v>
      </c>
      <c r="K229">
        <v>16</v>
      </c>
      <c r="L229">
        <v>14</v>
      </c>
      <c r="M229">
        <v>20</v>
      </c>
      <c r="N229">
        <v>27</v>
      </c>
      <c r="O229">
        <v>31</v>
      </c>
      <c r="P229">
        <v>27</v>
      </c>
      <c r="Q229">
        <v>22</v>
      </c>
      <c r="R229">
        <v>26</v>
      </c>
      <c r="S229">
        <v>23</v>
      </c>
      <c r="T229">
        <v>28</v>
      </c>
      <c r="U229">
        <v>41</v>
      </c>
      <c r="V229">
        <v>50</v>
      </c>
      <c r="W229">
        <v>43</v>
      </c>
      <c r="X229">
        <v>32</v>
      </c>
      <c r="Y229">
        <v>17</v>
      </c>
      <c r="Z229">
        <v>13</v>
      </c>
      <c r="AA229">
        <v>20</v>
      </c>
      <c r="AB229">
        <v>18</v>
      </c>
      <c r="AC229">
        <v>18</v>
      </c>
      <c r="AD229">
        <v>20</v>
      </c>
      <c r="AE229">
        <v>19</v>
      </c>
      <c r="AF229">
        <v>22</v>
      </c>
      <c r="AG229">
        <v>18</v>
      </c>
      <c r="AH229">
        <v>24</v>
      </c>
      <c r="AI229">
        <v>19</v>
      </c>
      <c r="AJ229">
        <v>37</v>
      </c>
      <c r="AK229">
        <v>30</v>
      </c>
      <c r="AL229">
        <v>30</v>
      </c>
      <c r="AM229">
        <v>29</v>
      </c>
      <c r="AN229">
        <v>38</v>
      </c>
      <c r="AO229">
        <v>25</v>
      </c>
      <c r="AP229">
        <v>39</v>
      </c>
      <c r="AQ229">
        <v>953</v>
      </c>
      <c r="AR229">
        <v>1.0493179433368309</v>
      </c>
      <c r="AS229">
        <f t="shared" si="15"/>
        <v>0.32875757547290774</v>
      </c>
      <c r="AT229">
        <f t="shared" si="16"/>
        <v>2.6432109068021781E-2</v>
      </c>
      <c r="AU229">
        <f t="shared" si="17"/>
        <v>2.6432109068021781</v>
      </c>
      <c r="AV229">
        <f t="shared" si="18"/>
        <v>3</v>
      </c>
      <c r="AW229">
        <f t="shared" si="19"/>
        <v>9.3923170846247697E-2</v>
      </c>
    </row>
    <row r="230" spans="1:49" x14ac:dyDescent="0.3">
      <c r="A230" t="s">
        <v>291</v>
      </c>
      <c r="B230" t="s">
        <v>26</v>
      </c>
      <c r="C230">
        <v>1</v>
      </c>
      <c r="D230" t="s">
        <v>17</v>
      </c>
      <c r="E230">
        <v>85</v>
      </c>
      <c r="F230">
        <v>98</v>
      </c>
      <c r="G230">
        <v>115</v>
      </c>
      <c r="H230">
        <v>109</v>
      </c>
      <c r="I230">
        <v>132</v>
      </c>
      <c r="J230">
        <v>150</v>
      </c>
      <c r="K230">
        <v>195</v>
      </c>
      <c r="L230">
        <v>227</v>
      </c>
      <c r="M230">
        <v>245</v>
      </c>
      <c r="N230">
        <v>302</v>
      </c>
      <c r="O230">
        <v>298</v>
      </c>
      <c r="P230">
        <v>356</v>
      </c>
      <c r="Q230">
        <v>295</v>
      </c>
      <c r="R230">
        <v>298</v>
      </c>
      <c r="S230">
        <v>305</v>
      </c>
      <c r="T230">
        <v>281</v>
      </c>
      <c r="U230">
        <v>235</v>
      </c>
      <c r="V230">
        <v>225</v>
      </c>
      <c r="W230">
        <v>208</v>
      </c>
      <c r="X230">
        <v>81</v>
      </c>
      <c r="Y230">
        <v>98</v>
      </c>
      <c r="Z230">
        <v>104</v>
      </c>
      <c r="AA230">
        <v>102</v>
      </c>
      <c r="AB230">
        <v>119</v>
      </c>
      <c r="AC230">
        <v>134</v>
      </c>
      <c r="AD230">
        <v>217</v>
      </c>
      <c r="AE230">
        <v>220</v>
      </c>
      <c r="AF230">
        <v>214</v>
      </c>
      <c r="AG230">
        <v>260</v>
      </c>
      <c r="AH230">
        <v>294</v>
      </c>
      <c r="AI230">
        <v>274</v>
      </c>
      <c r="AJ230">
        <v>276</v>
      </c>
      <c r="AK230">
        <v>283</v>
      </c>
      <c r="AL230">
        <v>261</v>
      </c>
      <c r="AM230">
        <v>220</v>
      </c>
      <c r="AN230">
        <v>209</v>
      </c>
      <c r="AO230">
        <v>184</v>
      </c>
      <c r="AP230">
        <v>182</v>
      </c>
      <c r="AQ230">
        <v>7891</v>
      </c>
      <c r="AR230">
        <v>0.12672665061462421</v>
      </c>
      <c r="AS230">
        <f t="shared" si="15"/>
        <v>1.1287891441579287E-2</v>
      </c>
      <c r="AT230">
        <f t="shared" si="16"/>
        <v>9.0754647190297467E-4</v>
      </c>
      <c r="AU230">
        <f t="shared" si="17"/>
        <v>9.0754647190297466E-2</v>
      </c>
      <c r="AV230">
        <f t="shared" si="18"/>
        <v>3</v>
      </c>
      <c r="AW230">
        <f t="shared" si="19"/>
        <v>9.3923170846247697E-2</v>
      </c>
    </row>
    <row r="231" spans="1:49" x14ac:dyDescent="0.3">
      <c r="A231" t="s">
        <v>292</v>
      </c>
      <c r="B231" t="s">
        <v>121</v>
      </c>
      <c r="C231">
        <v>1</v>
      </c>
      <c r="D231" t="s">
        <v>12</v>
      </c>
      <c r="E231">
        <v>80</v>
      </c>
      <c r="F231">
        <v>82</v>
      </c>
      <c r="G231">
        <v>78</v>
      </c>
      <c r="H231">
        <v>67</v>
      </c>
      <c r="I231">
        <v>73</v>
      </c>
      <c r="J231">
        <v>52</v>
      </c>
      <c r="K231">
        <v>65</v>
      </c>
      <c r="L231">
        <v>65</v>
      </c>
      <c r="M231">
        <v>95</v>
      </c>
      <c r="N231">
        <v>95</v>
      </c>
      <c r="O231">
        <v>82</v>
      </c>
      <c r="P231">
        <v>85</v>
      </c>
      <c r="Q231">
        <v>83</v>
      </c>
      <c r="R231">
        <v>80</v>
      </c>
      <c r="S231">
        <v>107</v>
      </c>
      <c r="T231">
        <v>88</v>
      </c>
      <c r="U231">
        <v>88</v>
      </c>
      <c r="V231">
        <v>111</v>
      </c>
      <c r="W231">
        <v>125</v>
      </c>
      <c r="X231">
        <v>80</v>
      </c>
      <c r="Y231">
        <v>69</v>
      </c>
      <c r="Z231">
        <v>44</v>
      </c>
      <c r="AA231">
        <v>53</v>
      </c>
      <c r="AB231">
        <v>66</v>
      </c>
      <c r="AC231">
        <v>49</v>
      </c>
      <c r="AD231">
        <v>55</v>
      </c>
      <c r="AE231">
        <v>69</v>
      </c>
      <c r="AF231">
        <v>70</v>
      </c>
      <c r="AG231">
        <v>84</v>
      </c>
      <c r="AH231">
        <v>83</v>
      </c>
      <c r="AI231">
        <v>70</v>
      </c>
      <c r="AJ231">
        <v>81</v>
      </c>
      <c r="AK231">
        <v>86</v>
      </c>
      <c r="AL231">
        <v>81</v>
      </c>
      <c r="AM231">
        <v>82</v>
      </c>
      <c r="AN231">
        <v>89</v>
      </c>
      <c r="AO231">
        <v>75</v>
      </c>
      <c r="AP231">
        <v>96</v>
      </c>
      <c r="AQ231">
        <v>2983</v>
      </c>
      <c r="AR231">
        <v>0.33523298692591352</v>
      </c>
      <c r="AS231">
        <f t="shared" si="15"/>
        <v>8.3036282337358269E-2</v>
      </c>
      <c r="AT231">
        <f t="shared" si="16"/>
        <v>6.6761170999236046E-3</v>
      </c>
      <c r="AU231">
        <f t="shared" si="17"/>
        <v>0.66761170999236041</v>
      </c>
      <c r="AV231">
        <f t="shared" si="18"/>
        <v>3</v>
      </c>
      <c r="AW231">
        <f t="shared" si="19"/>
        <v>9.3923170846247697E-2</v>
      </c>
    </row>
    <row r="232" spans="1:49" x14ac:dyDescent="0.3">
      <c r="A232" t="s">
        <v>293</v>
      </c>
      <c r="B232" t="s">
        <v>16</v>
      </c>
      <c r="C232">
        <v>2</v>
      </c>
      <c r="D232" t="s">
        <v>17</v>
      </c>
      <c r="E232">
        <v>43</v>
      </c>
      <c r="F232">
        <v>26</v>
      </c>
      <c r="G232">
        <v>27</v>
      </c>
      <c r="H232">
        <v>27</v>
      </c>
      <c r="I232">
        <v>31</v>
      </c>
      <c r="J232">
        <v>24</v>
      </c>
      <c r="K232">
        <v>38</v>
      </c>
      <c r="L232">
        <v>31</v>
      </c>
      <c r="M232">
        <v>39</v>
      </c>
      <c r="N232">
        <v>56</v>
      </c>
      <c r="O232">
        <v>46</v>
      </c>
      <c r="P232">
        <v>54</v>
      </c>
      <c r="Q232">
        <v>44</v>
      </c>
      <c r="R232">
        <v>62</v>
      </c>
      <c r="S232">
        <v>82</v>
      </c>
      <c r="T232">
        <v>62</v>
      </c>
      <c r="U232">
        <v>67</v>
      </c>
      <c r="V232">
        <v>68</v>
      </c>
      <c r="W232">
        <v>62</v>
      </c>
      <c r="X232">
        <v>31</v>
      </c>
      <c r="Y232">
        <v>26</v>
      </c>
      <c r="Z232">
        <v>26</v>
      </c>
      <c r="AA232">
        <v>31</v>
      </c>
      <c r="AB232">
        <v>20</v>
      </c>
      <c r="AC232">
        <v>24</v>
      </c>
      <c r="AD232">
        <v>34</v>
      </c>
      <c r="AE232">
        <v>38</v>
      </c>
      <c r="AF232">
        <v>33</v>
      </c>
      <c r="AG232">
        <v>41</v>
      </c>
      <c r="AH232">
        <v>55</v>
      </c>
      <c r="AI232">
        <v>50</v>
      </c>
      <c r="AJ232">
        <v>66</v>
      </c>
      <c r="AK232">
        <v>43</v>
      </c>
      <c r="AL232">
        <v>64</v>
      </c>
      <c r="AM232">
        <v>64</v>
      </c>
      <c r="AN232">
        <v>53</v>
      </c>
      <c r="AO232">
        <v>46</v>
      </c>
      <c r="AP232">
        <v>69</v>
      </c>
      <c r="AQ232">
        <v>1703</v>
      </c>
      <c r="AR232">
        <v>1.1743981209630061</v>
      </c>
      <c r="AS232">
        <f t="shared" si="15"/>
        <v>0.37179848078255795</v>
      </c>
      <c r="AT232">
        <f t="shared" si="16"/>
        <v>2.9892597854917657E-2</v>
      </c>
      <c r="AU232">
        <f t="shared" si="17"/>
        <v>2.9892597854917655</v>
      </c>
      <c r="AV232">
        <f t="shared" si="18"/>
        <v>3</v>
      </c>
      <c r="AW232">
        <f t="shared" si="19"/>
        <v>9.3923170846247697E-2</v>
      </c>
    </row>
    <row r="233" spans="1:49" x14ac:dyDescent="0.3">
      <c r="A233" t="s">
        <v>294</v>
      </c>
      <c r="B233" t="s">
        <v>16</v>
      </c>
      <c r="C233">
        <v>4</v>
      </c>
      <c r="D233" t="s">
        <v>17</v>
      </c>
      <c r="E233">
        <v>28</v>
      </c>
      <c r="F233">
        <v>15</v>
      </c>
      <c r="G233">
        <v>20</v>
      </c>
      <c r="H233">
        <v>17</v>
      </c>
      <c r="I233">
        <v>21</v>
      </c>
      <c r="J233">
        <v>17</v>
      </c>
      <c r="K233">
        <v>24</v>
      </c>
      <c r="L233">
        <v>22</v>
      </c>
      <c r="M233">
        <v>24</v>
      </c>
      <c r="N233">
        <v>30</v>
      </c>
      <c r="O233">
        <v>26</v>
      </c>
      <c r="P233">
        <v>36</v>
      </c>
      <c r="Q233">
        <v>39</v>
      </c>
      <c r="R233">
        <v>51</v>
      </c>
      <c r="S233">
        <v>50</v>
      </c>
      <c r="T233">
        <v>59</v>
      </c>
      <c r="U233">
        <v>50</v>
      </c>
      <c r="V233">
        <v>44</v>
      </c>
      <c r="W233">
        <v>46</v>
      </c>
      <c r="X233">
        <v>21</v>
      </c>
      <c r="Y233">
        <v>24</v>
      </c>
      <c r="Z233">
        <v>20</v>
      </c>
      <c r="AA233">
        <v>12</v>
      </c>
      <c r="AB233">
        <v>19</v>
      </c>
      <c r="AC233">
        <v>18</v>
      </c>
      <c r="AD233">
        <v>15</v>
      </c>
      <c r="AE233">
        <v>15</v>
      </c>
      <c r="AF233">
        <v>20</v>
      </c>
      <c r="AG233">
        <v>16</v>
      </c>
      <c r="AH233">
        <v>29</v>
      </c>
      <c r="AI233">
        <v>31</v>
      </c>
      <c r="AJ233">
        <v>44</v>
      </c>
      <c r="AK233">
        <v>34</v>
      </c>
      <c r="AL233">
        <v>28</v>
      </c>
      <c r="AM233">
        <v>53</v>
      </c>
      <c r="AN233">
        <v>45</v>
      </c>
      <c r="AO233">
        <v>51</v>
      </c>
      <c r="AP233">
        <v>45</v>
      </c>
      <c r="AQ233">
        <v>1159</v>
      </c>
      <c r="AR233">
        <v>3</v>
      </c>
      <c r="AS233">
        <f t="shared" si="15"/>
        <v>1</v>
      </c>
      <c r="AT233">
        <f t="shared" si="16"/>
        <v>8.0399999999999999E-2</v>
      </c>
      <c r="AU233">
        <f t="shared" si="17"/>
        <v>8.0399999999999991</v>
      </c>
      <c r="AV233">
        <f t="shared" si="18"/>
        <v>3</v>
      </c>
      <c r="AW233">
        <f t="shared" si="19"/>
        <v>9.3923170846247697E-2</v>
      </c>
    </row>
    <row r="234" spans="1:49" x14ac:dyDescent="0.3">
      <c r="A234" t="s">
        <v>295</v>
      </c>
      <c r="B234" t="s">
        <v>222</v>
      </c>
      <c r="C234">
        <v>2</v>
      </c>
      <c r="D234" t="s">
        <v>24</v>
      </c>
      <c r="E234">
        <v>88</v>
      </c>
      <c r="F234">
        <v>61</v>
      </c>
      <c r="G234">
        <v>64</v>
      </c>
      <c r="H234">
        <v>66</v>
      </c>
      <c r="I234">
        <v>63</v>
      </c>
      <c r="J234">
        <v>42</v>
      </c>
      <c r="K234">
        <v>59</v>
      </c>
      <c r="L234">
        <v>63</v>
      </c>
      <c r="M234">
        <v>80</v>
      </c>
      <c r="N234">
        <v>75</v>
      </c>
      <c r="O234">
        <v>79</v>
      </c>
      <c r="P234">
        <v>106</v>
      </c>
      <c r="Q234">
        <v>100</v>
      </c>
      <c r="R234">
        <v>112</v>
      </c>
      <c r="S234">
        <v>123</v>
      </c>
      <c r="T234">
        <v>97</v>
      </c>
      <c r="U234">
        <v>103</v>
      </c>
      <c r="V234">
        <v>121</v>
      </c>
      <c r="W234">
        <v>129</v>
      </c>
      <c r="X234">
        <v>70</v>
      </c>
      <c r="Y234">
        <v>65</v>
      </c>
      <c r="Z234">
        <v>58</v>
      </c>
      <c r="AA234">
        <v>57</v>
      </c>
      <c r="AB234">
        <v>60</v>
      </c>
      <c r="AC234">
        <v>50</v>
      </c>
      <c r="AD234">
        <v>62</v>
      </c>
      <c r="AE234">
        <v>66</v>
      </c>
      <c r="AF234">
        <v>78</v>
      </c>
      <c r="AG234">
        <v>87</v>
      </c>
      <c r="AH234">
        <v>90</v>
      </c>
      <c r="AI234">
        <v>87</v>
      </c>
      <c r="AJ234">
        <v>85</v>
      </c>
      <c r="AK234">
        <v>79</v>
      </c>
      <c r="AL234">
        <v>100</v>
      </c>
      <c r="AM234">
        <v>89</v>
      </c>
      <c r="AN234">
        <v>80</v>
      </c>
      <c r="AO234">
        <v>93</v>
      </c>
      <c r="AP234">
        <v>102</v>
      </c>
      <c r="AQ234">
        <v>3089</v>
      </c>
      <c r="AR234">
        <v>0.6474587245063127</v>
      </c>
      <c r="AS234">
        <f t="shared" si="15"/>
        <v>0.19047519601236909</v>
      </c>
      <c r="AT234">
        <f t="shared" si="16"/>
        <v>1.5314205759394475E-2</v>
      </c>
      <c r="AU234">
        <f t="shared" si="17"/>
        <v>1.5314205759394475</v>
      </c>
      <c r="AV234">
        <f t="shared" si="18"/>
        <v>3</v>
      </c>
      <c r="AW234">
        <f t="shared" si="19"/>
        <v>9.3923170846247697E-2</v>
      </c>
    </row>
    <row r="235" spans="1:49" x14ac:dyDescent="0.3">
      <c r="A235" t="s">
        <v>296</v>
      </c>
      <c r="B235" t="s">
        <v>50</v>
      </c>
      <c r="C235">
        <v>1</v>
      </c>
      <c r="D235" t="s">
        <v>12</v>
      </c>
      <c r="E235">
        <v>61</v>
      </c>
      <c r="F235">
        <v>54</v>
      </c>
      <c r="G235">
        <v>46</v>
      </c>
      <c r="H235">
        <v>46</v>
      </c>
      <c r="I235">
        <v>51</v>
      </c>
      <c r="J235">
        <v>27</v>
      </c>
      <c r="K235">
        <v>51</v>
      </c>
      <c r="L235">
        <v>51</v>
      </c>
      <c r="M235">
        <v>43</v>
      </c>
      <c r="N235">
        <v>62</v>
      </c>
      <c r="O235">
        <v>56</v>
      </c>
      <c r="P235">
        <v>66</v>
      </c>
      <c r="Q235">
        <v>61</v>
      </c>
      <c r="R235">
        <v>76</v>
      </c>
      <c r="S235">
        <v>85</v>
      </c>
      <c r="T235">
        <v>77</v>
      </c>
      <c r="U235">
        <v>61</v>
      </c>
      <c r="V235">
        <v>82</v>
      </c>
      <c r="W235">
        <v>75</v>
      </c>
      <c r="X235">
        <v>61</v>
      </c>
      <c r="Y235">
        <v>51</v>
      </c>
      <c r="Z235">
        <v>27</v>
      </c>
      <c r="AA235">
        <v>47</v>
      </c>
      <c r="AB235">
        <v>48</v>
      </c>
      <c r="AC235">
        <v>53</v>
      </c>
      <c r="AD235">
        <v>44</v>
      </c>
      <c r="AE235">
        <v>39</v>
      </c>
      <c r="AF235">
        <v>44</v>
      </c>
      <c r="AG235">
        <v>66</v>
      </c>
      <c r="AH235">
        <v>45</v>
      </c>
      <c r="AI235">
        <v>61</v>
      </c>
      <c r="AJ235">
        <v>68</v>
      </c>
      <c r="AK235">
        <v>65</v>
      </c>
      <c r="AL235">
        <v>73</v>
      </c>
      <c r="AM235">
        <v>89</v>
      </c>
      <c r="AN235">
        <v>77</v>
      </c>
      <c r="AO235">
        <v>80</v>
      </c>
      <c r="AP235">
        <v>93</v>
      </c>
      <c r="AQ235">
        <v>2262</v>
      </c>
      <c r="AR235">
        <v>0.4420866489832006</v>
      </c>
      <c r="AS235">
        <f t="shared" si="15"/>
        <v>0.11980532470586398</v>
      </c>
      <c r="AT235">
        <f t="shared" si="16"/>
        <v>9.6323481063514647E-3</v>
      </c>
      <c r="AU235">
        <f t="shared" si="17"/>
        <v>0.96323481063514649</v>
      </c>
      <c r="AV235">
        <f t="shared" si="18"/>
        <v>3</v>
      </c>
      <c r="AW235">
        <f t="shared" si="19"/>
        <v>9.3923170846247697E-2</v>
      </c>
    </row>
    <row r="236" spans="1:49" x14ac:dyDescent="0.3">
      <c r="A236" t="s">
        <v>297</v>
      </c>
      <c r="B236" t="s">
        <v>298</v>
      </c>
      <c r="C236">
        <v>3</v>
      </c>
      <c r="D236" t="s">
        <v>17</v>
      </c>
      <c r="E236">
        <v>40</v>
      </c>
      <c r="F236">
        <v>47</v>
      </c>
      <c r="G236">
        <v>33</v>
      </c>
      <c r="H236">
        <v>35</v>
      </c>
      <c r="I236">
        <v>36</v>
      </c>
      <c r="J236">
        <v>39</v>
      </c>
      <c r="K236">
        <v>58</v>
      </c>
      <c r="L236">
        <v>50</v>
      </c>
      <c r="M236">
        <v>47</v>
      </c>
      <c r="N236">
        <v>38</v>
      </c>
      <c r="O236">
        <v>58</v>
      </c>
      <c r="P236">
        <v>52</v>
      </c>
      <c r="Q236">
        <v>52</v>
      </c>
      <c r="R236">
        <v>55</v>
      </c>
      <c r="S236">
        <v>44</v>
      </c>
      <c r="T236">
        <v>67</v>
      </c>
      <c r="U236">
        <v>45</v>
      </c>
      <c r="V236">
        <v>59</v>
      </c>
      <c r="W236">
        <v>62</v>
      </c>
      <c r="X236">
        <v>32</v>
      </c>
      <c r="Y236">
        <v>43</v>
      </c>
      <c r="Z236">
        <v>34</v>
      </c>
      <c r="AA236">
        <v>39</v>
      </c>
      <c r="AB236">
        <v>43</v>
      </c>
      <c r="AC236">
        <v>47</v>
      </c>
      <c r="AD236">
        <v>36</v>
      </c>
      <c r="AE236">
        <v>34</v>
      </c>
      <c r="AF236">
        <v>39</v>
      </c>
      <c r="AG236">
        <v>43</v>
      </c>
      <c r="AH236">
        <v>44</v>
      </c>
      <c r="AI236">
        <v>43</v>
      </c>
      <c r="AJ236">
        <v>41</v>
      </c>
      <c r="AK236">
        <v>46</v>
      </c>
      <c r="AL236">
        <v>59</v>
      </c>
      <c r="AM236">
        <v>61</v>
      </c>
      <c r="AN236">
        <v>54</v>
      </c>
      <c r="AO236">
        <v>43</v>
      </c>
      <c r="AP236">
        <v>47</v>
      </c>
      <c r="AQ236">
        <v>1745</v>
      </c>
      <c r="AR236">
        <v>1.71919770773639</v>
      </c>
      <c r="AS236">
        <f t="shared" si="15"/>
        <v>0.55926757358421975</v>
      </c>
      <c r="AT236">
        <f t="shared" si="16"/>
        <v>4.4965112916171265E-2</v>
      </c>
      <c r="AU236">
        <f t="shared" si="17"/>
        <v>4.4965112916171268</v>
      </c>
      <c r="AV236">
        <f t="shared" si="18"/>
        <v>3</v>
      </c>
      <c r="AW236">
        <f t="shared" si="19"/>
        <v>9.3923170846247697E-2</v>
      </c>
    </row>
    <row r="237" spans="1:49" x14ac:dyDescent="0.3">
      <c r="A237" t="s">
        <v>299</v>
      </c>
      <c r="B237" t="s">
        <v>59</v>
      </c>
      <c r="C237">
        <v>2</v>
      </c>
      <c r="D237" t="s">
        <v>24</v>
      </c>
      <c r="E237">
        <v>49</v>
      </c>
      <c r="F237">
        <v>72</v>
      </c>
      <c r="G237">
        <v>70</v>
      </c>
      <c r="H237">
        <v>61</v>
      </c>
      <c r="I237">
        <v>57</v>
      </c>
      <c r="J237">
        <v>63</v>
      </c>
      <c r="K237">
        <v>76</v>
      </c>
      <c r="L237">
        <v>105</v>
      </c>
      <c r="M237">
        <v>82</v>
      </c>
      <c r="N237">
        <v>105</v>
      </c>
      <c r="O237">
        <v>113</v>
      </c>
      <c r="P237">
        <v>111</v>
      </c>
      <c r="Q237">
        <v>136</v>
      </c>
      <c r="R237">
        <v>146</v>
      </c>
      <c r="S237">
        <v>144</v>
      </c>
      <c r="T237">
        <v>160</v>
      </c>
      <c r="U237">
        <v>146</v>
      </c>
      <c r="V237">
        <v>151</v>
      </c>
      <c r="W237">
        <v>169</v>
      </c>
      <c r="X237">
        <v>48</v>
      </c>
      <c r="Y237">
        <v>52</v>
      </c>
      <c r="Z237">
        <v>55</v>
      </c>
      <c r="AA237">
        <v>69</v>
      </c>
      <c r="AB237">
        <v>81</v>
      </c>
      <c r="AC237">
        <v>68</v>
      </c>
      <c r="AD237">
        <v>70</v>
      </c>
      <c r="AE237">
        <v>84</v>
      </c>
      <c r="AF237">
        <v>83</v>
      </c>
      <c r="AG237">
        <v>93</v>
      </c>
      <c r="AH237">
        <v>111</v>
      </c>
      <c r="AI237">
        <v>134</v>
      </c>
      <c r="AJ237">
        <v>90</v>
      </c>
      <c r="AK237">
        <v>132</v>
      </c>
      <c r="AL237">
        <v>135</v>
      </c>
      <c r="AM237">
        <v>161</v>
      </c>
      <c r="AN237">
        <v>125</v>
      </c>
      <c r="AO237">
        <v>140</v>
      </c>
      <c r="AP237">
        <v>158</v>
      </c>
      <c r="AQ237">
        <v>3905</v>
      </c>
      <c r="AR237">
        <v>0.51216389244558258</v>
      </c>
      <c r="AS237">
        <f t="shared" si="15"/>
        <v>0.14391936145787526</v>
      </c>
      <c r="AT237">
        <f t="shared" si="16"/>
        <v>1.157111666121317E-2</v>
      </c>
      <c r="AU237">
        <f t="shared" si="17"/>
        <v>1.157111666121317</v>
      </c>
      <c r="AV237">
        <f t="shared" si="18"/>
        <v>3</v>
      </c>
      <c r="AW237">
        <f t="shared" si="19"/>
        <v>9.3923170846247697E-2</v>
      </c>
    </row>
    <row r="238" spans="1:49" x14ac:dyDescent="0.3">
      <c r="A238" t="s">
        <v>300</v>
      </c>
      <c r="B238" t="s">
        <v>111</v>
      </c>
      <c r="C238">
        <v>4</v>
      </c>
      <c r="D238" t="s">
        <v>24</v>
      </c>
      <c r="E238">
        <v>59</v>
      </c>
      <c r="F238">
        <v>50</v>
      </c>
      <c r="G238">
        <v>43</v>
      </c>
      <c r="H238">
        <v>42</v>
      </c>
      <c r="I238">
        <v>37</v>
      </c>
      <c r="J238">
        <v>42</v>
      </c>
      <c r="K238">
        <v>39</v>
      </c>
      <c r="L238">
        <v>38</v>
      </c>
      <c r="M238">
        <v>45</v>
      </c>
      <c r="N238">
        <v>57</v>
      </c>
      <c r="O238">
        <v>53</v>
      </c>
      <c r="P238">
        <v>63</v>
      </c>
      <c r="Q238">
        <v>76</v>
      </c>
      <c r="R238">
        <v>78</v>
      </c>
      <c r="S238">
        <v>86</v>
      </c>
      <c r="T238">
        <v>74</v>
      </c>
      <c r="U238">
        <v>103</v>
      </c>
      <c r="V238">
        <v>89</v>
      </c>
      <c r="W238">
        <v>105</v>
      </c>
      <c r="X238">
        <v>50</v>
      </c>
      <c r="Y238">
        <v>59</v>
      </c>
      <c r="Z238">
        <v>54</v>
      </c>
      <c r="AA238">
        <v>38</v>
      </c>
      <c r="AB238">
        <v>33</v>
      </c>
      <c r="AC238">
        <v>42</v>
      </c>
      <c r="AD238">
        <v>40</v>
      </c>
      <c r="AE238">
        <v>43</v>
      </c>
      <c r="AF238">
        <v>44</v>
      </c>
      <c r="AG238">
        <v>51</v>
      </c>
      <c r="AH238">
        <v>64</v>
      </c>
      <c r="AI238">
        <v>64</v>
      </c>
      <c r="AJ238">
        <v>56</v>
      </c>
      <c r="AK238">
        <v>88</v>
      </c>
      <c r="AL238">
        <v>68</v>
      </c>
      <c r="AM238">
        <v>79</v>
      </c>
      <c r="AN238">
        <v>75</v>
      </c>
      <c r="AO238">
        <v>95</v>
      </c>
      <c r="AP238">
        <v>114</v>
      </c>
      <c r="AQ238">
        <v>2336</v>
      </c>
      <c r="AR238">
        <v>1.7123287671232881</v>
      </c>
      <c r="AS238">
        <f t="shared" si="15"/>
        <v>0.55690392629719943</v>
      </c>
      <c r="AT238">
        <f t="shared" si="16"/>
        <v>4.4775075674294833E-2</v>
      </c>
      <c r="AU238">
        <f t="shared" si="17"/>
        <v>4.4775075674294831</v>
      </c>
      <c r="AV238">
        <f t="shared" si="18"/>
        <v>3</v>
      </c>
      <c r="AW238">
        <f t="shared" si="19"/>
        <v>9.3923170846247697E-2</v>
      </c>
    </row>
    <row r="239" spans="1:49" x14ac:dyDescent="0.3">
      <c r="A239" t="s">
        <v>301</v>
      </c>
      <c r="B239" t="s">
        <v>39</v>
      </c>
      <c r="C239">
        <v>2</v>
      </c>
      <c r="D239" t="s">
        <v>12</v>
      </c>
      <c r="E239">
        <v>62</v>
      </c>
      <c r="F239">
        <v>45</v>
      </c>
      <c r="G239">
        <v>51</v>
      </c>
      <c r="H239">
        <v>40</v>
      </c>
      <c r="I239">
        <v>33</v>
      </c>
      <c r="J239">
        <v>24</v>
      </c>
      <c r="K239">
        <v>36</v>
      </c>
      <c r="L239">
        <v>37</v>
      </c>
      <c r="M239">
        <v>52</v>
      </c>
      <c r="N239">
        <v>45</v>
      </c>
      <c r="O239">
        <v>41</v>
      </c>
      <c r="P239">
        <v>54</v>
      </c>
      <c r="Q239">
        <v>57</v>
      </c>
      <c r="R239">
        <v>40</v>
      </c>
      <c r="S239">
        <v>59</v>
      </c>
      <c r="T239">
        <v>59</v>
      </c>
      <c r="U239">
        <v>39</v>
      </c>
      <c r="V239">
        <v>77</v>
      </c>
      <c r="W239">
        <v>62</v>
      </c>
      <c r="X239">
        <v>59</v>
      </c>
      <c r="Y239">
        <v>40</v>
      </c>
      <c r="Z239">
        <v>31</v>
      </c>
      <c r="AA239">
        <v>35</v>
      </c>
      <c r="AB239">
        <v>30</v>
      </c>
      <c r="AC239">
        <v>38</v>
      </c>
      <c r="AD239">
        <v>41</v>
      </c>
      <c r="AE239">
        <v>32</v>
      </c>
      <c r="AF239">
        <v>38</v>
      </c>
      <c r="AG239">
        <v>31</v>
      </c>
      <c r="AH239">
        <v>40</v>
      </c>
      <c r="AI239">
        <v>43</v>
      </c>
      <c r="AJ239">
        <v>47</v>
      </c>
      <c r="AK239">
        <v>45</v>
      </c>
      <c r="AL239">
        <v>56</v>
      </c>
      <c r="AM239">
        <v>48</v>
      </c>
      <c r="AN239">
        <v>39</v>
      </c>
      <c r="AO239">
        <v>53</v>
      </c>
      <c r="AP239">
        <v>66</v>
      </c>
      <c r="AQ239">
        <v>1725</v>
      </c>
      <c r="AR239">
        <v>1.1594202898550729</v>
      </c>
      <c r="AS239">
        <f t="shared" si="15"/>
        <v>0.36664451136314147</v>
      </c>
      <c r="AT239">
        <f t="shared" si="16"/>
        <v>2.9478218713596575E-2</v>
      </c>
      <c r="AU239">
        <f t="shared" si="17"/>
        <v>2.9478218713596576</v>
      </c>
      <c r="AV239">
        <f t="shared" si="18"/>
        <v>3</v>
      </c>
      <c r="AW239">
        <f t="shared" si="19"/>
        <v>9.3923170846247697E-2</v>
      </c>
    </row>
    <row r="240" spans="1:49" x14ac:dyDescent="0.3">
      <c r="A240" t="s">
        <v>302</v>
      </c>
      <c r="B240" t="s">
        <v>39</v>
      </c>
      <c r="C240">
        <v>2</v>
      </c>
      <c r="D240" t="s">
        <v>12</v>
      </c>
      <c r="E240">
        <v>44</v>
      </c>
      <c r="F240">
        <v>37</v>
      </c>
      <c r="G240">
        <v>27</v>
      </c>
      <c r="H240">
        <v>44</v>
      </c>
      <c r="I240">
        <v>38</v>
      </c>
      <c r="J240">
        <v>41</v>
      </c>
      <c r="K240">
        <v>40</v>
      </c>
      <c r="L240">
        <v>44</v>
      </c>
      <c r="M240">
        <v>55</v>
      </c>
      <c r="N240">
        <v>55</v>
      </c>
      <c r="O240">
        <v>64</v>
      </c>
      <c r="P240">
        <v>70</v>
      </c>
      <c r="Q240">
        <v>61</v>
      </c>
      <c r="R240">
        <v>66</v>
      </c>
      <c r="S240">
        <v>77</v>
      </c>
      <c r="T240">
        <v>76</v>
      </c>
      <c r="U240">
        <v>84</v>
      </c>
      <c r="V240">
        <v>86</v>
      </c>
      <c r="W240">
        <v>103</v>
      </c>
      <c r="X240">
        <v>42</v>
      </c>
      <c r="Y240">
        <v>37</v>
      </c>
      <c r="Z240">
        <v>30</v>
      </c>
      <c r="AA240">
        <v>37</v>
      </c>
      <c r="AB240">
        <v>28</v>
      </c>
      <c r="AC240">
        <v>43</v>
      </c>
      <c r="AD240">
        <v>41</v>
      </c>
      <c r="AE240">
        <v>40</v>
      </c>
      <c r="AF240">
        <v>45</v>
      </c>
      <c r="AG240">
        <v>47</v>
      </c>
      <c r="AH240">
        <v>62</v>
      </c>
      <c r="AI240">
        <v>46</v>
      </c>
      <c r="AJ240">
        <v>53</v>
      </c>
      <c r="AK240">
        <v>51</v>
      </c>
      <c r="AL240">
        <v>62</v>
      </c>
      <c r="AM240">
        <v>51</v>
      </c>
      <c r="AN240">
        <v>71</v>
      </c>
      <c r="AO240">
        <v>68</v>
      </c>
      <c r="AP240">
        <v>52</v>
      </c>
      <c r="AQ240">
        <v>2018</v>
      </c>
      <c r="AR240">
        <v>0.99108027750247762</v>
      </c>
      <c r="AS240">
        <f t="shared" si="15"/>
        <v>0.30871761463976211</v>
      </c>
      <c r="AT240">
        <f t="shared" si="16"/>
        <v>2.4820896217036873E-2</v>
      </c>
      <c r="AU240">
        <f t="shared" si="17"/>
        <v>2.4820896217036874</v>
      </c>
      <c r="AV240">
        <f t="shared" si="18"/>
        <v>3</v>
      </c>
      <c r="AW240">
        <f t="shared" si="19"/>
        <v>9.3923170846247697E-2</v>
      </c>
    </row>
    <row r="241" spans="1:49" x14ac:dyDescent="0.3">
      <c r="A241" t="s">
        <v>303</v>
      </c>
      <c r="B241" t="s">
        <v>121</v>
      </c>
      <c r="C241">
        <v>2</v>
      </c>
      <c r="D241" t="s">
        <v>12</v>
      </c>
      <c r="E241">
        <v>28</v>
      </c>
      <c r="F241">
        <v>24</v>
      </c>
      <c r="G241">
        <v>27</v>
      </c>
      <c r="H241">
        <v>21</v>
      </c>
      <c r="I241">
        <v>26</v>
      </c>
      <c r="J241">
        <v>33</v>
      </c>
      <c r="K241">
        <v>29</v>
      </c>
      <c r="L241">
        <v>29</v>
      </c>
      <c r="M241">
        <v>29</v>
      </c>
      <c r="N241">
        <v>33</v>
      </c>
      <c r="O241">
        <v>36</v>
      </c>
      <c r="P241">
        <v>33</v>
      </c>
      <c r="Q241">
        <v>38</v>
      </c>
      <c r="R241">
        <v>51</v>
      </c>
      <c r="S241">
        <v>42</v>
      </c>
      <c r="T241">
        <v>58</v>
      </c>
      <c r="U241">
        <v>45</v>
      </c>
      <c r="V241">
        <v>53</v>
      </c>
      <c r="W241">
        <v>73</v>
      </c>
      <c r="X241">
        <v>26</v>
      </c>
      <c r="Y241">
        <v>20</v>
      </c>
      <c r="Z241">
        <v>21</v>
      </c>
      <c r="AA241">
        <v>27</v>
      </c>
      <c r="AB241">
        <v>23</v>
      </c>
      <c r="AC241">
        <v>20</v>
      </c>
      <c r="AD241">
        <v>23</v>
      </c>
      <c r="AE241">
        <v>21</v>
      </c>
      <c r="AF241">
        <v>27</v>
      </c>
      <c r="AG241">
        <v>36</v>
      </c>
      <c r="AH241">
        <v>35</v>
      </c>
      <c r="AI241">
        <v>36</v>
      </c>
      <c r="AJ241">
        <v>43</v>
      </c>
      <c r="AK241">
        <v>47</v>
      </c>
      <c r="AL241">
        <v>45</v>
      </c>
      <c r="AM241">
        <v>45</v>
      </c>
      <c r="AN241">
        <v>44</v>
      </c>
      <c r="AO241">
        <v>43</v>
      </c>
      <c r="AP241">
        <v>60</v>
      </c>
      <c r="AQ241">
        <v>1350</v>
      </c>
      <c r="AR241">
        <v>1.481481481481481</v>
      </c>
      <c r="AS241">
        <f t="shared" si="15"/>
        <v>0.4774678689548924</v>
      </c>
      <c r="AT241">
        <f t="shared" si="16"/>
        <v>3.838841666397335E-2</v>
      </c>
      <c r="AU241">
        <f t="shared" si="17"/>
        <v>3.838841666397335</v>
      </c>
      <c r="AV241">
        <f t="shared" si="18"/>
        <v>3</v>
      </c>
      <c r="AW241">
        <f t="shared" si="19"/>
        <v>9.3923170846247697E-2</v>
      </c>
    </row>
    <row r="242" spans="1:49" x14ac:dyDescent="0.3">
      <c r="A242" t="s">
        <v>304</v>
      </c>
      <c r="B242" t="s">
        <v>66</v>
      </c>
      <c r="C242">
        <v>1</v>
      </c>
      <c r="D242" t="s">
        <v>24</v>
      </c>
      <c r="E242">
        <v>73</v>
      </c>
      <c r="F242">
        <v>76</v>
      </c>
      <c r="G242">
        <v>50</v>
      </c>
      <c r="H242">
        <v>60</v>
      </c>
      <c r="I242">
        <v>47</v>
      </c>
      <c r="J242">
        <v>59</v>
      </c>
      <c r="K242">
        <v>41</v>
      </c>
      <c r="L242">
        <v>56</v>
      </c>
      <c r="M242">
        <v>62</v>
      </c>
      <c r="N242">
        <v>68</v>
      </c>
      <c r="O242">
        <v>59</v>
      </c>
      <c r="P242">
        <v>71</v>
      </c>
      <c r="Q242">
        <v>72</v>
      </c>
      <c r="R242">
        <v>75</v>
      </c>
      <c r="S242">
        <v>80</v>
      </c>
      <c r="T242">
        <v>93</v>
      </c>
      <c r="U242">
        <v>95</v>
      </c>
      <c r="V242">
        <v>93</v>
      </c>
      <c r="W242">
        <v>106</v>
      </c>
      <c r="X242">
        <v>61</v>
      </c>
      <c r="Y242">
        <v>56</v>
      </c>
      <c r="Z242">
        <v>51</v>
      </c>
      <c r="AA242">
        <v>56</v>
      </c>
      <c r="AB242">
        <v>48</v>
      </c>
      <c r="AC242">
        <v>39</v>
      </c>
      <c r="AD242">
        <v>39</v>
      </c>
      <c r="AE242">
        <v>40</v>
      </c>
      <c r="AF242">
        <v>44</v>
      </c>
      <c r="AG242">
        <v>67</v>
      </c>
      <c r="AH242">
        <v>68</v>
      </c>
      <c r="AI242">
        <v>63</v>
      </c>
      <c r="AJ242">
        <v>70</v>
      </c>
      <c r="AK242">
        <v>74</v>
      </c>
      <c r="AL242">
        <v>75</v>
      </c>
      <c r="AM242">
        <v>66</v>
      </c>
      <c r="AN242">
        <v>97</v>
      </c>
      <c r="AO242">
        <v>81</v>
      </c>
      <c r="AP242">
        <v>85</v>
      </c>
      <c r="AQ242">
        <v>2516</v>
      </c>
      <c r="AR242">
        <v>0.39745627980922099</v>
      </c>
      <c r="AS242">
        <f t="shared" si="15"/>
        <v>0.10444772344555045</v>
      </c>
      <c r="AT242">
        <f t="shared" si="16"/>
        <v>8.3975969650222568E-3</v>
      </c>
      <c r="AU242">
        <f t="shared" si="17"/>
        <v>0.83975969650222571</v>
      </c>
      <c r="AV242">
        <f t="shared" si="18"/>
        <v>3</v>
      </c>
      <c r="AW242">
        <f t="shared" si="19"/>
        <v>9.3923170846247697E-2</v>
      </c>
    </row>
    <row r="243" spans="1:49" x14ac:dyDescent="0.3">
      <c r="A243" t="s">
        <v>305</v>
      </c>
      <c r="B243" t="s">
        <v>66</v>
      </c>
      <c r="C243">
        <v>1</v>
      </c>
      <c r="D243" t="s">
        <v>24</v>
      </c>
      <c r="E243">
        <v>10</v>
      </c>
      <c r="F243">
        <v>12</v>
      </c>
      <c r="G243">
        <v>11</v>
      </c>
      <c r="H243">
        <v>14</v>
      </c>
      <c r="I243">
        <v>16</v>
      </c>
      <c r="J243">
        <v>16</v>
      </c>
      <c r="K243">
        <v>16</v>
      </c>
      <c r="L243">
        <v>22</v>
      </c>
      <c r="M243">
        <v>24</v>
      </c>
      <c r="N243">
        <v>26</v>
      </c>
      <c r="O243">
        <v>24</v>
      </c>
      <c r="P243">
        <v>27</v>
      </c>
      <c r="Q243">
        <v>30</v>
      </c>
      <c r="R243">
        <v>37</v>
      </c>
      <c r="S243">
        <v>39</v>
      </c>
      <c r="T243">
        <v>29</v>
      </c>
      <c r="U243">
        <v>30</v>
      </c>
      <c r="V243">
        <v>42</v>
      </c>
      <c r="W243">
        <v>57</v>
      </c>
      <c r="X243">
        <v>15</v>
      </c>
      <c r="Y243">
        <v>14</v>
      </c>
      <c r="Z243">
        <v>13</v>
      </c>
      <c r="AA243">
        <v>17</v>
      </c>
      <c r="AB243">
        <v>15</v>
      </c>
      <c r="AC243">
        <v>8</v>
      </c>
      <c r="AD243">
        <v>16</v>
      </c>
      <c r="AE243">
        <v>24</v>
      </c>
      <c r="AF243">
        <v>15</v>
      </c>
      <c r="AG243">
        <v>29</v>
      </c>
      <c r="AH243">
        <v>25</v>
      </c>
      <c r="AI243">
        <v>27</v>
      </c>
      <c r="AJ243">
        <v>35</v>
      </c>
      <c r="AK243">
        <v>31</v>
      </c>
      <c r="AL243">
        <v>30</v>
      </c>
      <c r="AM243">
        <v>32</v>
      </c>
      <c r="AN243">
        <v>26</v>
      </c>
      <c r="AO243">
        <v>42</v>
      </c>
      <c r="AP243">
        <v>51</v>
      </c>
      <c r="AQ243">
        <v>947</v>
      </c>
      <c r="AR243">
        <v>1.0559662090813089</v>
      </c>
      <c r="AS243">
        <f t="shared" si="15"/>
        <v>0.33104528709765996</v>
      </c>
      <c r="AT243">
        <f t="shared" si="16"/>
        <v>2.6616041082651861E-2</v>
      </c>
      <c r="AU243">
        <f t="shared" si="17"/>
        <v>2.6616041082651862</v>
      </c>
      <c r="AV243">
        <f t="shared" si="18"/>
        <v>3</v>
      </c>
      <c r="AW243">
        <f t="shared" si="19"/>
        <v>9.3923170846247697E-2</v>
      </c>
    </row>
    <row r="244" spans="1:49" x14ac:dyDescent="0.3">
      <c r="A244" t="s">
        <v>306</v>
      </c>
      <c r="B244" t="s">
        <v>172</v>
      </c>
      <c r="C244">
        <v>1</v>
      </c>
      <c r="D244" t="s">
        <v>12</v>
      </c>
      <c r="E244">
        <v>120</v>
      </c>
      <c r="F244">
        <v>88</v>
      </c>
      <c r="G244">
        <v>81</v>
      </c>
      <c r="H244">
        <v>70</v>
      </c>
      <c r="I244">
        <v>63</v>
      </c>
      <c r="J244">
        <v>69</v>
      </c>
      <c r="K244">
        <v>77</v>
      </c>
      <c r="L244">
        <v>90</v>
      </c>
      <c r="M244">
        <v>85</v>
      </c>
      <c r="N244">
        <v>98</v>
      </c>
      <c r="O244">
        <v>100</v>
      </c>
      <c r="P244">
        <v>93</v>
      </c>
      <c r="Q244">
        <v>97</v>
      </c>
      <c r="R244">
        <v>135</v>
      </c>
      <c r="S244">
        <v>120</v>
      </c>
      <c r="T244">
        <v>143</v>
      </c>
      <c r="U244">
        <v>127</v>
      </c>
      <c r="V244">
        <v>139</v>
      </c>
      <c r="W244">
        <v>162</v>
      </c>
      <c r="X244">
        <v>119</v>
      </c>
      <c r="Y244">
        <v>83</v>
      </c>
      <c r="Z244">
        <v>59</v>
      </c>
      <c r="AA244">
        <v>77</v>
      </c>
      <c r="AB244">
        <v>71</v>
      </c>
      <c r="AC244">
        <v>60</v>
      </c>
      <c r="AD244">
        <v>70</v>
      </c>
      <c r="AE244">
        <v>83</v>
      </c>
      <c r="AF244">
        <v>72</v>
      </c>
      <c r="AG244">
        <v>91</v>
      </c>
      <c r="AH244">
        <v>113</v>
      </c>
      <c r="AI244">
        <v>112</v>
      </c>
      <c r="AJ244">
        <v>111</v>
      </c>
      <c r="AK244">
        <v>130</v>
      </c>
      <c r="AL244">
        <v>138</v>
      </c>
      <c r="AM244">
        <v>135</v>
      </c>
      <c r="AN244">
        <v>123</v>
      </c>
      <c r="AO244">
        <v>135</v>
      </c>
      <c r="AP244">
        <v>161</v>
      </c>
      <c r="AQ244">
        <v>3900</v>
      </c>
      <c r="AR244">
        <v>0.25641025641025639</v>
      </c>
      <c r="AS244">
        <f t="shared" si="15"/>
        <v>5.5912866423192549E-2</v>
      </c>
      <c r="AT244">
        <f t="shared" si="16"/>
        <v>4.4953944604246808E-3</v>
      </c>
      <c r="AU244">
        <f t="shared" si="17"/>
        <v>0.44953944604246809</v>
      </c>
      <c r="AV244">
        <f t="shared" si="18"/>
        <v>3</v>
      </c>
      <c r="AW244">
        <f t="shared" si="19"/>
        <v>9.3923170846247697E-2</v>
      </c>
    </row>
    <row r="245" spans="1:49" x14ac:dyDescent="0.3">
      <c r="A245" t="s">
        <v>307</v>
      </c>
      <c r="B245" t="s">
        <v>116</v>
      </c>
      <c r="C245">
        <v>1</v>
      </c>
      <c r="D245" t="s">
        <v>12</v>
      </c>
      <c r="E245">
        <v>49</v>
      </c>
      <c r="F245">
        <v>30</v>
      </c>
      <c r="G245">
        <v>29</v>
      </c>
      <c r="H245">
        <v>30</v>
      </c>
      <c r="I245">
        <v>37</v>
      </c>
      <c r="J245">
        <v>37</v>
      </c>
      <c r="K245">
        <v>32</v>
      </c>
      <c r="L245">
        <v>33</v>
      </c>
      <c r="M245">
        <v>42</v>
      </c>
      <c r="N245">
        <v>32</v>
      </c>
      <c r="O245">
        <v>32</v>
      </c>
      <c r="P245">
        <v>41</v>
      </c>
      <c r="Q245">
        <v>28</v>
      </c>
      <c r="R245">
        <v>36</v>
      </c>
      <c r="S245">
        <v>33</v>
      </c>
      <c r="T245">
        <v>48</v>
      </c>
      <c r="U245">
        <v>37</v>
      </c>
      <c r="V245">
        <v>45</v>
      </c>
      <c r="W245">
        <v>56</v>
      </c>
      <c r="X245">
        <v>55</v>
      </c>
      <c r="Y245">
        <v>51</v>
      </c>
      <c r="Z245">
        <v>38</v>
      </c>
      <c r="AA245">
        <v>39</v>
      </c>
      <c r="AB245">
        <v>38</v>
      </c>
      <c r="AC245">
        <v>30</v>
      </c>
      <c r="AD245">
        <v>32</v>
      </c>
      <c r="AE245">
        <v>36</v>
      </c>
      <c r="AF245">
        <v>34</v>
      </c>
      <c r="AG245">
        <v>37</v>
      </c>
      <c r="AH245">
        <v>28</v>
      </c>
      <c r="AI245">
        <v>26</v>
      </c>
      <c r="AJ245">
        <v>38</v>
      </c>
      <c r="AK245">
        <v>38</v>
      </c>
      <c r="AL245">
        <v>34</v>
      </c>
      <c r="AM245">
        <v>34</v>
      </c>
      <c r="AN245">
        <v>36</v>
      </c>
      <c r="AO245">
        <v>42</v>
      </c>
      <c r="AP245">
        <v>47</v>
      </c>
      <c r="AQ245">
        <v>1420</v>
      </c>
      <c r="AR245">
        <v>0.70422535211267612</v>
      </c>
      <c r="AS245">
        <f t="shared" si="15"/>
        <v>0.21000896299226474</v>
      </c>
      <c r="AT245">
        <f t="shared" si="16"/>
        <v>1.6884720624578086E-2</v>
      </c>
      <c r="AU245">
        <f t="shared" si="17"/>
        <v>1.6884720624578087</v>
      </c>
      <c r="AV245">
        <f t="shared" si="18"/>
        <v>3</v>
      </c>
      <c r="AW245">
        <f t="shared" si="19"/>
        <v>9.3923170846247697E-2</v>
      </c>
    </row>
    <row r="246" spans="1:49" x14ac:dyDescent="0.3">
      <c r="A246" t="s">
        <v>308</v>
      </c>
      <c r="B246" t="s">
        <v>116</v>
      </c>
      <c r="C246">
        <v>1</v>
      </c>
      <c r="D246" t="s">
        <v>12</v>
      </c>
      <c r="E246">
        <v>45</v>
      </c>
      <c r="F246">
        <v>56</v>
      </c>
      <c r="G246">
        <v>40</v>
      </c>
      <c r="H246">
        <v>44</v>
      </c>
      <c r="I246">
        <v>40</v>
      </c>
      <c r="J246">
        <v>29</v>
      </c>
      <c r="K246">
        <v>40</v>
      </c>
      <c r="L246">
        <v>30</v>
      </c>
      <c r="M246">
        <v>40</v>
      </c>
      <c r="N246">
        <v>38</v>
      </c>
      <c r="O246">
        <v>29</v>
      </c>
      <c r="P246">
        <v>40</v>
      </c>
      <c r="Q246">
        <v>27</v>
      </c>
      <c r="R246">
        <v>43</v>
      </c>
      <c r="S246">
        <v>39</v>
      </c>
      <c r="T246">
        <v>36</v>
      </c>
      <c r="U246">
        <v>47</v>
      </c>
      <c r="V246">
        <v>42</v>
      </c>
      <c r="W246">
        <v>48</v>
      </c>
      <c r="X246">
        <v>55</v>
      </c>
      <c r="Y246">
        <v>51</v>
      </c>
      <c r="Z246">
        <v>41</v>
      </c>
      <c r="AA246">
        <v>37</v>
      </c>
      <c r="AB246">
        <v>36</v>
      </c>
      <c r="AC246">
        <v>29</v>
      </c>
      <c r="AD246">
        <v>30</v>
      </c>
      <c r="AE246">
        <v>40</v>
      </c>
      <c r="AF246">
        <v>37</v>
      </c>
      <c r="AG246">
        <v>25</v>
      </c>
      <c r="AH246">
        <v>41</v>
      </c>
      <c r="AI246">
        <v>34</v>
      </c>
      <c r="AJ246">
        <v>36</v>
      </c>
      <c r="AK246">
        <v>27</v>
      </c>
      <c r="AL246">
        <v>30</v>
      </c>
      <c r="AM246">
        <v>36</v>
      </c>
      <c r="AN246">
        <v>44</v>
      </c>
      <c r="AO246">
        <v>41</v>
      </c>
      <c r="AP246">
        <v>57</v>
      </c>
      <c r="AQ246">
        <v>1480</v>
      </c>
      <c r="AR246">
        <v>0.67567567567567566</v>
      </c>
      <c r="AS246">
        <f t="shared" si="15"/>
        <v>0.20018483303445006</v>
      </c>
      <c r="AT246">
        <f t="shared" si="16"/>
        <v>1.6094860575969785E-2</v>
      </c>
      <c r="AU246">
        <f t="shared" si="17"/>
        <v>1.6094860575969785</v>
      </c>
      <c r="AV246">
        <f t="shared" si="18"/>
        <v>3</v>
      </c>
      <c r="AW246">
        <f t="shared" si="19"/>
        <v>9.3923170846247697E-2</v>
      </c>
    </row>
    <row r="247" spans="1:49" x14ac:dyDescent="0.3">
      <c r="A247" t="s">
        <v>309</v>
      </c>
      <c r="B247" t="s">
        <v>124</v>
      </c>
      <c r="C247">
        <v>2</v>
      </c>
      <c r="D247" t="s">
        <v>12</v>
      </c>
      <c r="E247">
        <v>78</v>
      </c>
      <c r="F247">
        <v>70</v>
      </c>
      <c r="G247">
        <v>66</v>
      </c>
      <c r="H247">
        <v>59</v>
      </c>
      <c r="I247">
        <v>74</v>
      </c>
      <c r="J247">
        <v>73</v>
      </c>
      <c r="K247">
        <v>86</v>
      </c>
      <c r="L247">
        <v>85</v>
      </c>
      <c r="M247">
        <v>114</v>
      </c>
      <c r="N247">
        <v>114</v>
      </c>
      <c r="O247">
        <v>113</v>
      </c>
      <c r="P247">
        <v>134</v>
      </c>
      <c r="Q247">
        <v>133</v>
      </c>
      <c r="R247">
        <v>134</v>
      </c>
      <c r="S247">
        <v>131</v>
      </c>
      <c r="T247">
        <v>131</v>
      </c>
      <c r="U247">
        <v>123</v>
      </c>
      <c r="V247">
        <v>155</v>
      </c>
      <c r="W247">
        <v>138</v>
      </c>
      <c r="X247">
        <v>101</v>
      </c>
      <c r="Y247">
        <v>74</v>
      </c>
      <c r="Z247">
        <v>75</v>
      </c>
      <c r="AA247">
        <v>79</v>
      </c>
      <c r="AB247">
        <v>77</v>
      </c>
      <c r="AC247">
        <v>83</v>
      </c>
      <c r="AD247">
        <v>69</v>
      </c>
      <c r="AE247">
        <v>88</v>
      </c>
      <c r="AF247">
        <v>75</v>
      </c>
      <c r="AG247">
        <v>103</v>
      </c>
      <c r="AH247">
        <v>104</v>
      </c>
      <c r="AI247">
        <v>118</v>
      </c>
      <c r="AJ247">
        <v>104</v>
      </c>
      <c r="AK247">
        <v>150</v>
      </c>
      <c r="AL247">
        <v>120</v>
      </c>
      <c r="AM247">
        <v>122</v>
      </c>
      <c r="AN247">
        <v>122</v>
      </c>
      <c r="AO247">
        <v>126</v>
      </c>
      <c r="AP247">
        <v>136</v>
      </c>
      <c r="AQ247">
        <v>3937</v>
      </c>
      <c r="AR247">
        <v>0.50800101600203196</v>
      </c>
      <c r="AS247">
        <f t="shared" si="15"/>
        <v>0.14248688850953864</v>
      </c>
      <c r="AT247">
        <f t="shared" si="16"/>
        <v>1.1455945836166907E-2</v>
      </c>
      <c r="AU247">
        <f t="shared" si="17"/>
        <v>1.1455945836166908</v>
      </c>
      <c r="AV247">
        <f t="shared" si="18"/>
        <v>3</v>
      </c>
      <c r="AW247">
        <f t="shared" si="19"/>
        <v>9.3923170846247697E-2</v>
      </c>
    </row>
    <row r="248" spans="1:49" x14ac:dyDescent="0.3">
      <c r="A248" t="s">
        <v>310</v>
      </c>
      <c r="B248" t="s">
        <v>46</v>
      </c>
      <c r="C248">
        <v>1</v>
      </c>
      <c r="D248" t="s">
        <v>12</v>
      </c>
      <c r="E248">
        <v>178</v>
      </c>
      <c r="F248">
        <v>131</v>
      </c>
      <c r="G248">
        <v>150</v>
      </c>
      <c r="H248">
        <v>144</v>
      </c>
      <c r="I248">
        <v>134</v>
      </c>
      <c r="J248">
        <v>158</v>
      </c>
      <c r="K248">
        <v>177</v>
      </c>
      <c r="L248">
        <v>196</v>
      </c>
      <c r="M248">
        <v>195</v>
      </c>
      <c r="N248">
        <v>199</v>
      </c>
      <c r="O248">
        <v>185</v>
      </c>
      <c r="P248">
        <v>240</v>
      </c>
      <c r="Q248">
        <v>271</v>
      </c>
      <c r="R248">
        <v>282</v>
      </c>
      <c r="S248">
        <v>276</v>
      </c>
      <c r="T248">
        <v>293</v>
      </c>
      <c r="U248">
        <v>216</v>
      </c>
      <c r="V248">
        <v>248</v>
      </c>
      <c r="W248">
        <v>228</v>
      </c>
      <c r="X248">
        <v>136</v>
      </c>
      <c r="Y248">
        <v>149</v>
      </c>
      <c r="Z248">
        <v>134</v>
      </c>
      <c r="AA248">
        <v>103</v>
      </c>
      <c r="AB248">
        <v>138</v>
      </c>
      <c r="AC248">
        <v>155</v>
      </c>
      <c r="AD248">
        <v>163</v>
      </c>
      <c r="AE248">
        <v>174</v>
      </c>
      <c r="AF248">
        <v>183</v>
      </c>
      <c r="AG248">
        <v>192</v>
      </c>
      <c r="AH248">
        <v>208</v>
      </c>
      <c r="AI248">
        <v>228</v>
      </c>
      <c r="AJ248">
        <v>247</v>
      </c>
      <c r="AK248">
        <v>298</v>
      </c>
      <c r="AL248">
        <v>286</v>
      </c>
      <c r="AM248">
        <v>293</v>
      </c>
      <c r="AN248">
        <v>256</v>
      </c>
      <c r="AO248">
        <v>252</v>
      </c>
      <c r="AP248">
        <v>248</v>
      </c>
      <c r="AQ248">
        <v>7744</v>
      </c>
      <c r="AR248">
        <v>0.12913223140495869</v>
      </c>
      <c r="AS248">
        <f t="shared" si="15"/>
        <v>1.2115667488723569E-2</v>
      </c>
      <c r="AT248">
        <f t="shared" si="16"/>
        <v>9.7409966609337487E-4</v>
      </c>
      <c r="AU248">
        <f t="shared" si="17"/>
        <v>9.7409966609337484E-2</v>
      </c>
      <c r="AV248">
        <f t="shared" si="18"/>
        <v>3</v>
      </c>
      <c r="AW248">
        <f t="shared" si="19"/>
        <v>9.3923170846247697E-2</v>
      </c>
    </row>
    <row r="249" spans="1:49" x14ac:dyDescent="0.3">
      <c r="A249" t="s">
        <v>311</v>
      </c>
      <c r="B249" t="s">
        <v>85</v>
      </c>
      <c r="C249">
        <v>4</v>
      </c>
      <c r="D249" t="s">
        <v>24</v>
      </c>
      <c r="E249">
        <v>59</v>
      </c>
      <c r="F249">
        <v>58</v>
      </c>
      <c r="G249">
        <v>52</v>
      </c>
      <c r="H249">
        <v>58</v>
      </c>
      <c r="I249">
        <v>78</v>
      </c>
      <c r="J249">
        <v>57</v>
      </c>
      <c r="K249">
        <v>83</v>
      </c>
      <c r="L249">
        <v>77</v>
      </c>
      <c r="M249">
        <v>87</v>
      </c>
      <c r="N249">
        <v>99</v>
      </c>
      <c r="O249">
        <v>105</v>
      </c>
      <c r="P249">
        <v>96</v>
      </c>
      <c r="Q249">
        <v>112</v>
      </c>
      <c r="R249">
        <v>97</v>
      </c>
      <c r="S249">
        <v>104</v>
      </c>
      <c r="T249">
        <v>117</v>
      </c>
      <c r="U249">
        <v>121</v>
      </c>
      <c r="V249">
        <v>139</v>
      </c>
      <c r="W249">
        <v>121</v>
      </c>
      <c r="X249">
        <v>52</v>
      </c>
      <c r="Y249">
        <v>46</v>
      </c>
      <c r="Z249">
        <v>49</v>
      </c>
      <c r="AA249">
        <v>52</v>
      </c>
      <c r="AB249">
        <v>67</v>
      </c>
      <c r="AC249">
        <v>64</v>
      </c>
      <c r="AD249">
        <v>69</v>
      </c>
      <c r="AE249">
        <v>70</v>
      </c>
      <c r="AF249">
        <v>106</v>
      </c>
      <c r="AG249">
        <v>94</v>
      </c>
      <c r="AH249">
        <v>108</v>
      </c>
      <c r="AI249">
        <v>81</v>
      </c>
      <c r="AJ249">
        <v>104</v>
      </c>
      <c r="AK249">
        <v>107</v>
      </c>
      <c r="AL249">
        <v>104</v>
      </c>
      <c r="AM249">
        <v>107</v>
      </c>
      <c r="AN249">
        <v>114</v>
      </c>
      <c r="AO249">
        <v>103</v>
      </c>
      <c r="AP249">
        <v>130</v>
      </c>
      <c r="AQ249">
        <v>3347</v>
      </c>
      <c r="AR249">
        <v>1.195100089632507</v>
      </c>
      <c r="AS249">
        <f t="shared" si="15"/>
        <v>0.37892216328875283</v>
      </c>
      <c r="AT249">
        <f t="shared" si="16"/>
        <v>3.0465341928415726E-2</v>
      </c>
      <c r="AU249">
        <f t="shared" si="17"/>
        <v>3.0465341928415728</v>
      </c>
      <c r="AV249">
        <f t="shared" si="18"/>
        <v>3</v>
      </c>
      <c r="AW249">
        <f t="shared" si="19"/>
        <v>9.3923170846247697E-2</v>
      </c>
    </row>
    <row r="250" spans="1:49" x14ac:dyDescent="0.3">
      <c r="A250" t="s">
        <v>312</v>
      </c>
      <c r="B250" t="s">
        <v>79</v>
      </c>
      <c r="C250">
        <v>3</v>
      </c>
      <c r="D250" t="s">
        <v>24</v>
      </c>
      <c r="E250">
        <v>52</v>
      </c>
      <c r="F250">
        <v>71</v>
      </c>
      <c r="G250">
        <v>57</v>
      </c>
      <c r="H250">
        <v>82</v>
      </c>
      <c r="I250">
        <v>75</v>
      </c>
      <c r="J250">
        <v>79</v>
      </c>
      <c r="K250">
        <v>100</v>
      </c>
      <c r="L250">
        <v>115</v>
      </c>
      <c r="M250">
        <v>117</v>
      </c>
      <c r="N250">
        <v>153</v>
      </c>
      <c r="O250">
        <v>171</v>
      </c>
      <c r="P250">
        <v>180</v>
      </c>
      <c r="Q250">
        <v>158</v>
      </c>
      <c r="R250">
        <v>198</v>
      </c>
      <c r="S250">
        <v>188</v>
      </c>
      <c r="T250">
        <v>202</v>
      </c>
      <c r="U250">
        <v>186</v>
      </c>
      <c r="V250">
        <v>234</v>
      </c>
      <c r="W250">
        <v>214</v>
      </c>
      <c r="X250">
        <v>50</v>
      </c>
      <c r="Y250">
        <v>50</v>
      </c>
      <c r="Z250">
        <v>56</v>
      </c>
      <c r="AA250">
        <v>68</v>
      </c>
      <c r="AB250">
        <v>78</v>
      </c>
      <c r="AC250">
        <v>82</v>
      </c>
      <c r="AD250">
        <v>104</v>
      </c>
      <c r="AE250">
        <v>107</v>
      </c>
      <c r="AF250">
        <v>127</v>
      </c>
      <c r="AG250">
        <v>147</v>
      </c>
      <c r="AH250">
        <v>144</v>
      </c>
      <c r="AI250">
        <v>162</v>
      </c>
      <c r="AJ250">
        <v>155</v>
      </c>
      <c r="AK250">
        <v>180</v>
      </c>
      <c r="AL250">
        <v>190</v>
      </c>
      <c r="AM250">
        <v>185</v>
      </c>
      <c r="AN250">
        <v>186</v>
      </c>
      <c r="AO250">
        <v>225</v>
      </c>
      <c r="AP250">
        <v>235</v>
      </c>
      <c r="AQ250">
        <v>5163</v>
      </c>
      <c r="AR250">
        <v>0.58105752469494476</v>
      </c>
      <c r="AS250">
        <f t="shared" si="15"/>
        <v>0.16762610986804166</v>
      </c>
      <c r="AT250">
        <f t="shared" si="16"/>
        <v>1.3477139233390549E-2</v>
      </c>
      <c r="AU250">
        <f t="shared" si="17"/>
        <v>1.3477139233390549</v>
      </c>
      <c r="AV250">
        <f t="shared" si="18"/>
        <v>3</v>
      </c>
      <c r="AW250">
        <f t="shared" si="19"/>
        <v>9.3923170846247697E-2</v>
      </c>
    </row>
    <row r="251" spans="1:49" x14ac:dyDescent="0.3">
      <c r="A251" t="s">
        <v>313</v>
      </c>
      <c r="B251" t="s">
        <v>79</v>
      </c>
      <c r="C251">
        <v>6</v>
      </c>
      <c r="D251" t="s">
        <v>24</v>
      </c>
      <c r="E251">
        <v>60</v>
      </c>
      <c r="F251">
        <v>34</v>
      </c>
      <c r="G251">
        <v>47</v>
      </c>
      <c r="H251">
        <v>40</v>
      </c>
      <c r="I251">
        <v>43</v>
      </c>
      <c r="J251">
        <v>59</v>
      </c>
      <c r="K251">
        <v>42</v>
      </c>
      <c r="L251">
        <v>54</v>
      </c>
      <c r="M251">
        <v>76</v>
      </c>
      <c r="N251">
        <v>71</v>
      </c>
      <c r="O251">
        <v>87</v>
      </c>
      <c r="P251">
        <v>90</v>
      </c>
      <c r="Q251">
        <v>91</v>
      </c>
      <c r="R251">
        <v>79</v>
      </c>
      <c r="S251">
        <v>129</v>
      </c>
      <c r="T251">
        <v>148</v>
      </c>
      <c r="U251">
        <v>121</v>
      </c>
      <c r="V251">
        <v>161</v>
      </c>
      <c r="W251">
        <v>155</v>
      </c>
      <c r="X251">
        <v>57</v>
      </c>
      <c r="Y251">
        <v>49</v>
      </c>
      <c r="Z251">
        <v>39</v>
      </c>
      <c r="AA251">
        <v>37</v>
      </c>
      <c r="AB251">
        <v>47</v>
      </c>
      <c r="AC251">
        <v>41</v>
      </c>
      <c r="AD251">
        <v>59</v>
      </c>
      <c r="AE251">
        <v>57</v>
      </c>
      <c r="AF251">
        <v>54</v>
      </c>
      <c r="AG251">
        <v>63</v>
      </c>
      <c r="AH251">
        <v>78</v>
      </c>
      <c r="AI251">
        <v>72</v>
      </c>
      <c r="AJ251">
        <v>87</v>
      </c>
      <c r="AK251">
        <v>113</v>
      </c>
      <c r="AL251">
        <v>101</v>
      </c>
      <c r="AM251">
        <v>117</v>
      </c>
      <c r="AN251">
        <v>110</v>
      </c>
      <c r="AO251">
        <v>137</v>
      </c>
      <c r="AP251">
        <v>134</v>
      </c>
      <c r="AQ251">
        <v>3039</v>
      </c>
      <c r="AR251">
        <v>1.974333662388944</v>
      </c>
      <c r="AS251">
        <f t="shared" si="15"/>
        <v>0.64706152042452036</v>
      </c>
      <c r="AT251">
        <f t="shared" si="16"/>
        <v>5.2023746242131436E-2</v>
      </c>
      <c r="AU251">
        <f t="shared" si="17"/>
        <v>5.2023746242131432</v>
      </c>
      <c r="AV251">
        <f t="shared" si="18"/>
        <v>3</v>
      </c>
      <c r="AW251">
        <f t="shared" si="19"/>
        <v>9.3923170846247697E-2</v>
      </c>
    </row>
    <row r="252" spans="1:49" x14ac:dyDescent="0.3">
      <c r="A252" t="s">
        <v>314</v>
      </c>
      <c r="B252" t="s">
        <v>85</v>
      </c>
      <c r="C252">
        <v>4</v>
      </c>
      <c r="D252" t="s">
        <v>24</v>
      </c>
      <c r="E252">
        <v>45</v>
      </c>
      <c r="F252">
        <v>45</v>
      </c>
      <c r="G252">
        <v>42</v>
      </c>
      <c r="H252">
        <v>30</v>
      </c>
      <c r="I252">
        <v>56</v>
      </c>
      <c r="J252">
        <v>42</v>
      </c>
      <c r="K252">
        <v>43</v>
      </c>
      <c r="L252">
        <v>38</v>
      </c>
      <c r="M252">
        <v>53</v>
      </c>
      <c r="N252">
        <v>60</v>
      </c>
      <c r="O252">
        <v>64</v>
      </c>
      <c r="P252">
        <v>65</v>
      </c>
      <c r="Q252">
        <v>52</v>
      </c>
      <c r="R252">
        <v>80</v>
      </c>
      <c r="S252">
        <v>74</v>
      </c>
      <c r="T252">
        <v>70</v>
      </c>
      <c r="U252">
        <v>88</v>
      </c>
      <c r="V252">
        <v>65</v>
      </c>
      <c r="W252">
        <v>78</v>
      </c>
      <c r="X252">
        <v>54</v>
      </c>
      <c r="Y252">
        <v>45</v>
      </c>
      <c r="Z252">
        <v>47</v>
      </c>
      <c r="AA252">
        <v>42</v>
      </c>
      <c r="AB252">
        <v>35</v>
      </c>
      <c r="AC252">
        <v>40</v>
      </c>
      <c r="AD252">
        <v>53</v>
      </c>
      <c r="AE252">
        <v>51</v>
      </c>
      <c r="AF252">
        <v>57</v>
      </c>
      <c r="AG252">
        <v>48</v>
      </c>
      <c r="AH252">
        <v>74</v>
      </c>
      <c r="AI252">
        <v>61</v>
      </c>
      <c r="AJ252">
        <v>70</v>
      </c>
      <c r="AK252">
        <v>58</v>
      </c>
      <c r="AL252">
        <v>75</v>
      </c>
      <c r="AM252">
        <v>82</v>
      </c>
      <c r="AN252">
        <v>73</v>
      </c>
      <c r="AO252">
        <v>98</v>
      </c>
      <c r="AP252">
        <v>94</v>
      </c>
      <c r="AQ252">
        <v>2247</v>
      </c>
      <c r="AR252">
        <v>1.7801513128615929</v>
      </c>
      <c r="AS252">
        <f t="shared" si="15"/>
        <v>0.58024210684972621</v>
      </c>
      <c r="AT252">
        <f t="shared" si="16"/>
        <v>4.6651465390717989E-2</v>
      </c>
      <c r="AU252">
        <f t="shared" si="17"/>
        <v>4.6651465390717988</v>
      </c>
      <c r="AV252">
        <f t="shared" si="18"/>
        <v>3</v>
      </c>
      <c r="AW252">
        <f t="shared" si="19"/>
        <v>9.3923170846247697E-2</v>
      </c>
    </row>
    <row r="253" spans="1:49" x14ac:dyDescent="0.3">
      <c r="A253" t="s">
        <v>315</v>
      </c>
      <c r="B253" t="s">
        <v>85</v>
      </c>
      <c r="C253">
        <v>3</v>
      </c>
      <c r="D253" t="s">
        <v>24</v>
      </c>
      <c r="E253">
        <v>34</v>
      </c>
      <c r="F253">
        <v>49</v>
      </c>
      <c r="G253">
        <v>46</v>
      </c>
      <c r="H253">
        <v>33</v>
      </c>
      <c r="I253">
        <v>36</v>
      </c>
      <c r="J253">
        <v>53</v>
      </c>
      <c r="K253">
        <v>53</v>
      </c>
      <c r="L253">
        <v>63</v>
      </c>
      <c r="M253">
        <v>71</v>
      </c>
      <c r="N253">
        <v>71</v>
      </c>
      <c r="O253">
        <v>98</v>
      </c>
      <c r="P253">
        <v>72</v>
      </c>
      <c r="Q253">
        <v>94</v>
      </c>
      <c r="R253">
        <v>94</v>
      </c>
      <c r="S253">
        <v>121</v>
      </c>
      <c r="T253">
        <v>117</v>
      </c>
      <c r="U253">
        <v>117</v>
      </c>
      <c r="V253">
        <v>105</v>
      </c>
      <c r="W253">
        <v>145</v>
      </c>
      <c r="X253">
        <v>41</v>
      </c>
      <c r="Y253">
        <v>38</v>
      </c>
      <c r="Z253">
        <v>37</v>
      </c>
      <c r="AA253">
        <v>43</v>
      </c>
      <c r="AB253">
        <v>60</v>
      </c>
      <c r="AC253">
        <v>51</v>
      </c>
      <c r="AD253">
        <v>50</v>
      </c>
      <c r="AE253">
        <v>60</v>
      </c>
      <c r="AF253">
        <v>58</v>
      </c>
      <c r="AG253">
        <v>71</v>
      </c>
      <c r="AH253">
        <v>86</v>
      </c>
      <c r="AI253">
        <v>73</v>
      </c>
      <c r="AJ253">
        <v>82</v>
      </c>
      <c r="AK253">
        <v>112</v>
      </c>
      <c r="AL253">
        <v>95</v>
      </c>
      <c r="AM253">
        <v>107</v>
      </c>
      <c r="AN253">
        <v>108</v>
      </c>
      <c r="AO253">
        <v>100</v>
      </c>
      <c r="AP253">
        <v>105</v>
      </c>
      <c r="AQ253">
        <v>2849</v>
      </c>
      <c r="AR253">
        <v>1.053001053001053</v>
      </c>
      <c r="AS253">
        <f t="shared" si="15"/>
        <v>0.33002495754184452</v>
      </c>
      <c r="AT253">
        <f t="shared" si="16"/>
        <v>2.65340065863643E-2</v>
      </c>
      <c r="AU253">
        <f t="shared" si="17"/>
        <v>2.6534006586364298</v>
      </c>
      <c r="AV253">
        <f t="shared" si="18"/>
        <v>3</v>
      </c>
      <c r="AW253">
        <f t="shared" si="19"/>
        <v>9.3923170846247697E-2</v>
      </c>
    </row>
    <row r="254" spans="1:49" x14ac:dyDescent="0.3">
      <c r="A254" t="s">
        <v>316</v>
      </c>
      <c r="B254" t="s">
        <v>114</v>
      </c>
      <c r="C254">
        <v>1</v>
      </c>
      <c r="D254" t="s">
        <v>17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4</v>
      </c>
      <c r="P254">
        <v>3</v>
      </c>
      <c r="Q254">
        <v>3</v>
      </c>
      <c r="R254">
        <v>6</v>
      </c>
      <c r="S254">
        <v>7</v>
      </c>
      <c r="T254">
        <v>2</v>
      </c>
      <c r="U254">
        <v>1</v>
      </c>
      <c r="V254">
        <v>4</v>
      </c>
      <c r="W254">
        <v>5</v>
      </c>
      <c r="X254">
        <v>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4</v>
      </c>
      <c r="AH254">
        <v>1</v>
      </c>
      <c r="AI254">
        <v>2</v>
      </c>
      <c r="AJ254">
        <v>1</v>
      </c>
      <c r="AK254">
        <v>1</v>
      </c>
      <c r="AL254">
        <v>2</v>
      </c>
      <c r="AM254">
        <v>3</v>
      </c>
      <c r="AN254">
        <v>5</v>
      </c>
      <c r="AO254">
        <v>4</v>
      </c>
      <c r="AP254">
        <v>5</v>
      </c>
      <c r="AQ254">
        <v>70</v>
      </c>
      <c r="AR254">
        <v>3</v>
      </c>
      <c r="AS254">
        <f t="shared" si="15"/>
        <v>1</v>
      </c>
      <c r="AT254">
        <f t="shared" si="16"/>
        <v>8.0399999999999999E-2</v>
      </c>
      <c r="AU254">
        <f t="shared" si="17"/>
        <v>8.0399999999999991</v>
      </c>
      <c r="AV254">
        <f t="shared" si="18"/>
        <v>3</v>
      </c>
      <c r="AW254">
        <f t="shared" si="19"/>
        <v>9.3923170846247697E-2</v>
      </c>
    </row>
    <row r="255" spans="1:49" x14ac:dyDescent="0.3">
      <c r="A255" t="s">
        <v>317</v>
      </c>
      <c r="B255" t="s">
        <v>114</v>
      </c>
      <c r="C255">
        <v>2</v>
      </c>
      <c r="D255" t="s">
        <v>17</v>
      </c>
      <c r="E255">
        <v>10</v>
      </c>
      <c r="F255">
        <v>13</v>
      </c>
      <c r="G255">
        <v>14</v>
      </c>
      <c r="H255">
        <v>12</v>
      </c>
      <c r="I255">
        <v>16</v>
      </c>
      <c r="J255">
        <v>14</v>
      </c>
      <c r="K255">
        <v>19</v>
      </c>
      <c r="L255">
        <v>23</v>
      </c>
      <c r="M255">
        <v>23</v>
      </c>
      <c r="N255">
        <v>30</v>
      </c>
      <c r="O255">
        <v>34</v>
      </c>
      <c r="P255">
        <v>37</v>
      </c>
      <c r="Q255">
        <v>29</v>
      </c>
      <c r="R255">
        <v>35</v>
      </c>
      <c r="S255">
        <v>32</v>
      </c>
      <c r="T255">
        <v>49</v>
      </c>
      <c r="U255">
        <v>20</v>
      </c>
      <c r="V255">
        <v>34</v>
      </c>
      <c r="W255">
        <v>30</v>
      </c>
      <c r="X255">
        <v>14</v>
      </c>
      <c r="Y255">
        <v>12</v>
      </c>
      <c r="Z255">
        <v>17</v>
      </c>
      <c r="AA255">
        <v>13</v>
      </c>
      <c r="AB255">
        <v>20</v>
      </c>
      <c r="AC255">
        <v>13</v>
      </c>
      <c r="AD255">
        <v>26</v>
      </c>
      <c r="AE255">
        <v>21</v>
      </c>
      <c r="AF255">
        <v>22</v>
      </c>
      <c r="AG255">
        <v>22</v>
      </c>
      <c r="AH255">
        <v>24</v>
      </c>
      <c r="AI255">
        <v>22</v>
      </c>
      <c r="AJ255">
        <v>26</v>
      </c>
      <c r="AK255">
        <v>38</v>
      </c>
      <c r="AL255">
        <v>37</v>
      </c>
      <c r="AM255">
        <v>25</v>
      </c>
      <c r="AN255">
        <v>24</v>
      </c>
      <c r="AO255">
        <v>25</v>
      </c>
      <c r="AP255">
        <v>27</v>
      </c>
      <c r="AQ255">
        <v>902</v>
      </c>
      <c r="AR255">
        <v>2.217294900221729</v>
      </c>
      <c r="AS255">
        <f t="shared" si="15"/>
        <v>0.73066606776318632</v>
      </c>
      <c r="AT255">
        <f t="shared" si="16"/>
        <v>5.8745551848160181E-2</v>
      </c>
      <c r="AU255">
        <f t="shared" si="17"/>
        <v>5.8745551848160185</v>
      </c>
      <c r="AV255">
        <f t="shared" si="18"/>
        <v>3</v>
      </c>
      <c r="AW255">
        <f t="shared" si="19"/>
        <v>9.3923170846247697E-2</v>
      </c>
    </row>
    <row r="256" spans="1:49" x14ac:dyDescent="0.3">
      <c r="A256" t="s">
        <v>318</v>
      </c>
      <c r="B256" t="s">
        <v>116</v>
      </c>
      <c r="C256">
        <v>1</v>
      </c>
      <c r="D256" t="s">
        <v>12</v>
      </c>
      <c r="E256">
        <v>17</v>
      </c>
      <c r="F256">
        <v>13</v>
      </c>
      <c r="G256">
        <v>11</v>
      </c>
      <c r="H256">
        <v>16</v>
      </c>
      <c r="I256">
        <v>18</v>
      </c>
      <c r="J256">
        <v>19</v>
      </c>
      <c r="K256">
        <v>13</v>
      </c>
      <c r="L256">
        <v>13</v>
      </c>
      <c r="M256">
        <v>23</v>
      </c>
      <c r="N256">
        <v>20</v>
      </c>
      <c r="O256">
        <v>21</v>
      </c>
      <c r="P256">
        <v>17</v>
      </c>
      <c r="Q256">
        <v>18</v>
      </c>
      <c r="R256">
        <v>26</v>
      </c>
      <c r="S256">
        <v>18</v>
      </c>
      <c r="T256">
        <v>16</v>
      </c>
      <c r="U256">
        <v>22</v>
      </c>
      <c r="V256">
        <v>15</v>
      </c>
      <c r="W256">
        <v>34</v>
      </c>
      <c r="X256">
        <v>18</v>
      </c>
      <c r="Y256">
        <v>13</v>
      </c>
      <c r="Z256">
        <v>11</v>
      </c>
      <c r="AA256">
        <v>6</v>
      </c>
      <c r="AB256">
        <v>13</v>
      </c>
      <c r="AC256">
        <v>14</v>
      </c>
      <c r="AD256">
        <v>13</v>
      </c>
      <c r="AE256">
        <v>16</v>
      </c>
      <c r="AF256">
        <v>14</v>
      </c>
      <c r="AG256">
        <v>13</v>
      </c>
      <c r="AH256">
        <v>16</v>
      </c>
      <c r="AI256">
        <v>27</v>
      </c>
      <c r="AJ256">
        <v>19</v>
      </c>
      <c r="AK256">
        <v>20</v>
      </c>
      <c r="AL256">
        <v>18</v>
      </c>
      <c r="AM256">
        <v>21</v>
      </c>
      <c r="AN256">
        <v>15</v>
      </c>
      <c r="AO256">
        <v>19</v>
      </c>
      <c r="AP256">
        <v>33</v>
      </c>
      <c r="AQ256">
        <v>669</v>
      </c>
      <c r="AR256">
        <v>1.4947683109118091</v>
      </c>
      <c r="AS256">
        <f t="shared" si="15"/>
        <v>0.48203995366271385</v>
      </c>
      <c r="AT256">
        <f t="shared" si="16"/>
        <v>3.8756012274482193E-2</v>
      </c>
      <c r="AU256">
        <f t="shared" si="17"/>
        <v>3.8756012274482194</v>
      </c>
      <c r="AV256">
        <f t="shared" si="18"/>
        <v>3</v>
      </c>
      <c r="AW256">
        <f t="shared" si="19"/>
        <v>9.3923170846247697E-2</v>
      </c>
    </row>
    <row r="257" spans="1:49" x14ac:dyDescent="0.3">
      <c r="A257" t="s">
        <v>319</v>
      </c>
      <c r="B257" t="s">
        <v>237</v>
      </c>
      <c r="C257">
        <v>2</v>
      </c>
      <c r="D257" t="s">
        <v>12</v>
      </c>
      <c r="E257">
        <v>40</v>
      </c>
      <c r="F257">
        <v>52</v>
      </c>
      <c r="G257">
        <v>55</v>
      </c>
      <c r="H257">
        <v>44</v>
      </c>
      <c r="I257">
        <v>38</v>
      </c>
      <c r="J257">
        <v>52</v>
      </c>
      <c r="K257">
        <v>45</v>
      </c>
      <c r="L257">
        <v>53</v>
      </c>
      <c r="M257">
        <v>42</v>
      </c>
      <c r="N257">
        <v>60</v>
      </c>
      <c r="O257">
        <v>67</v>
      </c>
      <c r="P257">
        <v>76</v>
      </c>
      <c r="Q257">
        <v>73</v>
      </c>
      <c r="R257">
        <v>83</v>
      </c>
      <c r="S257">
        <v>80</v>
      </c>
      <c r="T257">
        <v>81</v>
      </c>
      <c r="U257">
        <v>74</v>
      </c>
      <c r="V257">
        <v>87</v>
      </c>
      <c r="W257">
        <v>103</v>
      </c>
      <c r="X257">
        <v>46</v>
      </c>
      <c r="Y257">
        <v>60</v>
      </c>
      <c r="Z257">
        <v>46</v>
      </c>
      <c r="AA257">
        <v>39</v>
      </c>
      <c r="AB257">
        <v>50</v>
      </c>
      <c r="AC257">
        <v>40</v>
      </c>
      <c r="AD257">
        <v>47</v>
      </c>
      <c r="AE257">
        <v>51</v>
      </c>
      <c r="AF257">
        <v>79</v>
      </c>
      <c r="AG257">
        <v>81</v>
      </c>
      <c r="AH257">
        <v>60</v>
      </c>
      <c r="AI257">
        <v>71</v>
      </c>
      <c r="AJ257">
        <v>86</v>
      </c>
      <c r="AK257">
        <v>75</v>
      </c>
      <c r="AL257">
        <v>80</v>
      </c>
      <c r="AM257">
        <v>93</v>
      </c>
      <c r="AN257">
        <v>102</v>
      </c>
      <c r="AO257">
        <v>102</v>
      </c>
      <c r="AP257">
        <v>109</v>
      </c>
      <c r="AQ257">
        <v>2522</v>
      </c>
      <c r="AR257">
        <v>0.79302141157811257</v>
      </c>
      <c r="AS257">
        <f t="shared" si="15"/>
        <v>0.24056426647723619</v>
      </c>
      <c r="AT257">
        <f t="shared" si="16"/>
        <v>1.9341367024769789E-2</v>
      </c>
      <c r="AU257">
        <f t="shared" si="17"/>
        <v>1.9341367024769789</v>
      </c>
      <c r="AV257">
        <f t="shared" si="18"/>
        <v>3</v>
      </c>
      <c r="AW257">
        <f t="shared" si="19"/>
        <v>9.3923170846247697E-2</v>
      </c>
    </row>
    <row r="258" spans="1:49" x14ac:dyDescent="0.3">
      <c r="A258" t="s">
        <v>320</v>
      </c>
      <c r="B258" t="s">
        <v>237</v>
      </c>
      <c r="C258">
        <v>2</v>
      </c>
      <c r="D258" t="s">
        <v>12</v>
      </c>
      <c r="E258">
        <v>34</v>
      </c>
      <c r="F258">
        <v>22</v>
      </c>
      <c r="G258">
        <v>35</v>
      </c>
      <c r="H258">
        <v>26</v>
      </c>
      <c r="I258">
        <v>31</v>
      </c>
      <c r="J258">
        <v>30</v>
      </c>
      <c r="K258">
        <v>31</v>
      </c>
      <c r="L258">
        <v>42</v>
      </c>
      <c r="M258">
        <v>34</v>
      </c>
      <c r="N258">
        <v>44</v>
      </c>
      <c r="O258">
        <v>48</v>
      </c>
      <c r="P258">
        <v>46</v>
      </c>
      <c r="Q258">
        <v>50</v>
      </c>
      <c r="R258">
        <v>54</v>
      </c>
      <c r="S258">
        <v>63</v>
      </c>
      <c r="T258">
        <v>68</v>
      </c>
      <c r="U258">
        <v>45</v>
      </c>
      <c r="V258">
        <v>58</v>
      </c>
      <c r="W258">
        <v>68</v>
      </c>
      <c r="X258">
        <v>30</v>
      </c>
      <c r="Y258">
        <v>22</v>
      </c>
      <c r="Z258">
        <v>31</v>
      </c>
      <c r="AA258">
        <v>26</v>
      </c>
      <c r="AB258">
        <v>33</v>
      </c>
      <c r="AC258">
        <v>33</v>
      </c>
      <c r="AD258">
        <v>28</v>
      </c>
      <c r="AE258">
        <v>47</v>
      </c>
      <c r="AF258">
        <v>36</v>
      </c>
      <c r="AG258">
        <v>48</v>
      </c>
      <c r="AH258">
        <v>44</v>
      </c>
      <c r="AI258">
        <v>43</v>
      </c>
      <c r="AJ258">
        <v>59</v>
      </c>
      <c r="AK258">
        <v>52</v>
      </c>
      <c r="AL258">
        <v>64</v>
      </c>
      <c r="AM258">
        <v>57</v>
      </c>
      <c r="AN258">
        <v>51</v>
      </c>
      <c r="AO258">
        <v>64</v>
      </c>
      <c r="AP258">
        <v>79</v>
      </c>
      <c r="AQ258">
        <v>1676</v>
      </c>
      <c r="AR258">
        <v>1.1933174224343679</v>
      </c>
      <c r="AS258">
        <f t="shared" si="15"/>
        <v>0.37830873587339497</v>
      </c>
      <c r="AT258">
        <f t="shared" si="16"/>
        <v>3.0416022364220956E-2</v>
      </c>
      <c r="AU258">
        <f t="shared" si="17"/>
        <v>3.0416022364220958</v>
      </c>
      <c r="AV258">
        <f t="shared" si="18"/>
        <v>3</v>
      </c>
      <c r="AW258">
        <f t="shared" si="19"/>
        <v>9.3923170846247697E-2</v>
      </c>
    </row>
    <row r="259" spans="1:49" x14ac:dyDescent="0.3">
      <c r="A259" t="s">
        <v>321</v>
      </c>
      <c r="B259" t="s">
        <v>114</v>
      </c>
      <c r="C259">
        <v>1</v>
      </c>
      <c r="D259" t="s">
        <v>17</v>
      </c>
      <c r="E259">
        <v>20</v>
      </c>
      <c r="F259">
        <v>19</v>
      </c>
      <c r="G259">
        <v>17</v>
      </c>
      <c r="H259">
        <v>17</v>
      </c>
      <c r="I259">
        <v>21</v>
      </c>
      <c r="J259">
        <v>19</v>
      </c>
      <c r="K259">
        <v>19</v>
      </c>
      <c r="L259">
        <v>15</v>
      </c>
      <c r="M259">
        <v>18</v>
      </c>
      <c r="N259">
        <v>33</v>
      </c>
      <c r="O259">
        <v>37</v>
      </c>
      <c r="P259">
        <v>38</v>
      </c>
      <c r="Q259">
        <v>33</v>
      </c>
      <c r="R259">
        <v>39</v>
      </c>
      <c r="S259">
        <v>31</v>
      </c>
      <c r="T259">
        <v>28</v>
      </c>
      <c r="U259">
        <v>26</v>
      </c>
      <c r="V259">
        <v>55</v>
      </c>
      <c r="W259">
        <v>34</v>
      </c>
      <c r="X259">
        <v>12</v>
      </c>
      <c r="Y259">
        <v>11</v>
      </c>
      <c r="Z259">
        <v>12</v>
      </c>
      <c r="AA259">
        <v>19</v>
      </c>
      <c r="AB259">
        <v>17</v>
      </c>
      <c r="AC259">
        <v>12</v>
      </c>
      <c r="AD259">
        <v>28</v>
      </c>
      <c r="AE259">
        <v>19</v>
      </c>
      <c r="AF259">
        <v>23</v>
      </c>
      <c r="AG259">
        <v>33</v>
      </c>
      <c r="AH259">
        <v>30</v>
      </c>
      <c r="AI259">
        <v>28</v>
      </c>
      <c r="AJ259">
        <v>24</v>
      </c>
      <c r="AK259">
        <v>39</v>
      </c>
      <c r="AL259">
        <v>31</v>
      </c>
      <c r="AM259">
        <v>37</v>
      </c>
      <c r="AN259">
        <v>34</v>
      </c>
      <c r="AO259">
        <v>36</v>
      </c>
      <c r="AP259">
        <v>52</v>
      </c>
      <c r="AQ259">
        <v>1016</v>
      </c>
      <c r="AR259">
        <v>0.98425196850393704</v>
      </c>
      <c r="AS259">
        <f t="shared" ref="AS259:AS322" si="20">(AR259-AW259)/(AV259-AW259)</f>
        <v>0.3063679489564467</v>
      </c>
      <c r="AT259">
        <f t="shared" ref="AT259:AT322" si="21">AS259*0.0804</f>
        <v>2.4631983096098313E-2</v>
      </c>
      <c r="AU259">
        <f t="shared" ref="AU259:AU322" si="22">AT259*100</f>
        <v>2.4631983096098313</v>
      </c>
      <c r="AV259">
        <f t="shared" ref="AV259:AV322" si="23">MAX(AR:AR)</f>
        <v>3</v>
      </c>
      <c r="AW259">
        <f t="shared" ref="AW259:AW322" si="24">MIN(AR:AR)</f>
        <v>9.3923170846247697E-2</v>
      </c>
    </row>
    <row r="260" spans="1:49" x14ac:dyDescent="0.3">
      <c r="A260" t="s">
        <v>322</v>
      </c>
      <c r="B260" t="s">
        <v>11</v>
      </c>
      <c r="C260">
        <v>2</v>
      </c>
      <c r="D260" t="s">
        <v>12</v>
      </c>
      <c r="E260">
        <v>43</v>
      </c>
      <c r="F260">
        <v>39</v>
      </c>
      <c r="G260">
        <v>40</v>
      </c>
      <c r="H260">
        <v>47</v>
      </c>
      <c r="I260">
        <v>44</v>
      </c>
      <c r="J260">
        <v>52</v>
      </c>
      <c r="K260">
        <v>32</v>
      </c>
      <c r="L260">
        <v>52</v>
      </c>
      <c r="M260">
        <v>41</v>
      </c>
      <c r="N260">
        <v>51</v>
      </c>
      <c r="O260">
        <v>69</v>
      </c>
      <c r="P260">
        <v>69</v>
      </c>
      <c r="Q260">
        <v>74</v>
      </c>
      <c r="R260">
        <v>96</v>
      </c>
      <c r="S260">
        <v>100</v>
      </c>
      <c r="T260">
        <v>82</v>
      </c>
      <c r="U260">
        <v>89</v>
      </c>
      <c r="V260">
        <v>111</v>
      </c>
      <c r="W260">
        <v>115</v>
      </c>
      <c r="X260">
        <v>43</v>
      </c>
      <c r="Y260">
        <v>54</v>
      </c>
      <c r="Z260">
        <v>38</v>
      </c>
      <c r="AA260">
        <v>31</v>
      </c>
      <c r="AB260">
        <v>43</v>
      </c>
      <c r="AC260">
        <v>39</v>
      </c>
      <c r="AD260">
        <v>38</v>
      </c>
      <c r="AE260">
        <v>51</v>
      </c>
      <c r="AF260">
        <v>37</v>
      </c>
      <c r="AG260">
        <v>65</v>
      </c>
      <c r="AH260">
        <v>62</v>
      </c>
      <c r="AI260">
        <v>59</v>
      </c>
      <c r="AJ260">
        <v>74</v>
      </c>
      <c r="AK260">
        <v>74</v>
      </c>
      <c r="AL260">
        <v>69</v>
      </c>
      <c r="AM260">
        <v>84</v>
      </c>
      <c r="AN260">
        <v>78</v>
      </c>
      <c r="AO260">
        <v>85</v>
      </c>
      <c r="AP260">
        <v>94</v>
      </c>
      <c r="AQ260">
        <v>2364</v>
      </c>
      <c r="AR260">
        <v>0.84602368866328259</v>
      </c>
      <c r="AS260">
        <f t="shared" si="20"/>
        <v>0.25880269587918847</v>
      </c>
      <c r="AT260">
        <f t="shared" si="21"/>
        <v>2.0807736748686752E-2</v>
      </c>
      <c r="AU260">
        <f t="shared" si="22"/>
        <v>2.0807736748686754</v>
      </c>
      <c r="AV260">
        <f t="shared" si="23"/>
        <v>3</v>
      </c>
      <c r="AW260">
        <f t="shared" si="24"/>
        <v>9.3923170846247697E-2</v>
      </c>
    </row>
    <row r="261" spans="1:49" x14ac:dyDescent="0.3">
      <c r="A261" t="s">
        <v>323</v>
      </c>
      <c r="B261" t="s">
        <v>109</v>
      </c>
      <c r="C261">
        <v>1</v>
      </c>
      <c r="D261" t="s">
        <v>24</v>
      </c>
      <c r="E261">
        <v>4</v>
      </c>
      <c r="F261">
        <v>4</v>
      </c>
      <c r="G261">
        <v>7</v>
      </c>
      <c r="H261">
        <v>2</v>
      </c>
      <c r="I261">
        <v>6</v>
      </c>
      <c r="J261">
        <v>13</v>
      </c>
      <c r="K261">
        <v>12</v>
      </c>
      <c r="L261">
        <v>9</v>
      </c>
      <c r="M261">
        <v>9</v>
      </c>
      <c r="N261">
        <v>24</v>
      </c>
      <c r="O261">
        <v>14</v>
      </c>
      <c r="P261">
        <v>21</v>
      </c>
      <c r="Q261">
        <v>14</v>
      </c>
      <c r="R261">
        <v>28</v>
      </c>
      <c r="S261">
        <v>26</v>
      </c>
      <c r="T261">
        <v>25</v>
      </c>
      <c r="U261">
        <v>30</v>
      </c>
      <c r="V261">
        <v>28</v>
      </c>
      <c r="W261">
        <v>36</v>
      </c>
      <c r="X261">
        <v>10</v>
      </c>
      <c r="Y261">
        <v>10</v>
      </c>
      <c r="Z261">
        <v>7</v>
      </c>
      <c r="AA261">
        <v>6</v>
      </c>
      <c r="AB261">
        <v>8</v>
      </c>
      <c r="AC261">
        <v>8</v>
      </c>
      <c r="AD261">
        <v>9</v>
      </c>
      <c r="AE261">
        <v>8</v>
      </c>
      <c r="AF261">
        <v>16</v>
      </c>
      <c r="AG261">
        <v>15</v>
      </c>
      <c r="AH261">
        <v>17</v>
      </c>
      <c r="AI261">
        <v>13</v>
      </c>
      <c r="AJ261">
        <v>11</v>
      </c>
      <c r="AK261">
        <v>23</v>
      </c>
      <c r="AL261">
        <v>26</v>
      </c>
      <c r="AM261">
        <v>18</v>
      </c>
      <c r="AN261">
        <v>25</v>
      </c>
      <c r="AO261">
        <v>14</v>
      </c>
      <c r="AP261">
        <v>19</v>
      </c>
      <c r="AQ261">
        <v>575</v>
      </c>
      <c r="AR261">
        <v>1.7391304347826091</v>
      </c>
      <c r="AS261">
        <f t="shared" si="20"/>
        <v>0.56612655502829379</v>
      </c>
      <c r="AT261">
        <f t="shared" si="21"/>
        <v>4.5516575024274822E-2</v>
      </c>
      <c r="AU261">
        <f t="shared" si="22"/>
        <v>4.5516575024274823</v>
      </c>
      <c r="AV261">
        <f t="shared" si="23"/>
        <v>3</v>
      </c>
      <c r="AW261">
        <f t="shared" si="24"/>
        <v>9.3923170846247697E-2</v>
      </c>
    </row>
    <row r="262" spans="1:49" x14ac:dyDescent="0.3">
      <c r="A262" t="s">
        <v>324</v>
      </c>
      <c r="B262" t="s">
        <v>237</v>
      </c>
      <c r="C262">
        <v>3</v>
      </c>
      <c r="D262" t="s">
        <v>12</v>
      </c>
      <c r="E262">
        <v>32</v>
      </c>
      <c r="F262">
        <v>31</v>
      </c>
      <c r="G262">
        <v>25</v>
      </c>
      <c r="H262">
        <v>26</v>
      </c>
      <c r="I262">
        <v>27</v>
      </c>
      <c r="J262">
        <v>40</v>
      </c>
      <c r="K262">
        <v>42</v>
      </c>
      <c r="L262">
        <v>43</v>
      </c>
      <c r="M262">
        <v>46</v>
      </c>
      <c r="N262">
        <v>37</v>
      </c>
      <c r="O262">
        <v>53</v>
      </c>
      <c r="P262">
        <v>45</v>
      </c>
      <c r="Q262">
        <v>58</v>
      </c>
      <c r="R262">
        <v>59</v>
      </c>
      <c r="S262">
        <v>28</v>
      </c>
      <c r="T262">
        <v>66</v>
      </c>
      <c r="U262">
        <v>61</v>
      </c>
      <c r="V262">
        <v>61</v>
      </c>
      <c r="W262">
        <v>61</v>
      </c>
      <c r="X262">
        <v>19</v>
      </c>
      <c r="Y262">
        <v>26</v>
      </c>
      <c r="Z262">
        <v>20</v>
      </c>
      <c r="AA262">
        <v>25</v>
      </c>
      <c r="AB262">
        <v>32</v>
      </c>
      <c r="AC262">
        <v>31</v>
      </c>
      <c r="AD262">
        <v>35</v>
      </c>
      <c r="AE262">
        <v>42</v>
      </c>
      <c r="AF262">
        <v>47</v>
      </c>
      <c r="AG262">
        <v>43</v>
      </c>
      <c r="AH262">
        <v>45</v>
      </c>
      <c r="AI262">
        <v>57</v>
      </c>
      <c r="AJ262">
        <v>42</v>
      </c>
      <c r="AK262">
        <v>42</v>
      </c>
      <c r="AL262">
        <v>59</v>
      </c>
      <c r="AM262">
        <v>68</v>
      </c>
      <c r="AN262">
        <v>48</v>
      </c>
      <c r="AO262">
        <v>48</v>
      </c>
      <c r="AP262">
        <v>71</v>
      </c>
      <c r="AQ262">
        <v>1641</v>
      </c>
      <c r="AR262">
        <v>1.828153564899452</v>
      </c>
      <c r="AS262">
        <f t="shared" si="20"/>
        <v>0.59675999500612342</v>
      </c>
      <c r="AT262">
        <f t="shared" si="21"/>
        <v>4.7979503598492325E-2</v>
      </c>
      <c r="AU262">
        <f t="shared" si="22"/>
        <v>4.7979503598492323</v>
      </c>
      <c r="AV262">
        <f t="shared" si="23"/>
        <v>3</v>
      </c>
      <c r="AW262">
        <f t="shared" si="24"/>
        <v>9.3923170846247697E-2</v>
      </c>
    </row>
    <row r="263" spans="1:49" x14ac:dyDescent="0.3">
      <c r="A263" t="s">
        <v>325</v>
      </c>
      <c r="B263" t="s">
        <v>237</v>
      </c>
      <c r="C263">
        <v>1</v>
      </c>
      <c r="D263" t="s">
        <v>12</v>
      </c>
      <c r="E263">
        <v>24</v>
      </c>
      <c r="F263">
        <v>18</v>
      </c>
      <c r="G263">
        <v>13</v>
      </c>
      <c r="H263">
        <v>14</v>
      </c>
      <c r="I263">
        <v>17</v>
      </c>
      <c r="J263">
        <v>23</v>
      </c>
      <c r="K263">
        <v>19</v>
      </c>
      <c r="L263">
        <v>29</v>
      </c>
      <c r="M263">
        <v>30</v>
      </c>
      <c r="N263">
        <v>39</v>
      </c>
      <c r="O263">
        <v>35</v>
      </c>
      <c r="P263">
        <v>33</v>
      </c>
      <c r="Q263">
        <v>38</v>
      </c>
      <c r="R263">
        <v>36</v>
      </c>
      <c r="S263">
        <v>40</v>
      </c>
      <c r="T263">
        <v>45</v>
      </c>
      <c r="U263">
        <v>38</v>
      </c>
      <c r="V263">
        <v>49</v>
      </c>
      <c r="W263">
        <v>63</v>
      </c>
      <c r="X263">
        <v>12</v>
      </c>
      <c r="Y263">
        <v>14</v>
      </c>
      <c r="Z263">
        <v>16</v>
      </c>
      <c r="AA263">
        <v>16</v>
      </c>
      <c r="AB263">
        <v>17</v>
      </c>
      <c r="AC263">
        <v>17</v>
      </c>
      <c r="AD263">
        <v>28</v>
      </c>
      <c r="AE263">
        <v>23</v>
      </c>
      <c r="AF263">
        <v>26</v>
      </c>
      <c r="AG263">
        <v>28</v>
      </c>
      <c r="AH263">
        <v>40</v>
      </c>
      <c r="AI263">
        <v>35</v>
      </c>
      <c r="AJ263">
        <v>38</v>
      </c>
      <c r="AK263">
        <v>43</v>
      </c>
      <c r="AL263">
        <v>39</v>
      </c>
      <c r="AM263">
        <v>42</v>
      </c>
      <c r="AN263">
        <v>48</v>
      </c>
      <c r="AO263">
        <v>47</v>
      </c>
      <c r="AP263">
        <v>61</v>
      </c>
      <c r="AQ263">
        <v>1193</v>
      </c>
      <c r="AR263">
        <v>0.83822296730930423</v>
      </c>
      <c r="AS263">
        <f t="shared" si="20"/>
        <v>0.25611841675906283</v>
      </c>
      <c r="AT263">
        <f t="shared" si="21"/>
        <v>2.059192070742865E-2</v>
      </c>
      <c r="AU263">
        <f t="shared" si="22"/>
        <v>2.0591920707428648</v>
      </c>
      <c r="AV263">
        <f t="shared" si="23"/>
        <v>3</v>
      </c>
      <c r="AW263">
        <f t="shared" si="24"/>
        <v>9.3923170846247697E-2</v>
      </c>
    </row>
    <row r="264" spans="1:49" x14ac:dyDescent="0.3">
      <c r="A264" t="s">
        <v>326</v>
      </c>
      <c r="B264" t="s">
        <v>143</v>
      </c>
      <c r="C264">
        <v>4</v>
      </c>
      <c r="D264" t="s">
        <v>24</v>
      </c>
      <c r="E264">
        <v>8</v>
      </c>
      <c r="F264">
        <v>7</v>
      </c>
      <c r="G264">
        <v>9</v>
      </c>
      <c r="H264">
        <v>11</v>
      </c>
      <c r="I264">
        <v>5</v>
      </c>
      <c r="J264">
        <v>12</v>
      </c>
      <c r="K264">
        <v>6</v>
      </c>
      <c r="L264">
        <v>12</v>
      </c>
      <c r="M264">
        <v>7</v>
      </c>
      <c r="N264">
        <v>14</v>
      </c>
      <c r="O264">
        <v>13</v>
      </c>
      <c r="P264">
        <v>18</v>
      </c>
      <c r="Q264">
        <v>18</v>
      </c>
      <c r="R264">
        <v>27</v>
      </c>
      <c r="S264">
        <v>20</v>
      </c>
      <c r="T264">
        <v>17</v>
      </c>
      <c r="U264">
        <v>18</v>
      </c>
      <c r="V264">
        <v>28</v>
      </c>
      <c r="W264">
        <v>41</v>
      </c>
      <c r="X264">
        <v>6</v>
      </c>
      <c r="Y264">
        <v>7</v>
      </c>
      <c r="Z264">
        <v>7</v>
      </c>
      <c r="AA264">
        <v>9</v>
      </c>
      <c r="AB264">
        <v>6</v>
      </c>
      <c r="AC264">
        <v>6</v>
      </c>
      <c r="AD264">
        <v>9</v>
      </c>
      <c r="AE264">
        <v>13</v>
      </c>
      <c r="AF264">
        <v>9</v>
      </c>
      <c r="AG264">
        <v>16</v>
      </c>
      <c r="AH264">
        <v>16</v>
      </c>
      <c r="AI264">
        <v>14</v>
      </c>
      <c r="AJ264">
        <v>14</v>
      </c>
      <c r="AK264">
        <v>24</v>
      </c>
      <c r="AL264">
        <v>23</v>
      </c>
      <c r="AM264">
        <v>30</v>
      </c>
      <c r="AN264">
        <v>23</v>
      </c>
      <c r="AO264">
        <v>16</v>
      </c>
      <c r="AP264">
        <v>19</v>
      </c>
      <c r="AQ264">
        <v>558</v>
      </c>
      <c r="AR264">
        <v>3</v>
      </c>
      <c r="AS264">
        <f t="shared" si="20"/>
        <v>1</v>
      </c>
      <c r="AT264">
        <f t="shared" si="21"/>
        <v>8.0399999999999999E-2</v>
      </c>
      <c r="AU264">
        <f t="shared" si="22"/>
        <v>8.0399999999999991</v>
      </c>
      <c r="AV264">
        <f t="shared" si="23"/>
        <v>3</v>
      </c>
      <c r="AW264">
        <f t="shared" si="24"/>
        <v>9.3923170846247697E-2</v>
      </c>
    </row>
    <row r="265" spans="1:49" x14ac:dyDescent="0.3">
      <c r="A265" t="s">
        <v>327</v>
      </c>
      <c r="B265" t="s">
        <v>143</v>
      </c>
      <c r="C265">
        <v>1</v>
      </c>
      <c r="D265" t="s">
        <v>24</v>
      </c>
      <c r="E265">
        <v>22</v>
      </c>
      <c r="F265">
        <v>21</v>
      </c>
      <c r="G265">
        <v>21</v>
      </c>
      <c r="H265">
        <v>17</v>
      </c>
      <c r="I265">
        <v>22</v>
      </c>
      <c r="J265">
        <v>24</v>
      </c>
      <c r="K265">
        <v>18</v>
      </c>
      <c r="L265">
        <v>28</v>
      </c>
      <c r="M265">
        <v>19</v>
      </c>
      <c r="N265">
        <v>27</v>
      </c>
      <c r="O265">
        <v>32</v>
      </c>
      <c r="P265">
        <v>38</v>
      </c>
      <c r="Q265">
        <v>27</v>
      </c>
      <c r="R265">
        <v>35</v>
      </c>
      <c r="S265">
        <v>28</v>
      </c>
      <c r="T265">
        <v>39</v>
      </c>
      <c r="U265">
        <v>42</v>
      </c>
      <c r="V265">
        <v>42</v>
      </c>
      <c r="W265">
        <v>53</v>
      </c>
      <c r="X265">
        <v>14</v>
      </c>
      <c r="Y265">
        <v>13</v>
      </c>
      <c r="Z265">
        <v>18</v>
      </c>
      <c r="AA265">
        <v>11</v>
      </c>
      <c r="AB265">
        <v>19</v>
      </c>
      <c r="AC265">
        <v>14</v>
      </c>
      <c r="AD265">
        <v>23</v>
      </c>
      <c r="AE265">
        <v>21</v>
      </c>
      <c r="AF265">
        <v>25</v>
      </c>
      <c r="AG265">
        <v>31</v>
      </c>
      <c r="AH265">
        <v>27</v>
      </c>
      <c r="AI265">
        <v>25</v>
      </c>
      <c r="AJ265">
        <v>41</v>
      </c>
      <c r="AK265">
        <v>39</v>
      </c>
      <c r="AL265">
        <v>44</v>
      </c>
      <c r="AM265">
        <v>48</v>
      </c>
      <c r="AN265">
        <v>38</v>
      </c>
      <c r="AO265">
        <v>35</v>
      </c>
      <c r="AP265">
        <v>44</v>
      </c>
      <c r="AQ265">
        <v>1085</v>
      </c>
      <c r="AR265">
        <v>0.92165898617511521</v>
      </c>
      <c r="AS265">
        <f t="shared" si="20"/>
        <v>0.28482929529771023</v>
      </c>
      <c r="AT265">
        <f t="shared" si="21"/>
        <v>2.2900275341935901E-2</v>
      </c>
      <c r="AU265">
        <f t="shared" si="22"/>
        <v>2.2900275341935901</v>
      </c>
      <c r="AV265">
        <f t="shared" si="23"/>
        <v>3</v>
      </c>
      <c r="AW265">
        <f t="shared" si="24"/>
        <v>9.3923170846247697E-2</v>
      </c>
    </row>
    <row r="266" spans="1:49" x14ac:dyDescent="0.3">
      <c r="A266" t="s">
        <v>328</v>
      </c>
      <c r="B266" t="s">
        <v>31</v>
      </c>
      <c r="C266">
        <v>2</v>
      </c>
      <c r="D266" t="s">
        <v>24</v>
      </c>
      <c r="E266">
        <v>41</v>
      </c>
      <c r="F266">
        <v>43</v>
      </c>
      <c r="G266">
        <v>27</v>
      </c>
      <c r="H266">
        <v>36</v>
      </c>
      <c r="I266">
        <v>43</v>
      </c>
      <c r="J266">
        <v>41</v>
      </c>
      <c r="K266">
        <v>47</v>
      </c>
      <c r="L266">
        <v>38</v>
      </c>
      <c r="M266">
        <v>32</v>
      </c>
      <c r="N266">
        <v>47</v>
      </c>
      <c r="O266">
        <v>43</v>
      </c>
      <c r="P266">
        <v>55</v>
      </c>
      <c r="Q266">
        <v>55</v>
      </c>
      <c r="R266">
        <v>64</v>
      </c>
      <c r="S266">
        <v>52</v>
      </c>
      <c r="T266">
        <v>57</v>
      </c>
      <c r="U266">
        <v>65</v>
      </c>
      <c r="V266">
        <v>65</v>
      </c>
      <c r="W266">
        <v>70</v>
      </c>
      <c r="X266">
        <v>45</v>
      </c>
      <c r="Y266">
        <v>36</v>
      </c>
      <c r="Z266">
        <v>38</v>
      </c>
      <c r="AA266">
        <v>29</v>
      </c>
      <c r="AB266">
        <v>33</v>
      </c>
      <c r="AC266">
        <v>27</v>
      </c>
      <c r="AD266">
        <v>32</v>
      </c>
      <c r="AE266">
        <v>36</v>
      </c>
      <c r="AF266">
        <v>44</v>
      </c>
      <c r="AG266">
        <v>42</v>
      </c>
      <c r="AH266">
        <v>40</v>
      </c>
      <c r="AI266">
        <v>37</v>
      </c>
      <c r="AJ266">
        <v>37</v>
      </c>
      <c r="AK266">
        <v>51</v>
      </c>
      <c r="AL266">
        <v>47</v>
      </c>
      <c r="AM266">
        <v>51</v>
      </c>
      <c r="AN266">
        <v>64</v>
      </c>
      <c r="AO266">
        <v>48</v>
      </c>
      <c r="AP266">
        <v>53</v>
      </c>
      <c r="AQ266">
        <v>1711</v>
      </c>
      <c r="AR266">
        <v>1.168907071887785</v>
      </c>
      <c r="AS266">
        <f t="shared" si="20"/>
        <v>0.36990897496490888</v>
      </c>
      <c r="AT266">
        <f t="shared" si="21"/>
        <v>2.9740681587178672E-2</v>
      </c>
      <c r="AU266">
        <f t="shared" si="22"/>
        <v>2.9740681587178672</v>
      </c>
      <c r="AV266">
        <f t="shared" si="23"/>
        <v>3</v>
      </c>
      <c r="AW266">
        <f t="shared" si="24"/>
        <v>9.3923170846247697E-2</v>
      </c>
    </row>
    <row r="267" spans="1:49" x14ac:dyDescent="0.3">
      <c r="A267" t="s">
        <v>329</v>
      </c>
      <c r="B267" t="s">
        <v>31</v>
      </c>
      <c r="C267">
        <v>4</v>
      </c>
      <c r="D267" t="s">
        <v>24</v>
      </c>
      <c r="E267">
        <v>35</v>
      </c>
      <c r="F267">
        <v>42</v>
      </c>
      <c r="G267">
        <v>45</v>
      </c>
      <c r="H267">
        <v>30</v>
      </c>
      <c r="I267">
        <v>40</v>
      </c>
      <c r="J267">
        <v>40</v>
      </c>
      <c r="K267">
        <v>35</v>
      </c>
      <c r="L267">
        <v>38</v>
      </c>
      <c r="M267">
        <v>66</v>
      </c>
      <c r="N267">
        <v>64</v>
      </c>
      <c r="O267">
        <v>58</v>
      </c>
      <c r="P267">
        <v>68</v>
      </c>
      <c r="Q267">
        <v>64</v>
      </c>
      <c r="R267">
        <v>75</v>
      </c>
      <c r="S267">
        <v>78</v>
      </c>
      <c r="T267">
        <v>90</v>
      </c>
      <c r="U267">
        <v>91</v>
      </c>
      <c r="V267">
        <v>79</v>
      </c>
      <c r="W267">
        <v>95</v>
      </c>
      <c r="X267">
        <v>31</v>
      </c>
      <c r="Y267">
        <v>30</v>
      </c>
      <c r="Z267">
        <v>37</v>
      </c>
      <c r="AA267">
        <v>34</v>
      </c>
      <c r="AB267">
        <v>30</v>
      </c>
      <c r="AC267">
        <v>51</v>
      </c>
      <c r="AD267">
        <v>40</v>
      </c>
      <c r="AE267">
        <v>50</v>
      </c>
      <c r="AF267">
        <v>57</v>
      </c>
      <c r="AG267">
        <v>55</v>
      </c>
      <c r="AH267">
        <v>75</v>
      </c>
      <c r="AI267">
        <v>63</v>
      </c>
      <c r="AJ267">
        <v>65</v>
      </c>
      <c r="AK267">
        <v>81</v>
      </c>
      <c r="AL267">
        <v>88</v>
      </c>
      <c r="AM267">
        <v>77</v>
      </c>
      <c r="AN267">
        <v>82</v>
      </c>
      <c r="AO267">
        <v>92</v>
      </c>
      <c r="AP267">
        <v>89</v>
      </c>
      <c r="AQ267">
        <v>2260</v>
      </c>
      <c r="AR267">
        <v>1.7699115044247791</v>
      </c>
      <c r="AS267">
        <f t="shared" si="20"/>
        <v>0.57671852194856732</v>
      </c>
      <c r="AT267">
        <f t="shared" si="21"/>
        <v>4.636816916466481E-2</v>
      </c>
      <c r="AU267">
        <f t="shared" si="22"/>
        <v>4.636816916466481</v>
      </c>
      <c r="AV267">
        <f t="shared" si="23"/>
        <v>3</v>
      </c>
      <c r="AW267">
        <f t="shared" si="24"/>
        <v>9.3923170846247697E-2</v>
      </c>
    </row>
    <row r="268" spans="1:49" x14ac:dyDescent="0.3">
      <c r="A268" t="s">
        <v>330</v>
      </c>
      <c r="B268" t="s">
        <v>31</v>
      </c>
      <c r="C268">
        <v>2</v>
      </c>
      <c r="D268" t="s">
        <v>24</v>
      </c>
      <c r="E268">
        <v>48</v>
      </c>
      <c r="F268">
        <v>55</v>
      </c>
      <c r="G268">
        <v>42</v>
      </c>
      <c r="H268">
        <v>41</v>
      </c>
      <c r="I268">
        <v>48</v>
      </c>
      <c r="J268">
        <v>46</v>
      </c>
      <c r="K268">
        <v>46</v>
      </c>
      <c r="L268">
        <v>56</v>
      </c>
      <c r="M268">
        <v>63</v>
      </c>
      <c r="N268">
        <v>65</v>
      </c>
      <c r="O268">
        <v>79</v>
      </c>
      <c r="P268">
        <v>78</v>
      </c>
      <c r="Q268">
        <v>77</v>
      </c>
      <c r="R268">
        <v>90</v>
      </c>
      <c r="S268">
        <v>81</v>
      </c>
      <c r="T268">
        <v>98</v>
      </c>
      <c r="U268">
        <v>103</v>
      </c>
      <c r="V268">
        <v>90</v>
      </c>
      <c r="W268">
        <v>116</v>
      </c>
      <c r="X268">
        <v>60</v>
      </c>
      <c r="Y268">
        <v>53</v>
      </c>
      <c r="Z268">
        <v>37</v>
      </c>
      <c r="AA268">
        <v>31</v>
      </c>
      <c r="AB268">
        <v>30</v>
      </c>
      <c r="AC268">
        <v>45</v>
      </c>
      <c r="AD268">
        <v>43</v>
      </c>
      <c r="AE268">
        <v>54</v>
      </c>
      <c r="AF268">
        <v>49</v>
      </c>
      <c r="AG268">
        <v>68</v>
      </c>
      <c r="AH268">
        <v>66</v>
      </c>
      <c r="AI268">
        <v>87</v>
      </c>
      <c r="AJ268">
        <v>69</v>
      </c>
      <c r="AK268">
        <v>85</v>
      </c>
      <c r="AL268">
        <v>92</v>
      </c>
      <c r="AM268">
        <v>104</v>
      </c>
      <c r="AN268">
        <v>84</v>
      </c>
      <c r="AO268">
        <v>87</v>
      </c>
      <c r="AP268">
        <v>125</v>
      </c>
      <c r="AQ268">
        <v>2591</v>
      </c>
      <c r="AR268">
        <v>0.77190274025472794</v>
      </c>
      <c r="AS268">
        <f t="shared" si="20"/>
        <v>0.23329719386872075</v>
      </c>
      <c r="AT268">
        <f t="shared" si="21"/>
        <v>1.8757094387045148E-2</v>
      </c>
      <c r="AU268">
        <f t="shared" si="22"/>
        <v>1.8757094387045148</v>
      </c>
      <c r="AV268">
        <f t="shared" si="23"/>
        <v>3</v>
      </c>
      <c r="AW268">
        <f t="shared" si="24"/>
        <v>9.3923170846247697E-2</v>
      </c>
    </row>
    <row r="269" spans="1:49" x14ac:dyDescent="0.3">
      <c r="A269" t="s">
        <v>331</v>
      </c>
      <c r="B269" t="s">
        <v>14</v>
      </c>
      <c r="C269">
        <v>4</v>
      </c>
      <c r="D269" t="s">
        <v>12</v>
      </c>
      <c r="E269">
        <v>61</v>
      </c>
      <c r="F269">
        <v>60</v>
      </c>
      <c r="G269">
        <v>46</v>
      </c>
      <c r="H269">
        <v>57</v>
      </c>
      <c r="I269">
        <v>52</v>
      </c>
      <c r="J269">
        <v>49</v>
      </c>
      <c r="K269">
        <v>53</v>
      </c>
      <c r="L269">
        <v>55</v>
      </c>
      <c r="M269">
        <v>87</v>
      </c>
      <c r="N269">
        <v>79</v>
      </c>
      <c r="O269">
        <v>68</v>
      </c>
      <c r="P269">
        <v>91</v>
      </c>
      <c r="Q269">
        <v>85</v>
      </c>
      <c r="R269">
        <v>103</v>
      </c>
      <c r="S269">
        <v>94</v>
      </c>
      <c r="T269">
        <v>129</v>
      </c>
      <c r="U269">
        <v>93</v>
      </c>
      <c r="V269">
        <v>105</v>
      </c>
      <c r="W269">
        <v>137</v>
      </c>
      <c r="X269">
        <v>60</v>
      </c>
      <c r="Y269">
        <v>54</v>
      </c>
      <c r="Z269">
        <v>58</v>
      </c>
      <c r="AA269">
        <v>47</v>
      </c>
      <c r="AB269">
        <v>45</v>
      </c>
      <c r="AC269">
        <v>38</v>
      </c>
      <c r="AD269">
        <v>63</v>
      </c>
      <c r="AE269">
        <v>66</v>
      </c>
      <c r="AF269">
        <v>48</v>
      </c>
      <c r="AG269">
        <v>66</v>
      </c>
      <c r="AH269">
        <v>85</v>
      </c>
      <c r="AI269">
        <v>82</v>
      </c>
      <c r="AJ269">
        <v>56</v>
      </c>
      <c r="AK269">
        <v>105</v>
      </c>
      <c r="AL269">
        <v>89</v>
      </c>
      <c r="AM269">
        <v>92</v>
      </c>
      <c r="AN269">
        <v>86</v>
      </c>
      <c r="AO269">
        <v>93</v>
      </c>
      <c r="AP269">
        <v>108</v>
      </c>
      <c r="AQ269">
        <v>2845</v>
      </c>
      <c r="AR269">
        <v>1.40597539543058</v>
      </c>
      <c r="AS269">
        <f t="shared" si="20"/>
        <v>0.45148573204322368</v>
      </c>
      <c r="AT269">
        <f t="shared" si="21"/>
        <v>3.6299452856275186E-2</v>
      </c>
      <c r="AU269">
        <f t="shared" si="22"/>
        <v>3.6299452856275187</v>
      </c>
      <c r="AV269">
        <f t="shared" si="23"/>
        <v>3</v>
      </c>
      <c r="AW269">
        <f t="shared" si="24"/>
        <v>9.3923170846247697E-2</v>
      </c>
    </row>
    <row r="270" spans="1:49" x14ac:dyDescent="0.3">
      <c r="A270" t="s">
        <v>332</v>
      </c>
      <c r="B270" t="s">
        <v>14</v>
      </c>
      <c r="C270">
        <v>2</v>
      </c>
      <c r="D270" t="s">
        <v>12</v>
      </c>
      <c r="E270">
        <v>15</v>
      </c>
      <c r="F270">
        <v>8</v>
      </c>
      <c r="G270">
        <v>11</v>
      </c>
      <c r="H270">
        <v>23</v>
      </c>
      <c r="I270">
        <v>11</v>
      </c>
      <c r="J270">
        <v>7</v>
      </c>
      <c r="K270">
        <v>19</v>
      </c>
      <c r="L270">
        <v>19</v>
      </c>
      <c r="M270">
        <v>19</v>
      </c>
      <c r="N270">
        <v>25</v>
      </c>
      <c r="O270">
        <v>25</v>
      </c>
      <c r="P270">
        <v>25</v>
      </c>
      <c r="Q270">
        <v>19</v>
      </c>
      <c r="R270">
        <v>44</v>
      </c>
      <c r="S270">
        <v>31</v>
      </c>
      <c r="T270">
        <v>34</v>
      </c>
      <c r="U270">
        <v>21</v>
      </c>
      <c r="V270">
        <v>18</v>
      </c>
      <c r="W270">
        <v>30</v>
      </c>
      <c r="X270">
        <v>16</v>
      </c>
      <c r="Y270">
        <v>13</v>
      </c>
      <c r="Z270">
        <v>10</v>
      </c>
      <c r="AA270">
        <v>13</v>
      </c>
      <c r="AB270">
        <v>8</v>
      </c>
      <c r="AC270">
        <v>9</v>
      </c>
      <c r="AD270">
        <v>18</v>
      </c>
      <c r="AE270">
        <v>17</v>
      </c>
      <c r="AF270">
        <v>28</v>
      </c>
      <c r="AG270">
        <v>18</v>
      </c>
      <c r="AH270">
        <v>28</v>
      </c>
      <c r="AI270">
        <v>25</v>
      </c>
      <c r="AJ270">
        <v>24</v>
      </c>
      <c r="AK270">
        <v>33</v>
      </c>
      <c r="AL270">
        <v>27</v>
      </c>
      <c r="AM270">
        <v>23</v>
      </c>
      <c r="AN270">
        <v>29</v>
      </c>
      <c r="AO270">
        <v>32</v>
      </c>
      <c r="AP270">
        <v>34</v>
      </c>
      <c r="AQ270">
        <v>809</v>
      </c>
      <c r="AR270">
        <v>2.4721878862793569</v>
      </c>
      <c r="AS270">
        <f t="shared" si="20"/>
        <v>0.81837640752452456</v>
      </c>
      <c r="AT270">
        <f t="shared" si="21"/>
        <v>6.5797463164971773E-2</v>
      </c>
      <c r="AU270">
        <f t="shared" si="22"/>
        <v>6.579746316497177</v>
      </c>
      <c r="AV270">
        <f t="shared" si="23"/>
        <v>3</v>
      </c>
      <c r="AW270">
        <f t="shared" si="24"/>
        <v>9.3923170846247697E-2</v>
      </c>
    </row>
    <row r="271" spans="1:49" x14ac:dyDescent="0.3">
      <c r="A271" t="s">
        <v>333</v>
      </c>
      <c r="B271" t="s">
        <v>14</v>
      </c>
      <c r="C271">
        <v>1</v>
      </c>
      <c r="D271" t="s">
        <v>12</v>
      </c>
      <c r="E271">
        <v>26</v>
      </c>
      <c r="F271">
        <v>19</v>
      </c>
      <c r="G271">
        <v>20</v>
      </c>
      <c r="H271">
        <v>30</v>
      </c>
      <c r="I271">
        <v>19</v>
      </c>
      <c r="J271">
        <v>34</v>
      </c>
      <c r="K271">
        <v>33</v>
      </c>
      <c r="L271">
        <v>31</v>
      </c>
      <c r="M271">
        <v>28</v>
      </c>
      <c r="N271">
        <v>40</v>
      </c>
      <c r="O271">
        <v>45</v>
      </c>
      <c r="P271">
        <v>56</v>
      </c>
      <c r="Q271">
        <v>48</v>
      </c>
      <c r="R271">
        <v>57</v>
      </c>
      <c r="S271">
        <v>59</v>
      </c>
      <c r="T271">
        <v>55</v>
      </c>
      <c r="U271">
        <v>55</v>
      </c>
      <c r="V271">
        <v>66</v>
      </c>
      <c r="W271">
        <v>65</v>
      </c>
      <c r="X271">
        <v>26</v>
      </c>
      <c r="Y271">
        <v>22</v>
      </c>
      <c r="Z271">
        <v>26</v>
      </c>
      <c r="AA271">
        <v>28</v>
      </c>
      <c r="AB271">
        <v>27</v>
      </c>
      <c r="AC271">
        <v>30</v>
      </c>
      <c r="AD271">
        <v>29</v>
      </c>
      <c r="AE271">
        <v>41</v>
      </c>
      <c r="AF271">
        <v>47</v>
      </c>
      <c r="AG271">
        <v>44</v>
      </c>
      <c r="AH271">
        <v>45</v>
      </c>
      <c r="AI271">
        <v>52</v>
      </c>
      <c r="AJ271">
        <v>41</v>
      </c>
      <c r="AK271">
        <v>50</v>
      </c>
      <c r="AL271">
        <v>52</v>
      </c>
      <c r="AM271">
        <v>58</v>
      </c>
      <c r="AN271">
        <v>63</v>
      </c>
      <c r="AO271">
        <v>68</v>
      </c>
      <c r="AP271">
        <v>69</v>
      </c>
      <c r="AQ271">
        <v>1604</v>
      </c>
      <c r="AR271">
        <v>0.62344139650872821</v>
      </c>
      <c r="AS271">
        <f t="shared" si="20"/>
        <v>0.1822106767275922</v>
      </c>
      <c r="AT271">
        <f t="shared" si="21"/>
        <v>1.4649738408898412E-2</v>
      </c>
      <c r="AU271">
        <f t="shared" si="22"/>
        <v>1.4649738408898412</v>
      </c>
      <c r="AV271">
        <f t="shared" si="23"/>
        <v>3</v>
      </c>
      <c r="AW271">
        <f t="shared" si="24"/>
        <v>9.3923170846247697E-2</v>
      </c>
    </row>
    <row r="272" spans="1:49" x14ac:dyDescent="0.3">
      <c r="A272" t="s">
        <v>334</v>
      </c>
      <c r="B272" t="s">
        <v>14</v>
      </c>
      <c r="C272">
        <v>4</v>
      </c>
      <c r="D272" t="s">
        <v>12</v>
      </c>
      <c r="E272">
        <v>24</v>
      </c>
      <c r="F272">
        <v>27</v>
      </c>
      <c r="G272">
        <v>22</v>
      </c>
      <c r="H272">
        <v>30</v>
      </c>
      <c r="I272">
        <v>22</v>
      </c>
      <c r="J272">
        <v>21</v>
      </c>
      <c r="K272">
        <v>41</v>
      </c>
      <c r="L272">
        <v>35</v>
      </c>
      <c r="M272">
        <v>40</v>
      </c>
      <c r="N272">
        <v>32</v>
      </c>
      <c r="O272">
        <v>40</v>
      </c>
      <c r="P272">
        <v>35</v>
      </c>
      <c r="Q272">
        <v>43</v>
      </c>
      <c r="R272">
        <v>67</v>
      </c>
      <c r="S272">
        <v>42</v>
      </c>
      <c r="T272">
        <v>48</v>
      </c>
      <c r="U272">
        <v>53</v>
      </c>
      <c r="V272">
        <v>57</v>
      </c>
      <c r="W272">
        <v>55</v>
      </c>
      <c r="X272">
        <v>19</v>
      </c>
      <c r="Y272">
        <v>25</v>
      </c>
      <c r="Z272">
        <v>18</v>
      </c>
      <c r="AA272">
        <v>32</v>
      </c>
      <c r="AB272">
        <v>29</v>
      </c>
      <c r="AC272">
        <v>28</v>
      </c>
      <c r="AD272">
        <v>23</v>
      </c>
      <c r="AE272">
        <v>25</v>
      </c>
      <c r="AF272">
        <v>29</v>
      </c>
      <c r="AG272">
        <v>28</v>
      </c>
      <c r="AH272">
        <v>43</v>
      </c>
      <c r="AI272">
        <v>49</v>
      </c>
      <c r="AJ272">
        <v>34</v>
      </c>
      <c r="AK272">
        <v>38</v>
      </c>
      <c r="AL272">
        <v>61</v>
      </c>
      <c r="AM272">
        <v>50</v>
      </c>
      <c r="AN272">
        <v>45</v>
      </c>
      <c r="AO272">
        <v>62</v>
      </c>
      <c r="AP272">
        <v>63</v>
      </c>
      <c r="AQ272">
        <v>1435</v>
      </c>
      <c r="AR272">
        <v>2.787456445993032</v>
      </c>
      <c r="AS272">
        <f t="shared" si="20"/>
        <v>0.92686237615099099</v>
      </c>
      <c r="AT272">
        <f t="shared" si="21"/>
        <v>7.451973504253967E-2</v>
      </c>
      <c r="AU272">
        <f t="shared" si="22"/>
        <v>7.4519735042539672</v>
      </c>
      <c r="AV272">
        <f t="shared" si="23"/>
        <v>3</v>
      </c>
      <c r="AW272">
        <f t="shared" si="24"/>
        <v>9.3923170846247697E-2</v>
      </c>
    </row>
    <row r="273" spans="1:49" x14ac:dyDescent="0.3">
      <c r="A273" t="s">
        <v>335</v>
      </c>
      <c r="B273" t="s">
        <v>89</v>
      </c>
      <c r="C273">
        <v>2</v>
      </c>
      <c r="D273" t="s">
        <v>24</v>
      </c>
      <c r="E273">
        <v>142</v>
      </c>
      <c r="F273">
        <v>135</v>
      </c>
      <c r="G273">
        <v>93</v>
      </c>
      <c r="H273">
        <v>88</v>
      </c>
      <c r="I273">
        <v>93</v>
      </c>
      <c r="J273">
        <v>85</v>
      </c>
      <c r="K273">
        <v>93</v>
      </c>
      <c r="L273">
        <v>105</v>
      </c>
      <c r="M273">
        <v>108</v>
      </c>
      <c r="N273">
        <v>127</v>
      </c>
      <c r="O273">
        <v>137</v>
      </c>
      <c r="P273">
        <v>142</v>
      </c>
      <c r="Q273">
        <v>140</v>
      </c>
      <c r="R273">
        <v>157</v>
      </c>
      <c r="S273">
        <v>168</v>
      </c>
      <c r="T273">
        <v>172</v>
      </c>
      <c r="U273">
        <v>146</v>
      </c>
      <c r="V273">
        <v>151</v>
      </c>
      <c r="W273">
        <v>208</v>
      </c>
      <c r="X273">
        <v>153</v>
      </c>
      <c r="Y273">
        <v>133</v>
      </c>
      <c r="Z273">
        <v>88</v>
      </c>
      <c r="AA273">
        <v>105</v>
      </c>
      <c r="AB273">
        <v>69</v>
      </c>
      <c r="AC273">
        <v>100</v>
      </c>
      <c r="AD273">
        <v>100</v>
      </c>
      <c r="AE273">
        <v>92</v>
      </c>
      <c r="AF273">
        <v>109</v>
      </c>
      <c r="AG273">
        <v>124</v>
      </c>
      <c r="AH273">
        <v>116</v>
      </c>
      <c r="AI273">
        <v>131</v>
      </c>
      <c r="AJ273">
        <v>152</v>
      </c>
      <c r="AK273">
        <v>154</v>
      </c>
      <c r="AL273">
        <v>154</v>
      </c>
      <c r="AM273">
        <v>163</v>
      </c>
      <c r="AN273">
        <v>162</v>
      </c>
      <c r="AO273">
        <v>151</v>
      </c>
      <c r="AP273">
        <v>162</v>
      </c>
      <c r="AQ273">
        <v>4908</v>
      </c>
      <c r="AR273">
        <v>0.40749796251018738</v>
      </c>
      <c r="AS273">
        <f t="shared" si="20"/>
        <v>0.10790313198816993</v>
      </c>
      <c r="AT273">
        <f t="shared" si="21"/>
        <v>8.6754118118488634E-3</v>
      </c>
      <c r="AU273">
        <f t="shared" si="22"/>
        <v>0.86754118118488632</v>
      </c>
      <c r="AV273">
        <f t="shared" si="23"/>
        <v>3</v>
      </c>
      <c r="AW273">
        <f t="shared" si="24"/>
        <v>9.3923170846247697E-2</v>
      </c>
    </row>
    <row r="274" spans="1:49" x14ac:dyDescent="0.3">
      <c r="A274" t="s">
        <v>336</v>
      </c>
      <c r="B274" t="s">
        <v>148</v>
      </c>
      <c r="C274">
        <v>1</v>
      </c>
      <c r="D274" t="s">
        <v>12</v>
      </c>
      <c r="E274">
        <v>49</v>
      </c>
      <c r="F274">
        <v>53</v>
      </c>
      <c r="G274">
        <v>48</v>
      </c>
      <c r="H274">
        <v>38</v>
      </c>
      <c r="I274">
        <v>38</v>
      </c>
      <c r="J274">
        <v>35</v>
      </c>
      <c r="K274">
        <v>32</v>
      </c>
      <c r="L274">
        <v>26</v>
      </c>
      <c r="M274">
        <v>38</v>
      </c>
      <c r="N274">
        <v>50</v>
      </c>
      <c r="O274">
        <v>48</v>
      </c>
      <c r="P274">
        <v>46</v>
      </c>
      <c r="Q274">
        <v>43</v>
      </c>
      <c r="R274">
        <v>42</v>
      </c>
      <c r="S274">
        <v>44</v>
      </c>
      <c r="T274">
        <v>57</v>
      </c>
      <c r="U274">
        <v>67</v>
      </c>
      <c r="V274">
        <v>53</v>
      </c>
      <c r="W274">
        <v>83</v>
      </c>
      <c r="X274">
        <v>60</v>
      </c>
      <c r="Y274">
        <v>40</v>
      </c>
      <c r="Z274">
        <v>36</v>
      </c>
      <c r="AA274">
        <v>32</v>
      </c>
      <c r="AB274">
        <v>30</v>
      </c>
      <c r="AC274">
        <v>31</v>
      </c>
      <c r="AD274">
        <v>27</v>
      </c>
      <c r="AE274">
        <v>42</v>
      </c>
      <c r="AF274">
        <v>20</v>
      </c>
      <c r="AG274">
        <v>43</v>
      </c>
      <c r="AH274">
        <v>47</v>
      </c>
      <c r="AI274">
        <v>32</v>
      </c>
      <c r="AJ274">
        <v>33</v>
      </c>
      <c r="AK274">
        <v>45</v>
      </c>
      <c r="AL274">
        <v>48</v>
      </c>
      <c r="AM274">
        <v>34</v>
      </c>
      <c r="AN274">
        <v>50</v>
      </c>
      <c r="AO274">
        <v>47</v>
      </c>
      <c r="AP274">
        <v>41</v>
      </c>
      <c r="AQ274">
        <v>1628</v>
      </c>
      <c r="AR274">
        <v>0.61425061425061422</v>
      </c>
      <c r="AS274">
        <f t="shared" si="20"/>
        <v>0.17904806857975794</v>
      </c>
      <c r="AT274">
        <f t="shared" si="21"/>
        <v>1.4395464713812539E-2</v>
      </c>
      <c r="AU274">
        <f t="shared" si="22"/>
        <v>1.4395464713812538</v>
      </c>
      <c r="AV274">
        <f t="shared" si="23"/>
        <v>3</v>
      </c>
      <c r="AW274">
        <f t="shared" si="24"/>
        <v>9.3923170846247697E-2</v>
      </c>
    </row>
    <row r="275" spans="1:49" x14ac:dyDescent="0.3">
      <c r="A275" t="s">
        <v>337</v>
      </c>
      <c r="B275" t="s">
        <v>148</v>
      </c>
      <c r="C275">
        <v>1</v>
      </c>
      <c r="D275" t="s">
        <v>12</v>
      </c>
      <c r="E275">
        <v>96</v>
      </c>
      <c r="F275">
        <v>76</v>
      </c>
      <c r="G275">
        <v>70</v>
      </c>
      <c r="H275">
        <v>74</v>
      </c>
      <c r="I275">
        <v>82</v>
      </c>
      <c r="J275">
        <v>74</v>
      </c>
      <c r="K275">
        <v>84</v>
      </c>
      <c r="L275">
        <v>93</v>
      </c>
      <c r="M275">
        <v>125</v>
      </c>
      <c r="N275">
        <v>97</v>
      </c>
      <c r="O275">
        <v>115</v>
      </c>
      <c r="P275">
        <v>131</v>
      </c>
      <c r="Q275">
        <v>85</v>
      </c>
      <c r="R275">
        <v>122</v>
      </c>
      <c r="S275">
        <v>111</v>
      </c>
      <c r="T275">
        <v>114</v>
      </c>
      <c r="U275">
        <v>72</v>
      </c>
      <c r="V275">
        <v>86</v>
      </c>
      <c r="W275">
        <v>91</v>
      </c>
      <c r="X275">
        <v>93</v>
      </c>
      <c r="Y275">
        <v>75</v>
      </c>
      <c r="Z275">
        <v>78</v>
      </c>
      <c r="AA275">
        <v>71</v>
      </c>
      <c r="AB275">
        <v>88</v>
      </c>
      <c r="AC275">
        <v>70</v>
      </c>
      <c r="AD275">
        <v>77</v>
      </c>
      <c r="AE275">
        <v>104</v>
      </c>
      <c r="AF275">
        <v>86</v>
      </c>
      <c r="AG275">
        <v>97</v>
      </c>
      <c r="AH275">
        <v>114</v>
      </c>
      <c r="AI275">
        <v>109</v>
      </c>
      <c r="AJ275">
        <v>111</v>
      </c>
      <c r="AK275">
        <v>73</v>
      </c>
      <c r="AL275">
        <v>89</v>
      </c>
      <c r="AM275">
        <v>79</v>
      </c>
      <c r="AN275">
        <v>83</v>
      </c>
      <c r="AO275">
        <v>72</v>
      </c>
      <c r="AP275">
        <v>74</v>
      </c>
      <c r="AQ275">
        <v>3441</v>
      </c>
      <c r="AR275">
        <v>0.29061319383900031</v>
      </c>
      <c r="AS275">
        <f t="shared" si="20"/>
        <v>6.7682320377616664E-2</v>
      </c>
      <c r="AT275">
        <f t="shared" si="21"/>
        <v>5.4416585583603799E-3</v>
      </c>
      <c r="AU275">
        <f t="shared" si="22"/>
        <v>0.54416585583603794</v>
      </c>
      <c r="AV275">
        <f t="shared" si="23"/>
        <v>3</v>
      </c>
      <c r="AW275">
        <f t="shared" si="24"/>
        <v>9.3923170846247697E-2</v>
      </c>
    </row>
    <row r="276" spans="1:49" x14ac:dyDescent="0.3">
      <c r="A276" t="s">
        <v>338</v>
      </c>
      <c r="B276" t="s">
        <v>198</v>
      </c>
      <c r="C276">
        <v>1</v>
      </c>
      <c r="D276" t="s">
        <v>12</v>
      </c>
      <c r="E276">
        <v>81</v>
      </c>
      <c r="F276">
        <v>79</v>
      </c>
      <c r="G276">
        <v>85</v>
      </c>
      <c r="H276">
        <v>80</v>
      </c>
      <c r="I276">
        <v>77</v>
      </c>
      <c r="J276">
        <v>106</v>
      </c>
      <c r="K276">
        <v>94</v>
      </c>
      <c r="L276">
        <v>90</v>
      </c>
      <c r="M276">
        <v>105</v>
      </c>
      <c r="N276">
        <v>141</v>
      </c>
      <c r="O276">
        <v>152</v>
      </c>
      <c r="P276">
        <v>136</v>
      </c>
      <c r="Q276">
        <v>201</v>
      </c>
      <c r="R276">
        <v>205</v>
      </c>
      <c r="S276">
        <v>214</v>
      </c>
      <c r="T276">
        <v>188</v>
      </c>
      <c r="U276">
        <v>197</v>
      </c>
      <c r="V276">
        <v>205</v>
      </c>
      <c r="W276">
        <v>208</v>
      </c>
      <c r="X276">
        <v>71</v>
      </c>
      <c r="Y276">
        <v>86</v>
      </c>
      <c r="Z276">
        <v>85</v>
      </c>
      <c r="AA276">
        <v>80</v>
      </c>
      <c r="AB276">
        <v>94</v>
      </c>
      <c r="AC276">
        <v>87</v>
      </c>
      <c r="AD276">
        <v>77</v>
      </c>
      <c r="AE276">
        <v>95</v>
      </c>
      <c r="AF276">
        <v>116</v>
      </c>
      <c r="AG276">
        <v>143</v>
      </c>
      <c r="AH276">
        <v>137</v>
      </c>
      <c r="AI276">
        <v>142</v>
      </c>
      <c r="AJ276">
        <v>176</v>
      </c>
      <c r="AK276">
        <v>186</v>
      </c>
      <c r="AL276">
        <v>201</v>
      </c>
      <c r="AM276">
        <v>194</v>
      </c>
      <c r="AN276">
        <v>180</v>
      </c>
      <c r="AO276">
        <v>184</v>
      </c>
      <c r="AP276">
        <v>179</v>
      </c>
      <c r="AQ276">
        <v>5157</v>
      </c>
      <c r="AR276">
        <v>0.19391118867558649</v>
      </c>
      <c r="AS276">
        <f t="shared" si="20"/>
        <v>3.4406529389126729E-2</v>
      </c>
      <c r="AT276">
        <f t="shared" si="21"/>
        <v>2.7662849628857888E-3</v>
      </c>
      <c r="AU276">
        <f t="shared" si="22"/>
        <v>0.27662849628857888</v>
      </c>
      <c r="AV276">
        <f t="shared" si="23"/>
        <v>3</v>
      </c>
      <c r="AW276">
        <f t="shared" si="24"/>
        <v>9.3923170846247697E-2</v>
      </c>
    </row>
    <row r="277" spans="1:49" x14ac:dyDescent="0.3">
      <c r="A277" t="s">
        <v>339</v>
      </c>
      <c r="B277" t="s">
        <v>198</v>
      </c>
      <c r="C277">
        <v>1</v>
      </c>
      <c r="D277" t="s">
        <v>12</v>
      </c>
      <c r="E277">
        <v>54</v>
      </c>
      <c r="F277">
        <v>49</v>
      </c>
      <c r="G277">
        <v>41</v>
      </c>
      <c r="H277">
        <v>38</v>
      </c>
      <c r="I277">
        <v>44</v>
      </c>
      <c r="J277">
        <v>28</v>
      </c>
      <c r="K277">
        <v>38</v>
      </c>
      <c r="L277">
        <v>46</v>
      </c>
      <c r="M277">
        <v>48</v>
      </c>
      <c r="N277">
        <v>63</v>
      </c>
      <c r="O277">
        <v>65</v>
      </c>
      <c r="P277">
        <v>54</v>
      </c>
      <c r="Q277">
        <v>56</v>
      </c>
      <c r="R277">
        <v>62</v>
      </c>
      <c r="S277">
        <v>67</v>
      </c>
      <c r="T277">
        <v>57</v>
      </c>
      <c r="U277">
        <v>70</v>
      </c>
      <c r="V277">
        <v>74</v>
      </c>
      <c r="W277">
        <v>65</v>
      </c>
      <c r="X277">
        <v>54</v>
      </c>
      <c r="Y277">
        <v>42</v>
      </c>
      <c r="Z277">
        <v>38</v>
      </c>
      <c r="AA277">
        <v>31</v>
      </c>
      <c r="AB277">
        <v>36</v>
      </c>
      <c r="AC277">
        <v>36</v>
      </c>
      <c r="AD277">
        <v>43</v>
      </c>
      <c r="AE277">
        <v>49</v>
      </c>
      <c r="AF277">
        <v>50</v>
      </c>
      <c r="AG277">
        <v>44</v>
      </c>
      <c r="AH277">
        <v>61</v>
      </c>
      <c r="AI277">
        <v>54</v>
      </c>
      <c r="AJ277">
        <v>69</v>
      </c>
      <c r="AK277">
        <v>64</v>
      </c>
      <c r="AL277">
        <v>64</v>
      </c>
      <c r="AM277">
        <v>65</v>
      </c>
      <c r="AN277">
        <v>59</v>
      </c>
      <c r="AO277">
        <v>76</v>
      </c>
      <c r="AP277">
        <v>64</v>
      </c>
      <c r="AQ277">
        <v>2018</v>
      </c>
      <c r="AR277">
        <v>0.49554013875123881</v>
      </c>
      <c r="AS277">
        <f t="shared" si="20"/>
        <v>0.13819901933629941</v>
      </c>
      <c r="AT277">
        <f t="shared" si="21"/>
        <v>1.1111201154638473E-2</v>
      </c>
      <c r="AU277">
        <f t="shared" si="22"/>
        <v>1.1111201154638473</v>
      </c>
      <c r="AV277">
        <f t="shared" si="23"/>
        <v>3</v>
      </c>
      <c r="AW277">
        <f t="shared" si="24"/>
        <v>9.3923170846247697E-2</v>
      </c>
    </row>
    <row r="278" spans="1:49" x14ac:dyDescent="0.3">
      <c r="A278" t="s">
        <v>340</v>
      </c>
      <c r="B278" t="s">
        <v>132</v>
      </c>
      <c r="C278">
        <v>2</v>
      </c>
      <c r="D278" t="s">
        <v>12</v>
      </c>
      <c r="E278">
        <v>50</v>
      </c>
      <c r="F278">
        <v>44</v>
      </c>
      <c r="G278">
        <v>51</v>
      </c>
      <c r="H278">
        <v>47</v>
      </c>
      <c r="I278">
        <v>46</v>
      </c>
      <c r="J278">
        <v>56</v>
      </c>
      <c r="K278">
        <v>55</v>
      </c>
      <c r="L278">
        <v>67</v>
      </c>
      <c r="M278">
        <v>50</v>
      </c>
      <c r="N278">
        <v>69</v>
      </c>
      <c r="O278">
        <v>112</v>
      </c>
      <c r="P278">
        <v>96</v>
      </c>
      <c r="Q278">
        <v>81</v>
      </c>
      <c r="R278">
        <v>93</v>
      </c>
      <c r="S278">
        <v>96</v>
      </c>
      <c r="T278">
        <v>119</v>
      </c>
      <c r="U278">
        <v>93</v>
      </c>
      <c r="V278">
        <v>98</v>
      </c>
      <c r="W278">
        <v>115</v>
      </c>
      <c r="X278">
        <v>68</v>
      </c>
      <c r="Y278">
        <v>56</v>
      </c>
      <c r="Z278">
        <v>55</v>
      </c>
      <c r="AA278">
        <v>46</v>
      </c>
      <c r="AB278">
        <v>39</v>
      </c>
      <c r="AC278">
        <v>42</v>
      </c>
      <c r="AD278">
        <v>60</v>
      </c>
      <c r="AE278">
        <v>58</v>
      </c>
      <c r="AF278">
        <v>76</v>
      </c>
      <c r="AG278">
        <v>63</v>
      </c>
      <c r="AH278">
        <v>90</v>
      </c>
      <c r="AI278">
        <v>87</v>
      </c>
      <c r="AJ278">
        <v>96</v>
      </c>
      <c r="AK278">
        <v>82</v>
      </c>
      <c r="AL278">
        <v>115</v>
      </c>
      <c r="AM278">
        <v>107</v>
      </c>
      <c r="AN278">
        <v>118</v>
      </c>
      <c r="AO278">
        <v>117</v>
      </c>
      <c r="AP278">
        <v>111</v>
      </c>
      <c r="AQ278">
        <v>2924</v>
      </c>
      <c r="AR278">
        <v>0.68399452804377558</v>
      </c>
      <c r="AS278">
        <f t="shared" si="20"/>
        <v>0.20304740441750685</v>
      </c>
      <c r="AT278">
        <f t="shared" si="21"/>
        <v>1.6325011315167552E-2</v>
      </c>
      <c r="AU278">
        <f t="shared" si="22"/>
        <v>1.6325011315167552</v>
      </c>
      <c r="AV278">
        <f t="shared" si="23"/>
        <v>3</v>
      </c>
      <c r="AW278">
        <f t="shared" si="24"/>
        <v>9.3923170846247697E-2</v>
      </c>
    </row>
    <row r="279" spans="1:49" x14ac:dyDescent="0.3">
      <c r="A279" t="s">
        <v>341</v>
      </c>
      <c r="B279" t="s">
        <v>132</v>
      </c>
      <c r="C279">
        <v>1</v>
      </c>
      <c r="D279" t="s">
        <v>12</v>
      </c>
      <c r="E279">
        <v>63</v>
      </c>
      <c r="F279">
        <v>65</v>
      </c>
      <c r="G279">
        <v>61</v>
      </c>
      <c r="H279">
        <v>56</v>
      </c>
      <c r="I279">
        <v>58</v>
      </c>
      <c r="J279">
        <v>53</v>
      </c>
      <c r="K279">
        <v>57</v>
      </c>
      <c r="L279">
        <v>52</v>
      </c>
      <c r="M279">
        <v>63</v>
      </c>
      <c r="N279">
        <v>91</v>
      </c>
      <c r="O279">
        <v>88</v>
      </c>
      <c r="P279">
        <v>74</v>
      </c>
      <c r="Q279">
        <v>66</v>
      </c>
      <c r="R279">
        <v>98</v>
      </c>
      <c r="S279">
        <v>71</v>
      </c>
      <c r="T279">
        <v>93</v>
      </c>
      <c r="U279">
        <v>68</v>
      </c>
      <c r="V279">
        <v>86</v>
      </c>
      <c r="W279">
        <v>106</v>
      </c>
      <c r="X279">
        <v>57</v>
      </c>
      <c r="Y279">
        <v>59</v>
      </c>
      <c r="Z279">
        <v>44</v>
      </c>
      <c r="AA279">
        <v>52</v>
      </c>
      <c r="AB279">
        <v>57</v>
      </c>
      <c r="AC279">
        <v>59</v>
      </c>
      <c r="AD279">
        <v>56</v>
      </c>
      <c r="AE279">
        <v>51</v>
      </c>
      <c r="AF279">
        <v>60</v>
      </c>
      <c r="AG279">
        <v>71</v>
      </c>
      <c r="AH279">
        <v>90</v>
      </c>
      <c r="AI279">
        <v>75</v>
      </c>
      <c r="AJ279">
        <v>89</v>
      </c>
      <c r="AK279">
        <v>82</v>
      </c>
      <c r="AL279">
        <v>85</v>
      </c>
      <c r="AM279">
        <v>87</v>
      </c>
      <c r="AN279">
        <v>84</v>
      </c>
      <c r="AO279">
        <v>76</v>
      </c>
      <c r="AP279">
        <v>96</v>
      </c>
      <c r="AQ279">
        <v>2699</v>
      </c>
      <c r="AR279">
        <v>0.37050759540570583</v>
      </c>
      <c r="AS279">
        <f t="shared" si="20"/>
        <v>9.5174505293447231E-2</v>
      </c>
      <c r="AT279">
        <f t="shared" si="21"/>
        <v>7.6520302255931576E-3</v>
      </c>
      <c r="AU279">
        <f t="shared" si="22"/>
        <v>0.76520302255931572</v>
      </c>
      <c r="AV279">
        <f t="shared" si="23"/>
        <v>3</v>
      </c>
      <c r="AW279">
        <f t="shared" si="24"/>
        <v>9.3923170846247697E-2</v>
      </c>
    </row>
    <row r="280" spans="1:49" x14ac:dyDescent="0.3">
      <c r="A280" t="s">
        <v>342</v>
      </c>
      <c r="B280" t="s">
        <v>36</v>
      </c>
      <c r="C280">
        <v>1</v>
      </c>
      <c r="D280" t="s">
        <v>12</v>
      </c>
      <c r="E280">
        <v>39</v>
      </c>
      <c r="F280">
        <v>52</v>
      </c>
      <c r="G280">
        <v>49</v>
      </c>
      <c r="H280">
        <v>42</v>
      </c>
      <c r="I280">
        <v>53</v>
      </c>
      <c r="J280">
        <v>46</v>
      </c>
      <c r="K280">
        <v>41</v>
      </c>
      <c r="L280">
        <v>63</v>
      </c>
      <c r="M280">
        <v>71</v>
      </c>
      <c r="N280">
        <v>59</v>
      </c>
      <c r="O280">
        <v>77</v>
      </c>
      <c r="P280">
        <v>76</v>
      </c>
      <c r="Q280">
        <v>67</v>
      </c>
      <c r="R280">
        <v>75</v>
      </c>
      <c r="S280">
        <v>79</v>
      </c>
      <c r="T280">
        <v>83</v>
      </c>
      <c r="U280">
        <v>92</v>
      </c>
      <c r="V280">
        <v>100</v>
      </c>
      <c r="W280">
        <v>85</v>
      </c>
      <c r="X280">
        <v>45</v>
      </c>
      <c r="Y280">
        <v>42</v>
      </c>
      <c r="Z280">
        <v>37</v>
      </c>
      <c r="AA280">
        <v>32</v>
      </c>
      <c r="AB280">
        <v>48</v>
      </c>
      <c r="AC280">
        <v>42</v>
      </c>
      <c r="AD280">
        <v>55</v>
      </c>
      <c r="AE280">
        <v>49</v>
      </c>
      <c r="AF280">
        <v>54</v>
      </c>
      <c r="AG280">
        <v>70</v>
      </c>
      <c r="AH280">
        <v>62</v>
      </c>
      <c r="AI280">
        <v>65</v>
      </c>
      <c r="AJ280">
        <v>80</v>
      </c>
      <c r="AK280">
        <v>94</v>
      </c>
      <c r="AL280">
        <v>75</v>
      </c>
      <c r="AM280">
        <v>84</v>
      </c>
      <c r="AN280">
        <v>74</v>
      </c>
      <c r="AO280">
        <v>77</v>
      </c>
      <c r="AP280">
        <v>97</v>
      </c>
      <c r="AQ280">
        <v>2431</v>
      </c>
      <c r="AR280">
        <v>0.41135335252982308</v>
      </c>
      <c r="AS280">
        <f t="shared" si="20"/>
        <v>0.10922979685158939</v>
      </c>
      <c r="AT280">
        <f t="shared" si="21"/>
        <v>8.782075666867787E-3</v>
      </c>
      <c r="AU280">
        <f t="shared" si="22"/>
        <v>0.87820756668677868</v>
      </c>
      <c r="AV280">
        <f t="shared" si="23"/>
        <v>3</v>
      </c>
      <c r="AW280">
        <f t="shared" si="24"/>
        <v>9.3923170846247697E-2</v>
      </c>
    </row>
    <row r="281" spans="1:49" x14ac:dyDescent="0.3">
      <c r="A281" t="s">
        <v>343</v>
      </c>
      <c r="B281" t="s">
        <v>36</v>
      </c>
      <c r="C281">
        <v>2</v>
      </c>
      <c r="D281" t="s">
        <v>12</v>
      </c>
      <c r="E281">
        <v>43</v>
      </c>
      <c r="F281">
        <v>42</v>
      </c>
      <c r="G281">
        <v>39</v>
      </c>
      <c r="H281">
        <v>43</v>
      </c>
      <c r="I281">
        <v>48</v>
      </c>
      <c r="J281">
        <v>36</v>
      </c>
      <c r="K281">
        <v>51</v>
      </c>
      <c r="L281">
        <v>42</v>
      </c>
      <c r="M281">
        <v>43</v>
      </c>
      <c r="N281">
        <v>48</v>
      </c>
      <c r="O281">
        <v>80</v>
      </c>
      <c r="P281">
        <v>59</v>
      </c>
      <c r="Q281">
        <v>66</v>
      </c>
      <c r="R281">
        <v>61</v>
      </c>
      <c r="S281">
        <v>83</v>
      </c>
      <c r="T281">
        <v>85</v>
      </c>
      <c r="U281">
        <v>78</v>
      </c>
      <c r="V281">
        <v>79</v>
      </c>
      <c r="W281">
        <v>88</v>
      </c>
      <c r="X281">
        <v>33</v>
      </c>
      <c r="Y281">
        <v>47</v>
      </c>
      <c r="Z281">
        <v>29</v>
      </c>
      <c r="AA281">
        <v>27</v>
      </c>
      <c r="AB281">
        <v>37</v>
      </c>
      <c r="AC281">
        <v>28</v>
      </c>
      <c r="AD281">
        <v>28</v>
      </c>
      <c r="AE281">
        <v>44</v>
      </c>
      <c r="AF281">
        <v>43</v>
      </c>
      <c r="AG281">
        <v>47</v>
      </c>
      <c r="AH281">
        <v>51</v>
      </c>
      <c r="AI281">
        <v>54</v>
      </c>
      <c r="AJ281">
        <v>56</v>
      </c>
      <c r="AK281">
        <v>66</v>
      </c>
      <c r="AL281">
        <v>60</v>
      </c>
      <c r="AM281">
        <v>62</v>
      </c>
      <c r="AN281">
        <v>68</v>
      </c>
      <c r="AO281">
        <v>57</v>
      </c>
      <c r="AP281">
        <v>81</v>
      </c>
      <c r="AQ281">
        <v>2032</v>
      </c>
      <c r="AR281">
        <v>0.98425196850393704</v>
      </c>
      <c r="AS281">
        <f t="shared" si="20"/>
        <v>0.3063679489564467</v>
      </c>
      <c r="AT281">
        <f t="shared" si="21"/>
        <v>2.4631983096098313E-2</v>
      </c>
      <c r="AU281">
        <f t="shared" si="22"/>
        <v>2.4631983096098313</v>
      </c>
      <c r="AV281">
        <f t="shared" si="23"/>
        <v>3</v>
      </c>
      <c r="AW281">
        <f t="shared" si="24"/>
        <v>9.3923170846247697E-2</v>
      </c>
    </row>
    <row r="282" spans="1:49" x14ac:dyDescent="0.3">
      <c r="A282" t="s">
        <v>344</v>
      </c>
      <c r="B282" t="s">
        <v>124</v>
      </c>
      <c r="C282">
        <v>2</v>
      </c>
      <c r="D282" t="s">
        <v>12</v>
      </c>
      <c r="E282">
        <v>22</v>
      </c>
      <c r="F282">
        <v>19</v>
      </c>
      <c r="G282">
        <v>12</v>
      </c>
      <c r="H282">
        <v>14</v>
      </c>
      <c r="I282">
        <v>16</v>
      </c>
      <c r="J282">
        <v>22</v>
      </c>
      <c r="K282">
        <v>23</v>
      </c>
      <c r="L282">
        <v>22</v>
      </c>
      <c r="M282">
        <v>27</v>
      </c>
      <c r="N282">
        <v>29</v>
      </c>
      <c r="O282">
        <v>44</v>
      </c>
      <c r="P282">
        <v>33</v>
      </c>
      <c r="Q282">
        <v>41</v>
      </c>
      <c r="R282">
        <v>35</v>
      </c>
      <c r="S282">
        <v>38</v>
      </c>
      <c r="T282">
        <v>39</v>
      </c>
      <c r="U282">
        <v>38</v>
      </c>
      <c r="V282">
        <v>51</v>
      </c>
      <c r="W282">
        <v>60</v>
      </c>
      <c r="X282">
        <v>16</v>
      </c>
      <c r="Y282">
        <v>14</v>
      </c>
      <c r="Z282">
        <v>8</v>
      </c>
      <c r="AA282">
        <v>5</v>
      </c>
      <c r="AB282">
        <v>20</v>
      </c>
      <c r="AC282">
        <v>17</v>
      </c>
      <c r="AD282">
        <v>21</v>
      </c>
      <c r="AE282">
        <v>18</v>
      </c>
      <c r="AF282">
        <v>20</v>
      </c>
      <c r="AG282">
        <v>33</v>
      </c>
      <c r="AH282">
        <v>27</v>
      </c>
      <c r="AI282">
        <v>28</v>
      </c>
      <c r="AJ282">
        <v>33</v>
      </c>
      <c r="AK282">
        <v>28</v>
      </c>
      <c r="AL282">
        <v>39</v>
      </c>
      <c r="AM282">
        <v>39</v>
      </c>
      <c r="AN282">
        <v>34</v>
      </c>
      <c r="AO282">
        <v>48</v>
      </c>
      <c r="AP282">
        <v>64</v>
      </c>
      <c r="AQ282">
        <v>1097</v>
      </c>
      <c r="AR282">
        <v>1.823154056517776</v>
      </c>
      <c r="AS282">
        <f t="shared" si="20"/>
        <v>0.59503963154858475</v>
      </c>
      <c r="AT282">
        <f t="shared" si="21"/>
        <v>4.7841186376506216E-2</v>
      </c>
      <c r="AU282">
        <f t="shared" si="22"/>
        <v>4.7841186376506215</v>
      </c>
      <c r="AV282">
        <f t="shared" si="23"/>
        <v>3</v>
      </c>
      <c r="AW282">
        <f t="shared" si="24"/>
        <v>9.3923170846247697E-2</v>
      </c>
    </row>
    <row r="283" spans="1:49" x14ac:dyDescent="0.3">
      <c r="A283" t="s">
        <v>345</v>
      </c>
      <c r="B283" t="s">
        <v>210</v>
      </c>
      <c r="C283">
        <v>3</v>
      </c>
      <c r="D283" t="s">
        <v>12</v>
      </c>
      <c r="E283">
        <v>21</v>
      </c>
      <c r="F283">
        <v>18</v>
      </c>
      <c r="G283">
        <v>15</v>
      </c>
      <c r="H283">
        <v>18</v>
      </c>
      <c r="I283">
        <v>23</v>
      </c>
      <c r="J283">
        <v>25</v>
      </c>
      <c r="K283">
        <v>28</v>
      </c>
      <c r="L283">
        <v>33</v>
      </c>
      <c r="M283">
        <v>26</v>
      </c>
      <c r="N283">
        <v>51</v>
      </c>
      <c r="O283">
        <v>34</v>
      </c>
      <c r="P283">
        <v>40</v>
      </c>
      <c r="Q283">
        <v>45</v>
      </c>
      <c r="R283">
        <v>58</v>
      </c>
      <c r="S283">
        <v>59</v>
      </c>
      <c r="T283">
        <v>61</v>
      </c>
      <c r="U283">
        <v>58</v>
      </c>
      <c r="V283">
        <v>52</v>
      </c>
      <c r="W283">
        <v>66</v>
      </c>
      <c r="X283">
        <v>28</v>
      </c>
      <c r="Y283">
        <v>25</v>
      </c>
      <c r="Z283">
        <v>20</v>
      </c>
      <c r="AA283">
        <v>25</v>
      </c>
      <c r="AB283">
        <v>23</v>
      </c>
      <c r="AC283">
        <v>20</v>
      </c>
      <c r="AD283">
        <v>26</v>
      </c>
      <c r="AE283">
        <v>26</v>
      </c>
      <c r="AF283">
        <v>25</v>
      </c>
      <c r="AG283">
        <v>43</v>
      </c>
      <c r="AH283">
        <v>40</v>
      </c>
      <c r="AI283">
        <v>37</v>
      </c>
      <c r="AJ283">
        <v>37</v>
      </c>
      <c r="AK283">
        <v>54</v>
      </c>
      <c r="AL283">
        <v>40</v>
      </c>
      <c r="AM283">
        <v>51</v>
      </c>
      <c r="AN283">
        <v>46</v>
      </c>
      <c r="AO283">
        <v>59</v>
      </c>
      <c r="AP283">
        <v>49</v>
      </c>
      <c r="AQ283">
        <v>1405</v>
      </c>
      <c r="AR283">
        <v>2.1352313167259789</v>
      </c>
      <c r="AS283">
        <f t="shared" si="20"/>
        <v>0.70242745319096012</v>
      </c>
      <c r="AT283">
        <f t="shared" si="21"/>
        <v>5.6475167236553193E-2</v>
      </c>
      <c r="AU283">
        <f t="shared" si="22"/>
        <v>5.6475167236553192</v>
      </c>
      <c r="AV283">
        <f t="shared" si="23"/>
        <v>3</v>
      </c>
      <c r="AW283">
        <f t="shared" si="24"/>
        <v>9.3923170846247697E-2</v>
      </c>
    </row>
    <row r="284" spans="1:49" x14ac:dyDescent="0.3">
      <c r="A284" t="s">
        <v>346</v>
      </c>
      <c r="B284" t="s">
        <v>210</v>
      </c>
      <c r="C284">
        <v>1</v>
      </c>
      <c r="D284" t="s">
        <v>12</v>
      </c>
      <c r="E284">
        <v>53</v>
      </c>
      <c r="F284">
        <v>57</v>
      </c>
      <c r="G284">
        <v>50</v>
      </c>
      <c r="H284">
        <v>54</v>
      </c>
      <c r="I284">
        <v>58</v>
      </c>
      <c r="J284">
        <v>65</v>
      </c>
      <c r="K284">
        <v>60</v>
      </c>
      <c r="L284">
        <v>59</v>
      </c>
      <c r="M284">
        <v>53</v>
      </c>
      <c r="N284">
        <v>76</v>
      </c>
      <c r="O284">
        <v>85</v>
      </c>
      <c r="P284">
        <v>80</v>
      </c>
      <c r="Q284">
        <v>65</v>
      </c>
      <c r="R284">
        <v>92</v>
      </c>
      <c r="S284">
        <v>84</v>
      </c>
      <c r="T284">
        <v>100</v>
      </c>
      <c r="U284">
        <v>76</v>
      </c>
      <c r="V284">
        <v>88</v>
      </c>
      <c r="W284">
        <v>93</v>
      </c>
      <c r="X284">
        <v>50</v>
      </c>
      <c r="Y284">
        <v>59</v>
      </c>
      <c r="Z284">
        <v>38</v>
      </c>
      <c r="AA284">
        <v>39</v>
      </c>
      <c r="AB284">
        <v>36</v>
      </c>
      <c r="AC284">
        <v>53</v>
      </c>
      <c r="AD284">
        <v>55</v>
      </c>
      <c r="AE284">
        <v>55</v>
      </c>
      <c r="AF284">
        <v>52</v>
      </c>
      <c r="AG284">
        <v>83</v>
      </c>
      <c r="AH284">
        <v>81</v>
      </c>
      <c r="AI284">
        <v>87</v>
      </c>
      <c r="AJ284">
        <v>72</v>
      </c>
      <c r="AK284">
        <v>82</v>
      </c>
      <c r="AL284">
        <v>78</v>
      </c>
      <c r="AM284">
        <v>85</v>
      </c>
      <c r="AN284">
        <v>93</v>
      </c>
      <c r="AO284">
        <v>94</v>
      </c>
      <c r="AP284">
        <v>96</v>
      </c>
      <c r="AQ284">
        <v>2636</v>
      </c>
      <c r="AR284">
        <v>0.37936267071320179</v>
      </c>
      <c r="AS284">
        <f t="shared" si="20"/>
        <v>9.8221594488977743E-2</v>
      </c>
      <c r="AT284">
        <f t="shared" si="21"/>
        <v>7.8970161969138097E-3</v>
      </c>
      <c r="AU284">
        <f t="shared" si="22"/>
        <v>0.78970161969138097</v>
      </c>
      <c r="AV284">
        <f t="shared" si="23"/>
        <v>3</v>
      </c>
      <c r="AW284">
        <f t="shared" si="24"/>
        <v>9.3923170846247697E-2</v>
      </c>
    </row>
    <row r="285" spans="1:49" x14ac:dyDescent="0.3">
      <c r="A285" t="s">
        <v>347</v>
      </c>
      <c r="B285" t="s">
        <v>210</v>
      </c>
      <c r="C285">
        <v>4</v>
      </c>
      <c r="D285" t="s">
        <v>12</v>
      </c>
      <c r="E285">
        <v>22</v>
      </c>
      <c r="F285">
        <v>22</v>
      </c>
      <c r="G285">
        <v>28</v>
      </c>
      <c r="H285">
        <v>34</v>
      </c>
      <c r="I285">
        <v>27</v>
      </c>
      <c r="J285">
        <v>21</v>
      </c>
      <c r="K285">
        <v>31</v>
      </c>
      <c r="L285">
        <v>29</v>
      </c>
      <c r="M285">
        <v>24</v>
      </c>
      <c r="N285">
        <v>38</v>
      </c>
      <c r="O285">
        <v>32</v>
      </c>
      <c r="P285">
        <v>53</v>
      </c>
      <c r="Q285">
        <v>42</v>
      </c>
      <c r="R285">
        <v>46</v>
      </c>
      <c r="S285">
        <v>49</v>
      </c>
      <c r="T285">
        <v>46</v>
      </c>
      <c r="U285">
        <v>40</v>
      </c>
      <c r="V285">
        <v>41</v>
      </c>
      <c r="W285">
        <v>49</v>
      </c>
      <c r="X285">
        <v>28</v>
      </c>
      <c r="Y285">
        <v>24</v>
      </c>
      <c r="Z285">
        <v>25</v>
      </c>
      <c r="AA285">
        <v>35</v>
      </c>
      <c r="AB285">
        <v>24</v>
      </c>
      <c r="AC285">
        <v>22</v>
      </c>
      <c r="AD285">
        <v>21</v>
      </c>
      <c r="AE285">
        <v>23</v>
      </c>
      <c r="AF285">
        <v>23</v>
      </c>
      <c r="AG285">
        <v>31</v>
      </c>
      <c r="AH285">
        <v>31</v>
      </c>
      <c r="AI285">
        <v>19</v>
      </c>
      <c r="AJ285">
        <v>40</v>
      </c>
      <c r="AK285">
        <v>40</v>
      </c>
      <c r="AL285">
        <v>36</v>
      </c>
      <c r="AM285">
        <v>48</v>
      </c>
      <c r="AN285">
        <v>53</v>
      </c>
      <c r="AO285">
        <v>41</v>
      </c>
      <c r="AP285">
        <v>50</v>
      </c>
      <c r="AQ285">
        <v>1288</v>
      </c>
      <c r="AR285">
        <v>3</v>
      </c>
      <c r="AS285">
        <f t="shared" si="20"/>
        <v>1</v>
      </c>
      <c r="AT285">
        <f t="shared" si="21"/>
        <v>8.0399999999999999E-2</v>
      </c>
      <c r="AU285">
        <f t="shared" si="22"/>
        <v>8.0399999999999991</v>
      </c>
      <c r="AV285">
        <f t="shared" si="23"/>
        <v>3</v>
      </c>
      <c r="AW285">
        <f t="shared" si="24"/>
        <v>9.3923170846247697E-2</v>
      </c>
    </row>
    <row r="286" spans="1:49" x14ac:dyDescent="0.3">
      <c r="A286" t="s">
        <v>348</v>
      </c>
      <c r="B286" t="s">
        <v>210</v>
      </c>
      <c r="C286">
        <v>1</v>
      </c>
      <c r="D286" t="s">
        <v>12</v>
      </c>
      <c r="E286">
        <v>45</v>
      </c>
      <c r="F286">
        <v>34</v>
      </c>
      <c r="G286">
        <v>37</v>
      </c>
      <c r="H286">
        <v>37</v>
      </c>
      <c r="I286">
        <v>40</v>
      </c>
      <c r="J286">
        <v>29</v>
      </c>
      <c r="K286">
        <v>49</v>
      </c>
      <c r="L286">
        <v>50</v>
      </c>
      <c r="M286">
        <v>57</v>
      </c>
      <c r="N286">
        <v>61</v>
      </c>
      <c r="O286">
        <v>51</v>
      </c>
      <c r="P286">
        <v>87</v>
      </c>
      <c r="Q286">
        <v>66</v>
      </c>
      <c r="R286">
        <v>75</v>
      </c>
      <c r="S286">
        <v>66</v>
      </c>
      <c r="T286">
        <v>80</v>
      </c>
      <c r="U286">
        <v>79</v>
      </c>
      <c r="V286">
        <v>70</v>
      </c>
      <c r="W286">
        <v>112</v>
      </c>
      <c r="X286">
        <v>27</v>
      </c>
      <c r="Y286">
        <v>40</v>
      </c>
      <c r="Z286">
        <v>37</v>
      </c>
      <c r="AA286">
        <v>45</v>
      </c>
      <c r="AB286">
        <v>44</v>
      </c>
      <c r="AC286">
        <v>43</v>
      </c>
      <c r="AD286">
        <v>51</v>
      </c>
      <c r="AE286">
        <v>51</v>
      </c>
      <c r="AF286">
        <v>59</v>
      </c>
      <c r="AG286">
        <v>63</v>
      </c>
      <c r="AH286">
        <v>65</v>
      </c>
      <c r="AI286">
        <v>67</v>
      </c>
      <c r="AJ286">
        <v>62</v>
      </c>
      <c r="AK286">
        <v>68</v>
      </c>
      <c r="AL286">
        <v>53</v>
      </c>
      <c r="AM286">
        <v>84</v>
      </c>
      <c r="AN286">
        <v>65</v>
      </c>
      <c r="AO286">
        <v>84</v>
      </c>
      <c r="AP286">
        <v>92</v>
      </c>
      <c r="AQ286">
        <v>2225</v>
      </c>
      <c r="AR286">
        <v>0.449438202247191</v>
      </c>
      <c r="AS286">
        <f t="shared" si="20"/>
        <v>0.12233504215525817</v>
      </c>
      <c r="AT286">
        <f t="shared" si="21"/>
        <v>9.8357373892827577E-3</v>
      </c>
      <c r="AU286">
        <f t="shared" si="22"/>
        <v>0.98357373892827582</v>
      </c>
      <c r="AV286">
        <f t="shared" si="23"/>
        <v>3</v>
      </c>
      <c r="AW286">
        <f t="shared" si="24"/>
        <v>9.3923170846247697E-2</v>
      </c>
    </row>
    <row r="287" spans="1:49" x14ac:dyDescent="0.3">
      <c r="A287" t="s">
        <v>349</v>
      </c>
      <c r="B287" t="s">
        <v>210</v>
      </c>
      <c r="C287">
        <v>1</v>
      </c>
      <c r="D287" t="s">
        <v>12</v>
      </c>
      <c r="E287">
        <v>20</v>
      </c>
      <c r="F287">
        <v>20</v>
      </c>
      <c r="G287">
        <v>22</v>
      </c>
      <c r="H287">
        <v>22</v>
      </c>
      <c r="I287">
        <v>31</v>
      </c>
      <c r="J287">
        <v>28</v>
      </c>
      <c r="K287">
        <v>41</v>
      </c>
      <c r="L287">
        <v>33</v>
      </c>
      <c r="M287">
        <v>40</v>
      </c>
      <c r="N287">
        <v>34</v>
      </c>
      <c r="O287">
        <v>44</v>
      </c>
      <c r="P287">
        <v>49</v>
      </c>
      <c r="Q287">
        <v>52</v>
      </c>
      <c r="R287">
        <v>59</v>
      </c>
      <c r="S287">
        <v>52</v>
      </c>
      <c r="T287">
        <v>66</v>
      </c>
      <c r="U287">
        <v>59</v>
      </c>
      <c r="V287">
        <v>75</v>
      </c>
      <c r="W287">
        <v>49</v>
      </c>
      <c r="X287">
        <v>22</v>
      </c>
      <c r="Y287">
        <v>17</v>
      </c>
      <c r="Z287">
        <v>25</v>
      </c>
      <c r="AA287">
        <v>23</v>
      </c>
      <c r="AB287">
        <v>20</v>
      </c>
      <c r="AC287">
        <v>27</v>
      </c>
      <c r="AD287">
        <v>34</v>
      </c>
      <c r="AE287">
        <v>33</v>
      </c>
      <c r="AF287">
        <v>38</v>
      </c>
      <c r="AG287">
        <v>39</v>
      </c>
      <c r="AH287">
        <v>44</v>
      </c>
      <c r="AI287">
        <v>39</v>
      </c>
      <c r="AJ287">
        <v>58</v>
      </c>
      <c r="AK287">
        <v>51</v>
      </c>
      <c r="AL287">
        <v>59</v>
      </c>
      <c r="AM287">
        <v>39</v>
      </c>
      <c r="AN287">
        <v>50</v>
      </c>
      <c r="AO287">
        <v>62</v>
      </c>
      <c r="AP287">
        <v>59</v>
      </c>
      <c r="AQ287">
        <v>1535</v>
      </c>
      <c r="AR287">
        <v>0.65146579804560267</v>
      </c>
      <c r="AS287">
        <f t="shared" si="20"/>
        <v>0.19185405616468543</v>
      </c>
      <c r="AT287">
        <f t="shared" si="21"/>
        <v>1.5425066115640708E-2</v>
      </c>
      <c r="AU287">
        <f t="shared" si="22"/>
        <v>1.5425066115640709</v>
      </c>
      <c r="AV287">
        <f t="shared" si="23"/>
        <v>3</v>
      </c>
      <c r="AW287">
        <f t="shared" si="24"/>
        <v>9.3923170846247697E-2</v>
      </c>
    </row>
    <row r="288" spans="1:49" x14ac:dyDescent="0.3">
      <c r="A288" t="s">
        <v>350</v>
      </c>
      <c r="B288" t="s">
        <v>210</v>
      </c>
      <c r="C288">
        <v>2</v>
      </c>
      <c r="D288" t="s">
        <v>12</v>
      </c>
      <c r="E288">
        <v>33</v>
      </c>
      <c r="F288">
        <v>36</v>
      </c>
      <c r="G288">
        <v>31</v>
      </c>
      <c r="H288">
        <v>31</v>
      </c>
      <c r="I288">
        <v>38</v>
      </c>
      <c r="J288">
        <v>30</v>
      </c>
      <c r="K288">
        <v>34</v>
      </c>
      <c r="L288">
        <v>39</v>
      </c>
      <c r="M288">
        <v>36</v>
      </c>
      <c r="N288">
        <v>26</v>
      </c>
      <c r="O288">
        <v>32</v>
      </c>
      <c r="P288">
        <v>36</v>
      </c>
      <c r="Q288">
        <v>54</v>
      </c>
      <c r="R288">
        <v>57</v>
      </c>
      <c r="S288">
        <v>48</v>
      </c>
      <c r="T288">
        <v>47</v>
      </c>
      <c r="U288">
        <v>45</v>
      </c>
      <c r="V288">
        <v>42</v>
      </c>
      <c r="W288">
        <v>69</v>
      </c>
      <c r="X288">
        <v>35</v>
      </c>
      <c r="Y288">
        <v>28</v>
      </c>
      <c r="Z288">
        <v>32</v>
      </c>
      <c r="AA288">
        <v>36</v>
      </c>
      <c r="AB288">
        <v>29</v>
      </c>
      <c r="AC288">
        <v>24</v>
      </c>
      <c r="AD288">
        <v>16</v>
      </c>
      <c r="AE288">
        <v>26</v>
      </c>
      <c r="AF288">
        <v>38</v>
      </c>
      <c r="AG288">
        <v>37</v>
      </c>
      <c r="AH288">
        <v>40</v>
      </c>
      <c r="AI288">
        <v>43</v>
      </c>
      <c r="AJ288">
        <v>29</v>
      </c>
      <c r="AK288">
        <v>48</v>
      </c>
      <c r="AL288">
        <v>35</v>
      </c>
      <c r="AM288">
        <v>46</v>
      </c>
      <c r="AN288">
        <v>47</v>
      </c>
      <c r="AO288">
        <v>59</v>
      </c>
      <c r="AP288">
        <v>67</v>
      </c>
      <c r="AQ288">
        <v>1479</v>
      </c>
      <c r="AR288">
        <v>1.3522650439486139</v>
      </c>
      <c r="AS288">
        <f t="shared" si="20"/>
        <v>0.43300364962092019</v>
      </c>
      <c r="AT288">
        <f t="shared" si="21"/>
        <v>3.4813493429521981E-2</v>
      </c>
      <c r="AU288">
        <f t="shared" si="22"/>
        <v>3.481349342952198</v>
      </c>
      <c r="AV288">
        <f t="shared" si="23"/>
        <v>3</v>
      </c>
      <c r="AW288">
        <f t="shared" si="24"/>
        <v>9.3923170846247697E-2</v>
      </c>
    </row>
    <row r="289" spans="1:49" x14ac:dyDescent="0.3">
      <c r="A289" t="s">
        <v>351</v>
      </c>
      <c r="B289" t="s">
        <v>160</v>
      </c>
      <c r="C289">
        <v>4</v>
      </c>
      <c r="D289" t="s">
        <v>24</v>
      </c>
      <c r="E289">
        <v>146</v>
      </c>
      <c r="F289">
        <v>153</v>
      </c>
      <c r="G289">
        <v>157</v>
      </c>
      <c r="H289">
        <v>128</v>
      </c>
      <c r="I289">
        <v>127</v>
      </c>
      <c r="J289">
        <v>134</v>
      </c>
      <c r="K289">
        <v>122</v>
      </c>
      <c r="L289">
        <v>180</v>
      </c>
      <c r="M289">
        <v>150</v>
      </c>
      <c r="N289">
        <v>195</v>
      </c>
      <c r="O289">
        <v>194</v>
      </c>
      <c r="P289">
        <v>176</v>
      </c>
      <c r="Q289">
        <v>164</v>
      </c>
      <c r="R289">
        <v>223</v>
      </c>
      <c r="S289">
        <v>173</v>
      </c>
      <c r="T289">
        <v>201</v>
      </c>
      <c r="U289">
        <v>159</v>
      </c>
      <c r="V289">
        <v>173</v>
      </c>
      <c r="W289">
        <v>205</v>
      </c>
      <c r="X289">
        <v>162</v>
      </c>
      <c r="Y289">
        <v>146</v>
      </c>
      <c r="Z289">
        <v>126</v>
      </c>
      <c r="AA289">
        <v>124</v>
      </c>
      <c r="AB289">
        <v>135</v>
      </c>
      <c r="AC289">
        <v>114</v>
      </c>
      <c r="AD289">
        <v>133</v>
      </c>
      <c r="AE289">
        <v>160</v>
      </c>
      <c r="AF289">
        <v>167</v>
      </c>
      <c r="AG289">
        <v>173</v>
      </c>
      <c r="AH289">
        <v>178</v>
      </c>
      <c r="AI289">
        <v>179</v>
      </c>
      <c r="AJ289">
        <v>167</v>
      </c>
      <c r="AK289">
        <v>192</v>
      </c>
      <c r="AL289">
        <v>188</v>
      </c>
      <c r="AM289">
        <v>200</v>
      </c>
      <c r="AN289">
        <v>182</v>
      </c>
      <c r="AO289">
        <v>178</v>
      </c>
      <c r="AP289">
        <v>199</v>
      </c>
      <c r="AQ289">
        <v>6263</v>
      </c>
      <c r="AR289">
        <v>0.63867156314865081</v>
      </c>
      <c r="AS289">
        <f t="shared" si="20"/>
        <v>0.18745147645013691</v>
      </c>
      <c r="AT289">
        <f t="shared" si="21"/>
        <v>1.5071098706591008E-2</v>
      </c>
      <c r="AU289">
        <f t="shared" si="22"/>
        <v>1.5071098706591008</v>
      </c>
      <c r="AV289">
        <f t="shared" si="23"/>
        <v>3</v>
      </c>
      <c r="AW289">
        <f t="shared" si="24"/>
        <v>9.3923170846247697E-2</v>
      </c>
    </row>
    <row r="290" spans="1:49" x14ac:dyDescent="0.3">
      <c r="A290" t="s">
        <v>352</v>
      </c>
      <c r="B290" t="s">
        <v>210</v>
      </c>
      <c r="C290">
        <v>1</v>
      </c>
      <c r="D290" t="s">
        <v>12</v>
      </c>
      <c r="E290">
        <v>23</v>
      </c>
      <c r="F290">
        <v>17</v>
      </c>
      <c r="G290">
        <v>27</v>
      </c>
      <c r="H290">
        <v>31</v>
      </c>
      <c r="I290">
        <v>48</v>
      </c>
      <c r="J290">
        <v>47</v>
      </c>
      <c r="K290">
        <v>70</v>
      </c>
      <c r="L290">
        <v>76</v>
      </c>
      <c r="M290">
        <v>82</v>
      </c>
      <c r="N290">
        <v>114</v>
      </c>
      <c r="O290">
        <v>108</v>
      </c>
      <c r="P290">
        <v>112</v>
      </c>
      <c r="Q290">
        <v>156</v>
      </c>
      <c r="R290">
        <v>174</v>
      </c>
      <c r="S290">
        <v>164</v>
      </c>
      <c r="T290">
        <v>162</v>
      </c>
      <c r="U290">
        <v>136</v>
      </c>
      <c r="V290">
        <v>155</v>
      </c>
      <c r="W290">
        <v>169</v>
      </c>
      <c r="X290">
        <v>14</v>
      </c>
      <c r="Y290">
        <v>33</v>
      </c>
      <c r="Z290">
        <v>36</v>
      </c>
      <c r="AA290">
        <v>26</v>
      </c>
      <c r="AB290">
        <v>45</v>
      </c>
      <c r="AC290">
        <v>55</v>
      </c>
      <c r="AD290">
        <v>61</v>
      </c>
      <c r="AE290">
        <v>72</v>
      </c>
      <c r="AF290">
        <v>91</v>
      </c>
      <c r="AG290">
        <v>87</v>
      </c>
      <c r="AH290">
        <v>119</v>
      </c>
      <c r="AI290">
        <v>134</v>
      </c>
      <c r="AJ290">
        <v>149</v>
      </c>
      <c r="AK290">
        <v>156</v>
      </c>
      <c r="AL290">
        <v>166</v>
      </c>
      <c r="AM290">
        <v>168</v>
      </c>
      <c r="AN290">
        <v>135</v>
      </c>
      <c r="AO290">
        <v>140</v>
      </c>
      <c r="AP290">
        <v>116</v>
      </c>
      <c r="AQ290">
        <v>3674</v>
      </c>
      <c r="AR290">
        <v>0.27218290691344588</v>
      </c>
      <c r="AS290">
        <f t="shared" si="20"/>
        <v>6.1340338382969491E-2</v>
      </c>
      <c r="AT290">
        <f t="shared" si="21"/>
        <v>4.9317632059907466E-3</v>
      </c>
      <c r="AU290">
        <f t="shared" si="22"/>
        <v>0.49317632059907468</v>
      </c>
      <c r="AV290">
        <f t="shared" si="23"/>
        <v>3</v>
      </c>
      <c r="AW290">
        <f t="shared" si="24"/>
        <v>9.3923170846247697E-2</v>
      </c>
    </row>
    <row r="291" spans="1:49" x14ac:dyDescent="0.3">
      <c r="A291" t="s">
        <v>353</v>
      </c>
      <c r="B291" t="s">
        <v>210</v>
      </c>
      <c r="C291">
        <v>2</v>
      </c>
      <c r="D291" t="s">
        <v>12</v>
      </c>
      <c r="E291">
        <v>55</v>
      </c>
      <c r="F291">
        <v>27</v>
      </c>
      <c r="G291">
        <v>28</v>
      </c>
      <c r="H291">
        <v>33</v>
      </c>
      <c r="I291">
        <v>43</v>
      </c>
      <c r="J291">
        <v>44</v>
      </c>
      <c r="K291">
        <v>37</v>
      </c>
      <c r="L291">
        <v>48</v>
      </c>
      <c r="M291">
        <v>55</v>
      </c>
      <c r="N291">
        <v>65</v>
      </c>
      <c r="O291">
        <v>69</v>
      </c>
      <c r="P291">
        <v>70</v>
      </c>
      <c r="Q291">
        <v>68</v>
      </c>
      <c r="R291">
        <v>94</v>
      </c>
      <c r="S291">
        <v>106</v>
      </c>
      <c r="T291">
        <v>92</v>
      </c>
      <c r="U291">
        <v>93</v>
      </c>
      <c r="V291">
        <v>119</v>
      </c>
      <c r="W291">
        <v>107</v>
      </c>
      <c r="X291">
        <v>38</v>
      </c>
      <c r="Y291">
        <v>43</v>
      </c>
      <c r="Z291">
        <v>37</v>
      </c>
      <c r="AA291">
        <v>33</v>
      </c>
      <c r="AB291">
        <v>36</v>
      </c>
      <c r="AC291">
        <v>38</v>
      </c>
      <c r="AD291">
        <v>43</v>
      </c>
      <c r="AE291">
        <v>50</v>
      </c>
      <c r="AF291">
        <v>55</v>
      </c>
      <c r="AG291">
        <v>58</v>
      </c>
      <c r="AH291">
        <v>74</v>
      </c>
      <c r="AI291">
        <v>61</v>
      </c>
      <c r="AJ291">
        <v>71</v>
      </c>
      <c r="AK291">
        <v>69</v>
      </c>
      <c r="AL291">
        <v>77</v>
      </c>
      <c r="AM291">
        <v>92</v>
      </c>
      <c r="AN291">
        <v>91</v>
      </c>
      <c r="AO291">
        <v>111</v>
      </c>
      <c r="AP291">
        <v>122</v>
      </c>
      <c r="AQ291">
        <v>2452</v>
      </c>
      <c r="AR291">
        <v>0.81566068515497558</v>
      </c>
      <c r="AS291">
        <f t="shared" si="20"/>
        <v>0.24835458824359347</v>
      </c>
      <c r="AT291">
        <f t="shared" si="21"/>
        <v>1.9967708894784914E-2</v>
      </c>
      <c r="AU291">
        <f t="shared" si="22"/>
        <v>1.9967708894784915</v>
      </c>
      <c r="AV291">
        <f t="shared" si="23"/>
        <v>3</v>
      </c>
      <c r="AW291">
        <f t="shared" si="24"/>
        <v>9.3923170846247697E-2</v>
      </c>
    </row>
    <row r="292" spans="1:49" x14ac:dyDescent="0.3">
      <c r="A292" t="s">
        <v>354</v>
      </c>
      <c r="B292" t="s">
        <v>210</v>
      </c>
      <c r="C292">
        <v>1</v>
      </c>
      <c r="D292" t="s">
        <v>12</v>
      </c>
      <c r="E292">
        <v>45</v>
      </c>
      <c r="F292">
        <v>59</v>
      </c>
      <c r="G292">
        <v>55</v>
      </c>
      <c r="H292">
        <v>50</v>
      </c>
      <c r="I292">
        <v>77</v>
      </c>
      <c r="J292">
        <v>94</v>
      </c>
      <c r="K292">
        <v>83</v>
      </c>
      <c r="L292">
        <v>103</v>
      </c>
      <c r="M292">
        <v>100</v>
      </c>
      <c r="N292">
        <v>122</v>
      </c>
      <c r="O292">
        <v>160</v>
      </c>
      <c r="P292">
        <v>146</v>
      </c>
      <c r="Q292">
        <v>177</v>
      </c>
      <c r="R292">
        <v>183</v>
      </c>
      <c r="S292">
        <v>152</v>
      </c>
      <c r="T292">
        <v>193</v>
      </c>
      <c r="U292">
        <v>145</v>
      </c>
      <c r="V292">
        <v>172</v>
      </c>
      <c r="W292">
        <v>179</v>
      </c>
      <c r="X292">
        <v>48</v>
      </c>
      <c r="Y292">
        <v>59</v>
      </c>
      <c r="Z292">
        <v>47</v>
      </c>
      <c r="AA292">
        <v>42</v>
      </c>
      <c r="AB292">
        <v>64</v>
      </c>
      <c r="AC292">
        <v>72</v>
      </c>
      <c r="AD292">
        <v>85</v>
      </c>
      <c r="AE292">
        <v>96</v>
      </c>
      <c r="AF292">
        <v>98</v>
      </c>
      <c r="AG292">
        <v>134</v>
      </c>
      <c r="AH292">
        <v>124</v>
      </c>
      <c r="AI292">
        <v>148</v>
      </c>
      <c r="AJ292">
        <v>140</v>
      </c>
      <c r="AK292">
        <v>187</v>
      </c>
      <c r="AL292">
        <v>169</v>
      </c>
      <c r="AM292">
        <v>180</v>
      </c>
      <c r="AN292">
        <v>150</v>
      </c>
      <c r="AO292">
        <v>183</v>
      </c>
      <c r="AP292">
        <v>173</v>
      </c>
      <c r="AQ292">
        <v>4494</v>
      </c>
      <c r="AR292">
        <v>0.22251891410769911</v>
      </c>
      <c r="AS292">
        <f t="shared" si="20"/>
        <v>4.4250634384947897E-2</v>
      </c>
      <c r="AT292">
        <f t="shared" si="21"/>
        <v>3.5577510045498107E-3</v>
      </c>
      <c r="AU292">
        <f t="shared" si="22"/>
        <v>0.35577510045498106</v>
      </c>
      <c r="AV292">
        <f t="shared" si="23"/>
        <v>3</v>
      </c>
      <c r="AW292">
        <f t="shared" si="24"/>
        <v>9.3923170846247697E-2</v>
      </c>
    </row>
    <row r="293" spans="1:49" x14ac:dyDescent="0.3">
      <c r="A293" t="s">
        <v>355</v>
      </c>
      <c r="B293" t="s">
        <v>77</v>
      </c>
      <c r="C293">
        <v>1</v>
      </c>
      <c r="D293" t="s">
        <v>24</v>
      </c>
      <c r="E293">
        <v>33</v>
      </c>
      <c r="F293">
        <v>30</v>
      </c>
      <c r="G293">
        <v>37</v>
      </c>
      <c r="H293">
        <v>41</v>
      </c>
      <c r="I293">
        <v>29</v>
      </c>
      <c r="J293">
        <v>41</v>
      </c>
      <c r="K293">
        <v>46</v>
      </c>
      <c r="L293">
        <v>46</v>
      </c>
      <c r="M293">
        <v>62</v>
      </c>
      <c r="N293">
        <v>49</v>
      </c>
      <c r="O293">
        <v>64</v>
      </c>
      <c r="P293">
        <v>75</v>
      </c>
      <c r="Q293">
        <v>63</v>
      </c>
      <c r="R293">
        <v>66</v>
      </c>
      <c r="S293">
        <v>71</v>
      </c>
      <c r="T293">
        <v>87</v>
      </c>
      <c r="U293">
        <v>79</v>
      </c>
      <c r="V293">
        <v>96</v>
      </c>
      <c r="W293">
        <v>83</v>
      </c>
      <c r="X293">
        <v>32</v>
      </c>
      <c r="Y293">
        <v>32</v>
      </c>
      <c r="Z293">
        <v>26</v>
      </c>
      <c r="AA293">
        <v>31</v>
      </c>
      <c r="AB293">
        <v>31</v>
      </c>
      <c r="AC293">
        <v>42</v>
      </c>
      <c r="AD293">
        <v>43</v>
      </c>
      <c r="AE293">
        <v>44</v>
      </c>
      <c r="AF293">
        <v>51</v>
      </c>
      <c r="AG293">
        <v>62</v>
      </c>
      <c r="AH293">
        <v>59</v>
      </c>
      <c r="AI293">
        <v>67</v>
      </c>
      <c r="AJ293">
        <v>59</v>
      </c>
      <c r="AK293">
        <v>89</v>
      </c>
      <c r="AL293">
        <v>77</v>
      </c>
      <c r="AM293">
        <v>73</v>
      </c>
      <c r="AN293">
        <v>80</v>
      </c>
      <c r="AO293">
        <v>90</v>
      </c>
      <c r="AP293">
        <v>103</v>
      </c>
      <c r="AQ293">
        <v>2189</v>
      </c>
      <c r="AR293">
        <v>0.45682960255824578</v>
      </c>
      <c r="AS293">
        <f t="shared" si="20"/>
        <v>0.12487847123356205</v>
      </c>
      <c r="AT293">
        <f t="shared" si="21"/>
        <v>1.0040229087178389E-2</v>
      </c>
      <c r="AU293">
        <f t="shared" si="22"/>
        <v>1.0040229087178389</v>
      </c>
      <c r="AV293">
        <f t="shared" si="23"/>
        <v>3</v>
      </c>
      <c r="AW293">
        <f t="shared" si="24"/>
        <v>9.3923170846247697E-2</v>
      </c>
    </row>
    <row r="294" spans="1:49" x14ac:dyDescent="0.3">
      <c r="A294" t="s">
        <v>356</v>
      </c>
      <c r="B294" t="s">
        <v>16</v>
      </c>
      <c r="C294">
        <v>1</v>
      </c>
      <c r="D294" t="s">
        <v>17</v>
      </c>
      <c r="E294">
        <v>58</v>
      </c>
      <c r="F294">
        <v>74</v>
      </c>
      <c r="G294">
        <v>59</v>
      </c>
      <c r="H294">
        <v>65</v>
      </c>
      <c r="I294">
        <v>76</v>
      </c>
      <c r="J294">
        <v>94</v>
      </c>
      <c r="K294">
        <v>86</v>
      </c>
      <c r="L294">
        <v>100</v>
      </c>
      <c r="M294">
        <v>116</v>
      </c>
      <c r="N294">
        <v>133</v>
      </c>
      <c r="O294">
        <v>136</v>
      </c>
      <c r="P294">
        <v>113</v>
      </c>
      <c r="Q294">
        <v>140</v>
      </c>
      <c r="R294">
        <v>140</v>
      </c>
      <c r="S294">
        <v>173</v>
      </c>
      <c r="T294">
        <v>141</v>
      </c>
      <c r="U294">
        <v>119</v>
      </c>
      <c r="V294">
        <v>138</v>
      </c>
      <c r="W294">
        <v>123</v>
      </c>
      <c r="X294">
        <v>55</v>
      </c>
      <c r="Y294">
        <v>74</v>
      </c>
      <c r="Z294">
        <v>64</v>
      </c>
      <c r="AA294">
        <v>63</v>
      </c>
      <c r="AB294">
        <v>70</v>
      </c>
      <c r="AC294">
        <v>82</v>
      </c>
      <c r="AD294">
        <v>91</v>
      </c>
      <c r="AE294">
        <v>105</v>
      </c>
      <c r="AF294">
        <v>100</v>
      </c>
      <c r="AG294">
        <v>117</v>
      </c>
      <c r="AH294">
        <v>132</v>
      </c>
      <c r="AI294">
        <v>142</v>
      </c>
      <c r="AJ294">
        <v>127</v>
      </c>
      <c r="AK294">
        <v>138</v>
      </c>
      <c r="AL294">
        <v>148</v>
      </c>
      <c r="AM294">
        <v>145</v>
      </c>
      <c r="AN294">
        <v>115</v>
      </c>
      <c r="AO294">
        <v>134</v>
      </c>
      <c r="AP294">
        <v>148</v>
      </c>
      <c r="AQ294">
        <v>4134</v>
      </c>
      <c r="AR294">
        <v>0.24189646831156261</v>
      </c>
      <c r="AS294">
        <f t="shared" si="20"/>
        <v>5.0918577231285594E-2</v>
      </c>
      <c r="AT294">
        <f t="shared" si="21"/>
        <v>4.093853609395362E-3</v>
      </c>
      <c r="AU294">
        <f t="shared" si="22"/>
        <v>0.4093853609395362</v>
      </c>
      <c r="AV294">
        <f t="shared" si="23"/>
        <v>3</v>
      </c>
      <c r="AW294">
        <f t="shared" si="24"/>
        <v>9.3923170846247697E-2</v>
      </c>
    </row>
    <row r="295" spans="1:49" x14ac:dyDescent="0.3">
      <c r="A295" t="s">
        <v>357</v>
      </c>
      <c r="B295" t="s">
        <v>143</v>
      </c>
      <c r="C295">
        <v>1</v>
      </c>
      <c r="D295" t="s">
        <v>24</v>
      </c>
      <c r="E295">
        <v>13</v>
      </c>
      <c r="F295">
        <v>12</v>
      </c>
      <c r="G295">
        <v>11</v>
      </c>
      <c r="H295">
        <v>10</v>
      </c>
      <c r="I295">
        <v>8</v>
      </c>
      <c r="J295">
        <v>13</v>
      </c>
      <c r="K295">
        <v>7</v>
      </c>
      <c r="L295">
        <v>9</v>
      </c>
      <c r="M295">
        <v>19</v>
      </c>
      <c r="N295">
        <v>22</v>
      </c>
      <c r="O295">
        <v>25</v>
      </c>
      <c r="P295">
        <v>18</v>
      </c>
      <c r="Q295">
        <v>20</v>
      </c>
      <c r="R295">
        <v>31</v>
      </c>
      <c r="S295">
        <v>31</v>
      </c>
      <c r="T295">
        <v>33</v>
      </c>
      <c r="U295">
        <v>19</v>
      </c>
      <c r="V295">
        <v>26</v>
      </c>
      <c r="W295">
        <v>46</v>
      </c>
      <c r="X295">
        <v>13</v>
      </c>
      <c r="Y295">
        <v>6</v>
      </c>
      <c r="Z295">
        <v>13</v>
      </c>
      <c r="AA295">
        <v>10</v>
      </c>
      <c r="AB295">
        <v>9</v>
      </c>
      <c r="AC295">
        <v>5</v>
      </c>
      <c r="AD295">
        <v>14</v>
      </c>
      <c r="AE295">
        <v>10</v>
      </c>
      <c r="AF295">
        <v>16</v>
      </c>
      <c r="AG295">
        <v>18</v>
      </c>
      <c r="AH295">
        <v>21</v>
      </c>
      <c r="AI295">
        <v>29</v>
      </c>
      <c r="AJ295">
        <v>18</v>
      </c>
      <c r="AK295">
        <v>25</v>
      </c>
      <c r="AL295">
        <v>24</v>
      </c>
      <c r="AM295">
        <v>27</v>
      </c>
      <c r="AN295">
        <v>21</v>
      </c>
      <c r="AO295">
        <v>30</v>
      </c>
      <c r="AP295">
        <v>37</v>
      </c>
      <c r="AQ295">
        <v>719</v>
      </c>
      <c r="AR295">
        <v>1.390820584144645</v>
      </c>
      <c r="AS295">
        <f t="shared" si="20"/>
        <v>0.44627086258970411</v>
      </c>
      <c r="AT295">
        <f t="shared" si="21"/>
        <v>3.588017735221221E-2</v>
      </c>
      <c r="AU295">
        <f t="shared" si="22"/>
        <v>3.588017735221221</v>
      </c>
      <c r="AV295">
        <f t="shared" si="23"/>
        <v>3</v>
      </c>
      <c r="AW295">
        <f t="shared" si="24"/>
        <v>9.3923170846247697E-2</v>
      </c>
    </row>
    <row r="296" spans="1:49" x14ac:dyDescent="0.3">
      <c r="A296" t="s">
        <v>358</v>
      </c>
      <c r="B296" t="s">
        <v>143</v>
      </c>
      <c r="C296">
        <v>1</v>
      </c>
      <c r="D296" t="s">
        <v>24</v>
      </c>
      <c r="E296">
        <v>10</v>
      </c>
      <c r="F296">
        <v>24</v>
      </c>
      <c r="G296">
        <v>12</v>
      </c>
      <c r="H296">
        <v>11</v>
      </c>
      <c r="I296">
        <v>11</v>
      </c>
      <c r="J296">
        <v>11</v>
      </c>
      <c r="K296">
        <v>13</v>
      </c>
      <c r="L296">
        <v>16</v>
      </c>
      <c r="M296">
        <v>11</v>
      </c>
      <c r="N296">
        <v>15</v>
      </c>
      <c r="O296">
        <v>12</v>
      </c>
      <c r="P296">
        <v>18</v>
      </c>
      <c r="Q296">
        <v>15</v>
      </c>
      <c r="R296">
        <v>25</v>
      </c>
      <c r="S296">
        <v>20</v>
      </c>
      <c r="T296">
        <v>30</v>
      </c>
      <c r="U296">
        <v>27</v>
      </c>
      <c r="V296">
        <v>25</v>
      </c>
      <c r="W296">
        <v>37</v>
      </c>
      <c r="X296">
        <v>12</v>
      </c>
      <c r="Y296">
        <v>13</v>
      </c>
      <c r="Z296">
        <v>7</v>
      </c>
      <c r="AA296">
        <v>7</v>
      </c>
      <c r="AB296">
        <v>10</v>
      </c>
      <c r="AC296">
        <v>14</v>
      </c>
      <c r="AD296">
        <v>15</v>
      </c>
      <c r="AE296">
        <v>12</v>
      </c>
      <c r="AF296">
        <v>14</v>
      </c>
      <c r="AG296">
        <v>21</v>
      </c>
      <c r="AH296">
        <v>12</v>
      </c>
      <c r="AI296">
        <v>17</v>
      </c>
      <c r="AJ296">
        <v>21</v>
      </c>
      <c r="AK296">
        <v>21</v>
      </c>
      <c r="AL296">
        <v>25</v>
      </c>
      <c r="AM296">
        <v>19</v>
      </c>
      <c r="AN296">
        <v>25</v>
      </c>
      <c r="AO296">
        <v>28</v>
      </c>
      <c r="AP296">
        <v>31</v>
      </c>
      <c r="AQ296">
        <v>667</v>
      </c>
      <c r="AR296">
        <v>1.499250374812594</v>
      </c>
      <c r="AS296">
        <f t="shared" si="20"/>
        <v>0.48358226109788588</v>
      </c>
      <c r="AT296">
        <f t="shared" si="21"/>
        <v>3.8880013792270025E-2</v>
      </c>
      <c r="AU296">
        <f t="shared" si="22"/>
        <v>3.8880013792270027</v>
      </c>
      <c r="AV296">
        <f t="shared" si="23"/>
        <v>3</v>
      </c>
      <c r="AW296">
        <f t="shared" si="24"/>
        <v>9.3923170846247697E-2</v>
      </c>
    </row>
    <row r="297" spans="1:49" x14ac:dyDescent="0.3">
      <c r="A297" t="s">
        <v>359</v>
      </c>
      <c r="B297" t="s">
        <v>59</v>
      </c>
      <c r="C297">
        <v>3</v>
      </c>
      <c r="D297" t="s">
        <v>24</v>
      </c>
      <c r="E297">
        <v>24</v>
      </c>
      <c r="F297">
        <v>18</v>
      </c>
      <c r="G297">
        <v>26</v>
      </c>
      <c r="H297">
        <v>23</v>
      </c>
      <c r="I297">
        <v>31</v>
      </c>
      <c r="J297">
        <v>37</v>
      </c>
      <c r="K297">
        <v>24</v>
      </c>
      <c r="L297">
        <v>40</v>
      </c>
      <c r="M297">
        <v>44</v>
      </c>
      <c r="N297">
        <v>51</v>
      </c>
      <c r="O297">
        <v>66</v>
      </c>
      <c r="P297">
        <v>52</v>
      </c>
      <c r="Q297">
        <v>54</v>
      </c>
      <c r="R297">
        <v>63</v>
      </c>
      <c r="S297">
        <v>67</v>
      </c>
      <c r="T297">
        <v>65</v>
      </c>
      <c r="U297">
        <v>54</v>
      </c>
      <c r="V297">
        <v>52</v>
      </c>
      <c r="W297">
        <v>70</v>
      </c>
      <c r="X297">
        <v>20</v>
      </c>
      <c r="Y297">
        <v>24</v>
      </c>
      <c r="Z297">
        <v>26</v>
      </c>
      <c r="AA297">
        <v>35</v>
      </c>
      <c r="AB297">
        <v>25</v>
      </c>
      <c r="AC297">
        <v>37</v>
      </c>
      <c r="AD297">
        <v>30</v>
      </c>
      <c r="AE297">
        <v>38</v>
      </c>
      <c r="AF297">
        <v>43</v>
      </c>
      <c r="AG297">
        <v>36</v>
      </c>
      <c r="AH297">
        <v>38</v>
      </c>
      <c r="AI297">
        <v>47</v>
      </c>
      <c r="AJ297">
        <v>42</v>
      </c>
      <c r="AK297">
        <v>63</v>
      </c>
      <c r="AL297">
        <v>58</v>
      </c>
      <c r="AM297">
        <v>57</v>
      </c>
      <c r="AN297">
        <v>65</v>
      </c>
      <c r="AO297">
        <v>59</v>
      </c>
      <c r="AP297">
        <v>56</v>
      </c>
      <c r="AQ297">
        <v>1660</v>
      </c>
      <c r="AR297">
        <v>1.80722891566265</v>
      </c>
      <c r="AS297">
        <f t="shared" si="20"/>
        <v>0.58955968666365766</v>
      </c>
      <c r="AT297">
        <f t="shared" si="21"/>
        <v>4.7400598807758078E-2</v>
      </c>
      <c r="AU297">
        <f t="shared" si="22"/>
        <v>4.7400598807758074</v>
      </c>
      <c r="AV297">
        <f t="shared" si="23"/>
        <v>3</v>
      </c>
      <c r="AW297">
        <f t="shared" si="24"/>
        <v>9.3923170846247697E-2</v>
      </c>
    </row>
    <row r="298" spans="1:49" x14ac:dyDescent="0.3">
      <c r="A298" t="s">
        <v>360</v>
      </c>
      <c r="B298" t="s">
        <v>164</v>
      </c>
      <c r="C298">
        <v>1</v>
      </c>
      <c r="D298" t="s">
        <v>24</v>
      </c>
      <c r="E298">
        <v>14</v>
      </c>
      <c r="F298">
        <v>14</v>
      </c>
      <c r="G298">
        <v>17</v>
      </c>
      <c r="H298">
        <v>20</v>
      </c>
      <c r="I298">
        <v>28</v>
      </c>
      <c r="J298">
        <v>25</v>
      </c>
      <c r="K298">
        <v>23</v>
      </c>
      <c r="L298">
        <v>18</v>
      </c>
      <c r="M298">
        <v>32</v>
      </c>
      <c r="N298">
        <v>27</v>
      </c>
      <c r="O298">
        <v>28</v>
      </c>
      <c r="P298">
        <v>36</v>
      </c>
      <c r="Q298">
        <v>24</v>
      </c>
      <c r="R298">
        <v>33</v>
      </c>
      <c r="S298">
        <v>35</v>
      </c>
      <c r="T298">
        <v>35</v>
      </c>
      <c r="U298">
        <v>34</v>
      </c>
      <c r="V298">
        <v>55</v>
      </c>
      <c r="W298">
        <v>55</v>
      </c>
      <c r="X298">
        <v>20</v>
      </c>
      <c r="Y298">
        <v>15</v>
      </c>
      <c r="Z298">
        <v>19</v>
      </c>
      <c r="AA298">
        <v>20</v>
      </c>
      <c r="AB298">
        <v>19</v>
      </c>
      <c r="AC298">
        <v>20</v>
      </c>
      <c r="AD298">
        <v>16</v>
      </c>
      <c r="AE298">
        <v>17</v>
      </c>
      <c r="AF298">
        <v>26</v>
      </c>
      <c r="AG298">
        <v>23</v>
      </c>
      <c r="AH298">
        <v>27</v>
      </c>
      <c r="AI298">
        <v>30</v>
      </c>
      <c r="AJ298">
        <v>30</v>
      </c>
      <c r="AK298">
        <v>42</v>
      </c>
      <c r="AL298">
        <v>35</v>
      </c>
      <c r="AM298">
        <v>30</v>
      </c>
      <c r="AN298">
        <v>36</v>
      </c>
      <c r="AO298">
        <v>46</v>
      </c>
      <c r="AP298">
        <v>30</v>
      </c>
      <c r="AQ298">
        <v>1054</v>
      </c>
      <c r="AR298">
        <v>0.94876660341555963</v>
      </c>
      <c r="AS298">
        <f t="shared" si="20"/>
        <v>0.2941572032760888</v>
      </c>
      <c r="AT298">
        <f t="shared" si="21"/>
        <v>2.365023914339754E-2</v>
      </c>
      <c r="AU298">
        <f t="shared" si="22"/>
        <v>2.365023914339754</v>
      </c>
      <c r="AV298">
        <f t="shared" si="23"/>
        <v>3</v>
      </c>
      <c r="AW298">
        <f t="shared" si="24"/>
        <v>9.3923170846247697E-2</v>
      </c>
    </row>
    <row r="299" spans="1:49" x14ac:dyDescent="0.3">
      <c r="A299" t="s">
        <v>361</v>
      </c>
      <c r="B299" t="s">
        <v>164</v>
      </c>
      <c r="C299">
        <v>1</v>
      </c>
      <c r="D299" t="s">
        <v>24</v>
      </c>
      <c r="E299">
        <v>39</v>
      </c>
      <c r="F299">
        <v>48</v>
      </c>
      <c r="G299">
        <v>42</v>
      </c>
      <c r="H299">
        <v>38</v>
      </c>
      <c r="I299">
        <v>32</v>
      </c>
      <c r="J299">
        <v>43</v>
      </c>
      <c r="K299">
        <v>31</v>
      </c>
      <c r="L299">
        <v>23</v>
      </c>
      <c r="M299">
        <v>39</v>
      </c>
      <c r="N299">
        <v>26</v>
      </c>
      <c r="O299">
        <v>38</v>
      </c>
      <c r="P299">
        <v>37</v>
      </c>
      <c r="Q299">
        <v>29</v>
      </c>
      <c r="R299">
        <v>44</v>
      </c>
      <c r="S299">
        <v>31</v>
      </c>
      <c r="T299">
        <v>49</v>
      </c>
      <c r="U299">
        <v>32</v>
      </c>
      <c r="V299">
        <v>32</v>
      </c>
      <c r="W299">
        <v>57</v>
      </c>
      <c r="X299">
        <v>38</v>
      </c>
      <c r="Y299">
        <v>37</v>
      </c>
      <c r="Z299">
        <v>39</v>
      </c>
      <c r="AA299">
        <v>44</v>
      </c>
      <c r="AB299">
        <v>34</v>
      </c>
      <c r="AC299">
        <v>43</v>
      </c>
      <c r="AD299">
        <v>32</v>
      </c>
      <c r="AE299">
        <v>23</v>
      </c>
      <c r="AF299">
        <v>30</v>
      </c>
      <c r="AG299">
        <v>37</v>
      </c>
      <c r="AH299">
        <v>29</v>
      </c>
      <c r="AI299">
        <v>37</v>
      </c>
      <c r="AJ299">
        <v>32</v>
      </c>
      <c r="AK299">
        <v>29</v>
      </c>
      <c r="AL299">
        <v>44</v>
      </c>
      <c r="AM299">
        <v>41</v>
      </c>
      <c r="AN299">
        <v>26</v>
      </c>
      <c r="AO299">
        <v>43</v>
      </c>
      <c r="AP299">
        <v>59</v>
      </c>
      <c r="AQ299">
        <v>1407</v>
      </c>
      <c r="AR299">
        <v>0.71073205401563611</v>
      </c>
      <c r="AS299">
        <f t="shared" si="20"/>
        <v>0.21224796157540085</v>
      </c>
      <c r="AT299">
        <f t="shared" si="21"/>
        <v>1.706473611066223E-2</v>
      </c>
      <c r="AU299">
        <f t="shared" si="22"/>
        <v>1.7064736110662231</v>
      </c>
      <c r="AV299">
        <f t="shared" si="23"/>
        <v>3</v>
      </c>
      <c r="AW299">
        <f t="shared" si="24"/>
        <v>9.3923170846247697E-2</v>
      </c>
    </row>
    <row r="300" spans="1:49" x14ac:dyDescent="0.3">
      <c r="A300" t="s">
        <v>362</v>
      </c>
      <c r="B300" t="s">
        <v>164</v>
      </c>
      <c r="C300">
        <v>3</v>
      </c>
      <c r="D300" t="s">
        <v>24</v>
      </c>
      <c r="E300">
        <v>11</v>
      </c>
      <c r="F300">
        <v>14</v>
      </c>
      <c r="G300">
        <v>19</v>
      </c>
      <c r="H300">
        <v>16</v>
      </c>
      <c r="I300">
        <v>10</v>
      </c>
      <c r="J300">
        <v>12</v>
      </c>
      <c r="K300">
        <v>24</v>
      </c>
      <c r="L300">
        <v>28</v>
      </c>
      <c r="M300">
        <v>25</v>
      </c>
      <c r="N300">
        <v>28</v>
      </c>
      <c r="O300">
        <v>31</v>
      </c>
      <c r="P300">
        <v>35</v>
      </c>
      <c r="Q300">
        <v>24</v>
      </c>
      <c r="R300">
        <v>39</v>
      </c>
      <c r="S300">
        <v>44</v>
      </c>
      <c r="T300">
        <v>26</v>
      </c>
      <c r="U300">
        <v>45</v>
      </c>
      <c r="V300">
        <v>38</v>
      </c>
      <c r="W300">
        <v>40</v>
      </c>
      <c r="X300">
        <v>12</v>
      </c>
      <c r="Y300">
        <v>15</v>
      </c>
      <c r="Z300">
        <v>14</v>
      </c>
      <c r="AA300">
        <v>17</v>
      </c>
      <c r="AB300">
        <v>14</v>
      </c>
      <c r="AC300">
        <v>12</v>
      </c>
      <c r="AD300">
        <v>17</v>
      </c>
      <c r="AE300">
        <v>23</v>
      </c>
      <c r="AF300">
        <v>21</v>
      </c>
      <c r="AG300">
        <v>23</v>
      </c>
      <c r="AH300">
        <v>32</v>
      </c>
      <c r="AI300">
        <v>26</v>
      </c>
      <c r="AJ300">
        <v>31</v>
      </c>
      <c r="AK300">
        <v>25</v>
      </c>
      <c r="AL300">
        <v>44</v>
      </c>
      <c r="AM300">
        <v>27</v>
      </c>
      <c r="AN300">
        <v>19</v>
      </c>
      <c r="AO300">
        <v>32</v>
      </c>
      <c r="AP300">
        <v>47</v>
      </c>
      <c r="AQ300">
        <v>960</v>
      </c>
      <c r="AR300">
        <v>3</v>
      </c>
      <c r="AS300">
        <f t="shared" si="20"/>
        <v>1</v>
      </c>
      <c r="AT300">
        <f t="shared" si="21"/>
        <v>8.0399999999999999E-2</v>
      </c>
      <c r="AU300">
        <f t="shared" si="22"/>
        <v>8.0399999999999991</v>
      </c>
      <c r="AV300">
        <f t="shared" si="23"/>
        <v>3</v>
      </c>
      <c r="AW300">
        <f t="shared" si="24"/>
        <v>9.3923170846247697E-2</v>
      </c>
    </row>
    <row r="301" spans="1:49" x14ac:dyDescent="0.3">
      <c r="A301" t="s">
        <v>363</v>
      </c>
      <c r="B301" t="s">
        <v>85</v>
      </c>
      <c r="C301">
        <v>1</v>
      </c>
      <c r="D301" t="s">
        <v>24</v>
      </c>
      <c r="E301">
        <v>20</v>
      </c>
      <c r="F301">
        <v>14</v>
      </c>
      <c r="G301">
        <v>19</v>
      </c>
      <c r="H301">
        <v>26</v>
      </c>
      <c r="I301">
        <v>32</v>
      </c>
      <c r="J301">
        <v>35</v>
      </c>
      <c r="K301">
        <v>28</v>
      </c>
      <c r="L301">
        <v>27</v>
      </c>
      <c r="M301">
        <v>20</v>
      </c>
      <c r="N301">
        <v>34</v>
      </c>
      <c r="O301">
        <v>22</v>
      </c>
      <c r="P301">
        <v>35</v>
      </c>
      <c r="Q301">
        <v>27</v>
      </c>
      <c r="R301">
        <v>48</v>
      </c>
      <c r="S301">
        <v>42</v>
      </c>
      <c r="T301">
        <v>58</v>
      </c>
      <c r="U301">
        <v>36</v>
      </c>
      <c r="V301">
        <v>36</v>
      </c>
      <c r="W301">
        <v>63</v>
      </c>
      <c r="X301">
        <v>16</v>
      </c>
      <c r="Y301">
        <v>18</v>
      </c>
      <c r="Z301">
        <v>17</v>
      </c>
      <c r="AA301">
        <v>26</v>
      </c>
      <c r="AB301">
        <v>18</v>
      </c>
      <c r="AC301">
        <v>23</v>
      </c>
      <c r="AD301">
        <v>27</v>
      </c>
      <c r="AE301">
        <v>33</v>
      </c>
      <c r="AF301">
        <v>27</v>
      </c>
      <c r="AG301">
        <v>21</v>
      </c>
      <c r="AH301">
        <v>24</v>
      </c>
      <c r="AI301">
        <v>31</v>
      </c>
      <c r="AJ301">
        <v>43</v>
      </c>
      <c r="AK301">
        <v>39</v>
      </c>
      <c r="AL301">
        <v>34</v>
      </c>
      <c r="AM301">
        <v>43</v>
      </c>
      <c r="AN301">
        <v>37</v>
      </c>
      <c r="AO301">
        <v>53</v>
      </c>
      <c r="AP301">
        <v>56</v>
      </c>
      <c r="AQ301">
        <v>1208</v>
      </c>
      <c r="AR301">
        <v>0.82781456953642385</v>
      </c>
      <c r="AS301">
        <f t="shared" si="20"/>
        <v>0.25253681916726367</v>
      </c>
      <c r="AT301">
        <f t="shared" si="21"/>
        <v>2.0303960261047999E-2</v>
      </c>
      <c r="AU301">
        <f t="shared" si="22"/>
        <v>2.0303960261047997</v>
      </c>
      <c r="AV301">
        <f t="shared" si="23"/>
        <v>3</v>
      </c>
      <c r="AW301">
        <f t="shared" si="24"/>
        <v>9.3923170846247697E-2</v>
      </c>
    </row>
    <row r="302" spans="1:49" x14ac:dyDescent="0.3">
      <c r="A302" t="s">
        <v>364</v>
      </c>
      <c r="B302" t="s">
        <v>85</v>
      </c>
      <c r="C302">
        <v>2</v>
      </c>
      <c r="D302" t="s">
        <v>24</v>
      </c>
      <c r="E302">
        <v>14</v>
      </c>
      <c r="F302">
        <v>19</v>
      </c>
      <c r="G302">
        <v>15</v>
      </c>
      <c r="H302">
        <v>17</v>
      </c>
      <c r="I302">
        <v>23</v>
      </c>
      <c r="J302">
        <v>17</v>
      </c>
      <c r="K302">
        <v>15</v>
      </c>
      <c r="L302">
        <v>15</v>
      </c>
      <c r="M302">
        <v>17</v>
      </c>
      <c r="N302">
        <v>19</v>
      </c>
      <c r="O302">
        <v>23</v>
      </c>
      <c r="P302">
        <v>24</v>
      </c>
      <c r="Q302">
        <v>37</v>
      </c>
      <c r="R302">
        <v>33</v>
      </c>
      <c r="S302">
        <v>48</v>
      </c>
      <c r="T302">
        <v>36</v>
      </c>
      <c r="U302">
        <v>42</v>
      </c>
      <c r="V302">
        <v>62</v>
      </c>
      <c r="W302">
        <v>46</v>
      </c>
      <c r="X302">
        <v>14</v>
      </c>
      <c r="Y302">
        <v>13</v>
      </c>
      <c r="Z302">
        <v>9</v>
      </c>
      <c r="AA302">
        <v>10</v>
      </c>
      <c r="AB302">
        <v>21</v>
      </c>
      <c r="AC302">
        <v>16</v>
      </c>
      <c r="AD302">
        <v>15</v>
      </c>
      <c r="AE302">
        <v>16</v>
      </c>
      <c r="AF302">
        <v>22</v>
      </c>
      <c r="AG302">
        <v>20</v>
      </c>
      <c r="AH302">
        <v>26</v>
      </c>
      <c r="AI302">
        <v>34</v>
      </c>
      <c r="AJ302">
        <v>22</v>
      </c>
      <c r="AK302">
        <v>25</v>
      </c>
      <c r="AL302">
        <v>31</v>
      </c>
      <c r="AM302">
        <v>40</v>
      </c>
      <c r="AN302">
        <v>24</v>
      </c>
      <c r="AO302">
        <v>37</v>
      </c>
      <c r="AP302">
        <v>48</v>
      </c>
      <c r="AQ302">
        <v>965</v>
      </c>
      <c r="AR302">
        <v>2.0725388601036272</v>
      </c>
      <c r="AS302">
        <f t="shared" si="20"/>
        <v>0.68085456977871817</v>
      </c>
      <c r="AT302">
        <f t="shared" si="21"/>
        <v>5.4740707410208943E-2</v>
      </c>
      <c r="AU302">
        <f t="shared" si="22"/>
        <v>5.4740707410208946</v>
      </c>
      <c r="AV302">
        <f t="shared" si="23"/>
        <v>3</v>
      </c>
      <c r="AW302">
        <f t="shared" si="24"/>
        <v>9.3923170846247697E-2</v>
      </c>
    </row>
    <row r="303" spans="1:49" x14ac:dyDescent="0.3">
      <c r="A303" t="s">
        <v>365</v>
      </c>
      <c r="B303" t="s">
        <v>33</v>
      </c>
      <c r="C303">
        <v>2</v>
      </c>
      <c r="D303" t="s">
        <v>17</v>
      </c>
      <c r="E303">
        <v>211</v>
      </c>
      <c r="F303">
        <v>169</v>
      </c>
      <c r="G303">
        <v>108</v>
      </c>
      <c r="H303">
        <v>92</v>
      </c>
      <c r="I303">
        <v>72</v>
      </c>
      <c r="J303">
        <v>70</v>
      </c>
      <c r="K303">
        <v>65</v>
      </c>
      <c r="L303">
        <v>54</v>
      </c>
      <c r="M303">
        <v>62</v>
      </c>
      <c r="N303">
        <v>77</v>
      </c>
      <c r="O303">
        <v>68</v>
      </c>
      <c r="P303">
        <v>96</v>
      </c>
      <c r="Q303">
        <v>74</v>
      </c>
      <c r="R303">
        <v>80</v>
      </c>
      <c r="S303">
        <v>86</v>
      </c>
      <c r="T303">
        <v>85</v>
      </c>
      <c r="U303">
        <v>86</v>
      </c>
      <c r="V303">
        <v>83</v>
      </c>
      <c r="W303">
        <v>75</v>
      </c>
      <c r="X303">
        <v>163</v>
      </c>
      <c r="Y303">
        <v>134</v>
      </c>
      <c r="Z303">
        <v>110</v>
      </c>
      <c r="AA303">
        <v>89</v>
      </c>
      <c r="AB303">
        <v>79</v>
      </c>
      <c r="AC303">
        <v>73</v>
      </c>
      <c r="AD303">
        <v>58</v>
      </c>
      <c r="AE303">
        <v>38</v>
      </c>
      <c r="AF303">
        <v>55</v>
      </c>
      <c r="AG303">
        <v>76</v>
      </c>
      <c r="AH303">
        <v>68</v>
      </c>
      <c r="AI303">
        <v>73</v>
      </c>
      <c r="AJ303">
        <v>70</v>
      </c>
      <c r="AK303">
        <v>71</v>
      </c>
      <c r="AL303">
        <v>74</v>
      </c>
      <c r="AM303">
        <v>72</v>
      </c>
      <c r="AN303">
        <v>67</v>
      </c>
      <c r="AO303">
        <v>81</v>
      </c>
      <c r="AP303">
        <v>85</v>
      </c>
      <c r="AQ303">
        <v>3249</v>
      </c>
      <c r="AR303">
        <v>0.61557402277623885</v>
      </c>
      <c r="AS303">
        <f t="shared" si="20"/>
        <v>0.17950346208909265</v>
      </c>
      <c r="AT303">
        <f t="shared" si="21"/>
        <v>1.443207835196305E-2</v>
      </c>
      <c r="AU303">
        <f t="shared" si="22"/>
        <v>1.4432078351963049</v>
      </c>
      <c r="AV303">
        <f t="shared" si="23"/>
        <v>3</v>
      </c>
      <c r="AW303">
        <f t="shared" si="24"/>
        <v>9.3923170846247697E-2</v>
      </c>
    </row>
    <row r="304" spans="1:49" x14ac:dyDescent="0.3">
      <c r="A304" t="s">
        <v>366</v>
      </c>
      <c r="B304" t="s">
        <v>33</v>
      </c>
      <c r="C304">
        <v>1</v>
      </c>
      <c r="D304" t="s">
        <v>17</v>
      </c>
      <c r="E304">
        <v>19</v>
      </c>
      <c r="F304">
        <v>20</v>
      </c>
      <c r="G304">
        <v>18</v>
      </c>
      <c r="H304">
        <v>22</v>
      </c>
      <c r="I304">
        <v>37</v>
      </c>
      <c r="J304">
        <v>27</v>
      </c>
      <c r="K304">
        <v>29</v>
      </c>
      <c r="L304">
        <v>32</v>
      </c>
      <c r="M304">
        <v>34</v>
      </c>
      <c r="N304">
        <v>52</v>
      </c>
      <c r="O304">
        <v>50</v>
      </c>
      <c r="P304">
        <v>60</v>
      </c>
      <c r="Q304">
        <v>59</v>
      </c>
      <c r="R304">
        <v>74</v>
      </c>
      <c r="S304">
        <v>66</v>
      </c>
      <c r="T304">
        <v>80</v>
      </c>
      <c r="U304">
        <v>64</v>
      </c>
      <c r="V304">
        <v>69</v>
      </c>
      <c r="W304">
        <v>71</v>
      </c>
      <c r="X304">
        <v>19</v>
      </c>
      <c r="Y304">
        <v>29</v>
      </c>
      <c r="Z304">
        <v>24</v>
      </c>
      <c r="AA304">
        <v>27</v>
      </c>
      <c r="AB304">
        <v>24</v>
      </c>
      <c r="AC304">
        <v>24</v>
      </c>
      <c r="AD304">
        <v>27</v>
      </c>
      <c r="AE304">
        <v>48</v>
      </c>
      <c r="AF304">
        <v>46</v>
      </c>
      <c r="AG304">
        <v>63</v>
      </c>
      <c r="AH304">
        <v>47</v>
      </c>
      <c r="AI304">
        <v>51</v>
      </c>
      <c r="AJ304">
        <v>60</v>
      </c>
      <c r="AK304">
        <v>71</v>
      </c>
      <c r="AL304">
        <v>48</v>
      </c>
      <c r="AM304">
        <v>56</v>
      </c>
      <c r="AN304">
        <v>50</v>
      </c>
      <c r="AO304">
        <v>45</v>
      </c>
      <c r="AP304">
        <v>66</v>
      </c>
      <c r="AQ304">
        <v>1708</v>
      </c>
      <c r="AR304">
        <v>0.58548009367681497</v>
      </c>
      <c r="AS304">
        <f t="shared" si="20"/>
        <v>0.16914794471339159</v>
      </c>
      <c r="AT304">
        <f t="shared" si="21"/>
        <v>1.3599494754956684E-2</v>
      </c>
      <c r="AU304">
        <f t="shared" si="22"/>
        <v>1.3599494754956685</v>
      </c>
      <c r="AV304">
        <f t="shared" si="23"/>
        <v>3</v>
      </c>
      <c r="AW304">
        <f t="shared" si="24"/>
        <v>9.3923170846247697E-2</v>
      </c>
    </row>
    <row r="305" spans="1:49" x14ac:dyDescent="0.3">
      <c r="A305" t="s">
        <v>367</v>
      </c>
      <c r="B305" t="s">
        <v>167</v>
      </c>
      <c r="C305">
        <v>3</v>
      </c>
      <c r="D305" t="s">
        <v>12</v>
      </c>
      <c r="E305">
        <v>34</v>
      </c>
      <c r="F305">
        <v>31</v>
      </c>
      <c r="G305">
        <v>17</v>
      </c>
      <c r="H305">
        <v>32</v>
      </c>
      <c r="I305">
        <v>47</v>
      </c>
      <c r="J305">
        <v>26</v>
      </c>
      <c r="K305">
        <v>44</v>
      </c>
      <c r="L305">
        <v>44</v>
      </c>
      <c r="M305">
        <v>52</v>
      </c>
      <c r="N305">
        <v>51</v>
      </c>
      <c r="O305">
        <v>83</v>
      </c>
      <c r="P305">
        <v>63</v>
      </c>
      <c r="Q305">
        <v>61</v>
      </c>
      <c r="R305">
        <v>83</v>
      </c>
      <c r="S305">
        <v>65</v>
      </c>
      <c r="T305">
        <v>64</v>
      </c>
      <c r="U305">
        <v>57</v>
      </c>
      <c r="V305">
        <v>64</v>
      </c>
      <c r="W305">
        <v>82</v>
      </c>
      <c r="X305">
        <v>32</v>
      </c>
      <c r="Y305">
        <v>33</v>
      </c>
      <c r="Z305">
        <v>32</v>
      </c>
      <c r="AA305">
        <v>26</v>
      </c>
      <c r="AB305">
        <v>26</v>
      </c>
      <c r="AC305">
        <v>45</v>
      </c>
      <c r="AD305">
        <v>39</v>
      </c>
      <c r="AE305">
        <v>35</v>
      </c>
      <c r="AF305">
        <v>43</v>
      </c>
      <c r="AG305">
        <v>52</v>
      </c>
      <c r="AH305">
        <v>59</v>
      </c>
      <c r="AI305">
        <v>54</v>
      </c>
      <c r="AJ305">
        <v>56</v>
      </c>
      <c r="AK305">
        <v>77</v>
      </c>
      <c r="AL305">
        <v>72</v>
      </c>
      <c r="AM305">
        <v>66</v>
      </c>
      <c r="AN305">
        <v>56</v>
      </c>
      <c r="AO305">
        <v>62</v>
      </c>
      <c r="AP305">
        <v>84</v>
      </c>
      <c r="AQ305">
        <v>1949</v>
      </c>
      <c r="AR305">
        <v>1.5392508978963571</v>
      </c>
      <c r="AS305">
        <f t="shared" si="20"/>
        <v>0.49734670210731757</v>
      </c>
      <c r="AT305">
        <f t="shared" si="21"/>
        <v>3.9986674849428333E-2</v>
      </c>
      <c r="AU305">
        <f t="shared" si="22"/>
        <v>3.9986674849428332</v>
      </c>
      <c r="AV305">
        <f t="shared" si="23"/>
        <v>3</v>
      </c>
      <c r="AW305">
        <f t="shared" si="24"/>
        <v>9.3923170846247697E-2</v>
      </c>
    </row>
    <row r="306" spans="1:49" x14ac:dyDescent="0.3">
      <c r="A306" t="s">
        <v>368</v>
      </c>
      <c r="B306" t="s">
        <v>167</v>
      </c>
      <c r="C306">
        <v>1</v>
      </c>
      <c r="D306" t="s">
        <v>12</v>
      </c>
      <c r="E306">
        <v>25</v>
      </c>
      <c r="F306">
        <v>22</v>
      </c>
      <c r="G306">
        <v>28</v>
      </c>
      <c r="H306">
        <v>27</v>
      </c>
      <c r="I306">
        <v>23</v>
      </c>
      <c r="J306">
        <v>29</v>
      </c>
      <c r="K306">
        <v>30</v>
      </c>
      <c r="L306">
        <v>32</v>
      </c>
      <c r="M306">
        <v>45</v>
      </c>
      <c r="N306">
        <v>50</v>
      </c>
      <c r="O306">
        <v>57</v>
      </c>
      <c r="P306">
        <v>49</v>
      </c>
      <c r="Q306">
        <v>38</v>
      </c>
      <c r="R306">
        <v>56</v>
      </c>
      <c r="S306">
        <v>60</v>
      </c>
      <c r="T306">
        <v>64</v>
      </c>
      <c r="U306">
        <v>46</v>
      </c>
      <c r="V306">
        <v>63</v>
      </c>
      <c r="W306">
        <v>69</v>
      </c>
      <c r="X306">
        <v>24</v>
      </c>
      <c r="Y306">
        <v>24</v>
      </c>
      <c r="Z306">
        <v>23</v>
      </c>
      <c r="AA306">
        <v>31</v>
      </c>
      <c r="AB306">
        <v>34</v>
      </c>
      <c r="AC306">
        <v>23</v>
      </c>
      <c r="AD306">
        <v>31</v>
      </c>
      <c r="AE306">
        <v>31</v>
      </c>
      <c r="AF306">
        <v>40</v>
      </c>
      <c r="AG306">
        <v>39</v>
      </c>
      <c r="AH306">
        <v>46</v>
      </c>
      <c r="AI306">
        <v>44</v>
      </c>
      <c r="AJ306">
        <v>34</v>
      </c>
      <c r="AK306">
        <v>50</v>
      </c>
      <c r="AL306">
        <v>39</v>
      </c>
      <c r="AM306">
        <v>46</v>
      </c>
      <c r="AN306">
        <v>61</v>
      </c>
      <c r="AO306">
        <v>57</v>
      </c>
      <c r="AP306">
        <v>69</v>
      </c>
      <c r="AQ306">
        <v>1559</v>
      </c>
      <c r="AR306">
        <v>0.6414368184733803</v>
      </c>
      <c r="AS306">
        <f t="shared" si="20"/>
        <v>0.1884030188515588</v>
      </c>
      <c r="AT306">
        <f t="shared" si="21"/>
        <v>1.5147602715665327E-2</v>
      </c>
      <c r="AU306">
        <f t="shared" si="22"/>
        <v>1.5147602715665327</v>
      </c>
      <c r="AV306">
        <f t="shared" si="23"/>
        <v>3</v>
      </c>
      <c r="AW306">
        <f t="shared" si="24"/>
        <v>9.3923170846247697E-2</v>
      </c>
    </row>
    <row r="307" spans="1:49" x14ac:dyDescent="0.3">
      <c r="A307" t="s">
        <v>369</v>
      </c>
      <c r="B307" t="s">
        <v>167</v>
      </c>
      <c r="C307">
        <v>1</v>
      </c>
      <c r="D307" t="s">
        <v>12</v>
      </c>
      <c r="E307">
        <v>32</v>
      </c>
      <c r="F307">
        <v>26</v>
      </c>
      <c r="G307">
        <v>17</v>
      </c>
      <c r="H307">
        <v>19</v>
      </c>
      <c r="I307">
        <v>19</v>
      </c>
      <c r="J307">
        <v>37</v>
      </c>
      <c r="K307">
        <v>28</v>
      </c>
      <c r="L307">
        <v>30</v>
      </c>
      <c r="M307">
        <v>36</v>
      </c>
      <c r="N307">
        <v>34</v>
      </c>
      <c r="O307">
        <v>27</v>
      </c>
      <c r="P307">
        <v>32</v>
      </c>
      <c r="Q307">
        <v>29</v>
      </c>
      <c r="R307">
        <v>53</v>
      </c>
      <c r="S307">
        <v>33</v>
      </c>
      <c r="T307">
        <v>40</v>
      </c>
      <c r="U307">
        <v>45</v>
      </c>
      <c r="V307">
        <v>57</v>
      </c>
      <c r="W307">
        <v>44</v>
      </c>
      <c r="X307">
        <v>31</v>
      </c>
      <c r="Y307">
        <v>21</v>
      </c>
      <c r="Z307">
        <v>15</v>
      </c>
      <c r="AA307">
        <v>21</v>
      </c>
      <c r="AB307">
        <v>36</v>
      </c>
      <c r="AC307">
        <v>32</v>
      </c>
      <c r="AD307">
        <v>29</v>
      </c>
      <c r="AE307">
        <v>24</v>
      </c>
      <c r="AF307">
        <v>26</v>
      </c>
      <c r="AG307">
        <v>27</v>
      </c>
      <c r="AH307">
        <v>34</v>
      </c>
      <c r="AI307">
        <v>48</v>
      </c>
      <c r="AJ307">
        <v>33</v>
      </c>
      <c r="AK307">
        <v>42</v>
      </c>
      <c r="AL307">
        <v>51</v>
      </c>
      <c r="AM307">
        <v>45</v>
      </c>
      <c r="AN307">
        <v>44</v>
      </c>
      <c r="AO307">
        <v>43</v>
      </c>
      <c r="AP307">
        <v>48</v>
      </c>
      <c r="AQ307">
        <v>1288</v>
      </c>
      <c r="AR307">
        <v>0.77639751552795022</v>
      </c>
      <c r="AS307">
        <f t="shared" si="20"/>
        <v>0.23484387537009427</v>
      </c>
      <c r="AT307">
        <f t="shared" si="21"/>
        <v>1.8881447579755579E-2</v>
      </c>
      <c r="AU307">
        <f t="shared" si="22"/>
        <v>1.8881447579755579</v>
      </c>
      <c r="AV307">
        <f t="shared" si="23"/>
        <v>3</v>
      </c>
      <c r="AW307">
        <f t="shared" si="24"/>
        <v>9.3923170846247697E-2</v>
      </c>
    </row>
    <row r="308" spans="1:49" x14ac:dyDescent="0.3">
      <c r="A308" t="s">
        <v>370</v>
      </c>
      <c r="B308" t="s">
        <v>167</v>
      </c>
      <c r="C308">
        <v>1</v>
      </c>
      <c r="D308" t="s">
        <v>12</v>
      </c>
      <c r="E308">
        <v>31</v>
      </c>
      <c r="F308">
        <v>27</v>
      </c>
      <c r="G308">
        <v>28</v>
      </c>
      <c r="H308">
        <v>37</v>
      </c>
      <c r="I308">
        <v>42</v>
      </c>
      <c r="J308">
        <v>38</v>
      </c>
      <c r="K308">
        <v>49</v>
      </c>
      <c r="L308">
        <v>57</v>
      </c>
      <c r="M308">
        <v>59</v>
      </c>
      <c r="N308">
        <v>57</v>
      </c>
      <c r="O308">
        <v>65</v>
      </c>
      <c r="P308">
        <v>90</v>
      </c>
      <c r="Q308">
        <v>96</v>
      </c>
      <c r="R308">
        <v>96</v>
      </c>
      <c r="S308">
        <v>96</v>
      </c>
      <c r="T308">
        <v>110</v>
      </c>
      <c r="U308">
        <v>88</v>
      </c>
      <c r="V308">
        <v>94</v>
      </c>
      <c r="W308">
        <v>91</v>
      </c>
      <c r="X308">
        <v>22</v>
      </c>
      <c r="Y308">
        <v>40</v>
      </c>
      <c r="Z308">
        <v>26</v>
      </c>
      <c r="AA308">
        <v>34</v>
      </c>
      <c r="AB308">
        <v>30</v>
      </c>
      <c r="AC308">
        <v>32</v>
      </c>
      <c r="AD308">
        <v>29</v>
      </c>
      <c r="AE308">
        <v>41</v>
      </c>
      <c r="AF308">
        <v>56</v>
      </c>
      <c r="AG308">
        <v>63</v>
      </c>
      <c r="AH308">
        <v>72</v>
      </c>
      <c r="AI308">
        <v>68</v>
      </c>
      <c r="AJ308">
        <v>72</v>
      </c>
      <c r="AK308">
        <v>71</v>
      </c>
      <c r="AL308">
        <v>75</v>
      </c>
      <c r="AM308">
        <v>83</v>
      </c>
      <c r="AN308">
        <v>90</v>
      </c>
      <c r="AO308">
        <v>88</v>
      </c>
      <c r="AP308">
        <v>85</v>
      </c>
      <c r="AQ308">
        <v>2328</v>
      </c>
      <c r="AR308">
        <v>0.42955326460481091</v>
      </c>
      <c r="AS308">
        <f t="shared" si="20"/>
        <v>0.11549250535688642</v>
      </c>
      <c r="AT308">
        <f t="shared" si="21"/>
        <v>9.2855974306936678E-3</v>
      </c>
      <c r="AU308">
        <f t="shared" si="22"/>
        <v>0.92855974306936684</v>
      </c>
      <c r="AV308">
        <f t="shared" si="23"/>
        <v>3</v>
      </c>
      <c r="AW308">
        <f t="shared" si="24"/>
        <v>9.3923170846247697E-2</v>
      </c>
    </row>
    <row r="309" spans="1:49" x14ac:dyDescent="0.3">
      <c r="A309" t="s">
        <v>371</v>
      </c>
      <c r="B309" t="s">
        <v>121</v>
      </c>
      <c r="C309">
        <v>1</v>
      </c>
      <c r="D309" t="s">
        <v>12</v>
      </c>
      <c r="E309">
        <v>20</v>
      </c>
      <c r="F309">
        <v>13</v>
      </c>
      <c r="G309">
        <v>12</v>
      </c>
      <c r="H309">
        <v>15</v>
      </c>
      <c r="I309">
        <v>16</v>
      </c>
      <c r="J309">
        <v>18</v>
      </c>
      <c r="K309">
        <v>20</v>
      </c>
      <c r="L309">
        <v>18</v>
      </c>
      <c r="M309">
        <v>18</v>
      </c>
      <c r="N309">
        <v>21</v>
      </c>
      <c r="O309">
        <v>28</v>
      </c>
      <c r="P309">
        <v>25</v>
      </c>
      <c r="Q309">
        <v>22</v>
      </c>
      <c r="R309">
        <v>22</v>
      </c>
      <c r="S309">
        <v>20</v>
      </c>
      <c r="T309">
        <v>44</v>
      </c>
      <c r="U309">
        <v>19</v>
      </c>
      <c r="V309">
        <v>30</v>
      </c>
      <c r="W309">
        <v>74</v>
      </c>
      <c r="X309">
        <v>15</v>
      </c>
      <c r="Y309">
        <v>12</v>
      </c>
      <c r="Z309">
        <v>12</v>
      </c>
      <c r="AA309">
        <v>17</v>
      </c>
      <c r="AB309">
        <v>20</v>
      </c>
      <c r="AC309">
        <v>12</v>
      </c>
      <c r="AD309">
        <v>20</v>
      </c>
      <c r="AE309">
        <v>19</v>
      </c>
      <c r="AF309">
        <v>19</v>
      </c>
      <c r="AG309">
        <v>16</v>
      </c>
      <c r="AH309">
        <v>28</v>
      </c>
      <c r="AI309">
        <v>22</v>
      </c>
      <c r="AJ309">
        <v>24</v>
      </c>
      <c r="AK309">
        <v>31</v>
      </c>
      <c r="AL309">
        <v>19</v>
      </c>
      <c r="AM309">
        <v>26</v>
      </c>
      <c r="AN309">
        <v>31</v>
      </c>
      <c r="AO309">
        <v>33</v>
      </c>
      <c r="AP309">
        <v>64</v>
      </c>
      <c r="AQ309">
        <v>895</v>
      </c>
      <c r="AR309">
        <v>1.1173184357541901</v>
      </c>
      <c r="AS309">
        <f t="shared" si="20"/>
        <v>0.35215698863885658</v>
      </c>
      <c r="AT309">
        <f t="shared" si="21"/>
        <v>2.831342188656407E-2</v>
      </c>
      <c r="AU309">
        <f t="shared" si="22"/>
        <v>2.8313421886564072</v>
      </c>
      <c r="AV309">
        <f t="shared" si="23"/>
        <v>3</v>
      </c>
      <c r="AW309">
        <f t="shared" si="24"/>
        <v>9.3923170846247697E-2</v>
      </c>
    </row>
    <row r="310" spans="1:49" x14ac:dyDescent="0.3">
      <c r="A310" t="s">
        <v>372</v>
      </c>
      <c r="B310" t="s">
        <v>222</v>
      </c>
      <c r="C310">
        <v>1</v>
      </c>
      <c r="D310" t="s">
        <v>24</v>
      </c>
      <c r="E310">
        <v>67</v>
      </c>
      <c r="F310">
        <v>72</v>
      </c>
      <c r="G310">
        <v>65</v>
      </c>
      <c r="H310">
        <v>57</v>
      </c>
      <c r="I310">
        <v>51</v>
      </c>
      <c r="J310">
        <v>54</v>
      </c>
      <c r="K310">
        <v>43</v>
      </c>
      <c r="L310">
        <v>41</v>
      </c>
      <c r="M310">
        <v>57</v>
      </c>
      <c r="N310">
        <v>64</v>
      </c>
      <c r="O310">
        <v>60</v>
      </c>
      <c r="P310">
        <v>71</v>
      </c>
      <c r="Q310">
        <v>60</v>
      </c>
      <c r="R310">
        <v>56</v>
      </c>
      <c r="S310">
        <v>63</v>
      </c>
      <c r="T310">
        <v>64</v>
      </c>
      <c r="U310">
        <v>66</v>
      </c>
      <c r="V310">
        <v>62</v>
      </c>
      <c r="W310">
        <v>77</v>
      </c>
      <c r="X310">
        <v>66</v>
      </c>
      <c r="Y310">
        <v>52</v>
      </c>
      <c r="Z310">
        <v>67</v>
      </c>
      <c r="AA310">
        <v>51</v>
      </c>
      <c r="AB310">
        <v>48</v>
      </c>
      <c r="AC310">
        <v>57</v>
      </c>
      <c r="AD310">
        <v>38</v>
      </c>
      <c r="AE310">
        <v>53</v>
      </c>
      <c r="AF310">
        <v>49</v>
      </c>
      <c r="AG310">
        <v>50</v>
      </c>
      <c r="AH310">
        <v>58</v>
      </c>
      <c r="AI310">
        <v>59</v>
      </c>
      <c r="AJ310">
        <v>60</v>
      </c>
      <c r="AK310">
        <v>58</v>
      </c>
      <c r="AL310">
        <v>80</v>
      </c>
      <c r="AM310">
        <v>77</v>
      </c>
      <c r="AN310">
        <v>49</v>
      </c>
      <c r="AO310">
        <v>63</v>
      </c>
      <c r="AP310">
        <v>79</v>
      </c>
      <c r="AQ310">
        <v>2264</v>
      </c>
      <c r="AR310">
        <v>0.44169611307420492</v>
      </c>
      <c r="AS310">
        <f t="shared" si="20"/>
        <v>0.11967093875120585</v>
      </c>
      <c r="AT310">
        <f t="shared" si="21"/>
        <v>9.6215434755969505E-3</v>
      </c>
      <c r="AU310">
        <f t="shared" si="22"/>
        <v>0.96215434755969509</v>
      </c>
      <c r="AV310">
        <f t="shared" si="23"/>
        <v>3</v>
      </c>
      <c r="AW310">
        <f t="shared" si="24"/>
        <v>9.3923170846247697E-2</v>
      </c>
    </row>
    <row r="311" spans="1:49" x14ac:dyDescent="0.3">
      <c r="A311" t="s">
        <v>373</v>
      </c>
      <c r="B311" t="s">
        <v>222</v>
      </c>
      <c r="C311">
        <v>1</v>
      </c>
      <c r="D311" t="s">
        <v>24</v>
      </c>
      <c r="E311">
        <v>15</v>
      </c>
      <c r="F311">
        <v>7</v>
      </c>
      <c r="G311">
        <v>3</v>
      </c>
      <c r="H311">
        <v>5</v>
      </c>
      <c r="I311">
        <v>6</v>
      </c>
      <c r="J311">
        <v>8</v>
      </c>
      <c r="K311">
        <v>2</v>
      </c>
      <c r="L311">
        <v>2</v>
      </c>
      <c r="M311">
        <v>10</v>
      </c>
      <c r="N311">
        <v>15</v>
      </c>
      <c r="O311">
        <v>15</v>
      </c>
      <c r="P311">
        <v>12</v>
      </c>
      <c r="Q311">
        <v>6</v>
      </c>
      <c r="R311">
        <v>11</v>
      </c>
      <c r="S311">
        <v>20</v>
      </c>
      <c r="T311">
        <v>19</v>
      </c>
      <c r="U311">
        <v>15</v>
      </c>
      <c r="V311">
        <v>18</v>
      </c>
      <c r="W311">
        <v>26</v>
      </c>
      <c r="X311">
        <v>3</v>
      </c>
      <c r="Y311">
        <v>3</v>
      </c>
      <c r="Z311">
        <v>5</v>
      </c>
      <c r="AA311">
        <v>8</v>
      </c>
      <c r="AB311">
        <v>13</v>
      </c>
      <c r="AC311">
        <v>6</v>
      </c>
      <c r="AD311">
        <v>7</v>
      </c>
      <c r="AE311">
        <v>3</v>
      </c>
      <c r="AF311">
        <v>8</v>
      </c>
      <c r="AG311">
        <v>10</v>
      </c>
      <c r="AH311">
        <v>9</v>
      </c>
      <c r="AI311">
        <v>18</v>
      </c>
      <c r="AJ311">
        <v>12</v>
      </c>
      <c r="AK311">
        <v>18</v>
      </c>
      <c r="AL311">
        <v>20</v>
      </c>
      <c r="AM311">
        <v>17</v>
      </c>
      <c r="AN311">
        <v>23</v>
      </c>
      <c r="AO311">
        <v>29</v>
      </c>
      <c r="AP311">
        <v>33</v>
      </c>
      <c r="AQ311">
        <v>460</v>
      </c>
      <c r="AR311">
        <v>2.1739130434782612</v>
      </c>
      <c r="AS311">
        <f t="shared" si="20"/>
        <v>0.71573808777715808</v>
      </c>
      <c r="AT311">
        <f t="shared" si="21"/>
        <v>5.7545342257283506E-2</v>
      </c>
      <c r="AU311">
        <f t="shared" si="22"/>
        <v>5.7545342257283503</v>
      </c>
      <c r="AV311">
        <f t="shared" si="23"/>
        <v>3</v>
      </c>
      <c r="AW311">
        <f t="shared" si="24"/>
        <v>9.3923170846247697E-2</v>
      </c>
    </row>
    <row r="312" spans="1:49" x14ac:dyDescent="0.3">
      <c r="A312" t="s">
        <v>374</v>
      </c>
      <c r="B312" t="s">
        <v>222</v>
      </c>
      <c r="C312">
        <v>1</v>
      </c>
      <c r="D312" t="s">
        <v>24</v>
      </c>
      <c r="E312">
        <v>158</v>
      </c>
      <c r="F312">
        <v>106</v>
      </c>
      <c r="G312">
        <v>85</v>
      </c>
      <c r="H312">
        <v>81</v>
      </c>
      <c r="I312">
        <v>74</v>
      </c>
      <c r="J312">
        <v>76</v>
      </c>
      <c r="K312">
        <v>71</v>
      </c>
      <c r="L312">
        <v>64</v>
      </c>
      <c r="M312">
        <v>79</v>
      </c>
      <c r="N312">
        <v>88</v>
      </c>
      <c r="O312">
        <v>80</v>
      </c>
      <c r="P312">
        <v>67</v>
      </c>
      <c r="Q312">
        <v>74</v>
      </c>
      <c r="R312">
        <v>80</v>
      </c>
      <c r="S312">
        <v>67</v>
      </c>
      <c r="T312">
        <v>72</v>
      </c>
      <c r="U312">
        <v>70</v>
      </c>
      <c r="V312">
        <v>93</v>
      </c>
      <c r="W312">
        <v>113</v>
      </c>
      <c r="X312">
        <v>132</v>
      </c>
      <c r="Y312">
        <v>94</v>
      </c>
      <c r="Z312">
        <v>99</v>
      </c>
      <c r="AA312">
        <v>107</v>
      </c>
      <c r="AB312">
        <v>105</v>
      </c>
      <c r="AC312">
        <v>98</v>
      </c>
      <c r="AD312">
        <v>77</v>
      </c>
      <c r="AE312">
        <v>72</v>
      </c>
      <c r="AF312">
        <v>76</v>
      </c>
      <c r="AG312">
        <v>72</v>
      </c>
      <c r="AH312">
        <v>78</v>
      </c>
      <c r="AI312">
        <v>72</v>
      </c>
      <c r="AJ312">
        <v>42</v>
      </c>
      <c r="AK312">
        <v>72</v>
      </c>
      <c r="AL312">
        <v>62</v>
      </c>
      <c r="AM312">
        <v>71</v>
      </c>
      <c r="AN312">
        <v>72</v>
      </c>
      <c r="AO312">
        <v>71</v>
      </c>
      <c r="AP312">
        <v>105</v>
      </c>
      <c r="AQ312">
        <v>3175</v>
      </c>
      <c r="AR312">
        <v>0.31496062992125978</v>
      </c>
      <c r="AS312">
        <f t="shared" si="20"/>
        <v>7.6060432008391896E-2</v>
      </c>
      <c r="AT312">
        <f t="shared" si="21"/>
        <v>6.1152587334747082E-3</v>
      </c>
      <c r="AU312">
        <f t="shared" si="22"/>
        <v>0.61152587334747077</v>
      </c>
      <c r="AV312">
        <f t="shared" si="23"/>
        <v>3</v>
      </c>
      <c r="AW312">
        <f t="shared" si="24"/>
        <v>9.3923170846247697E-2</v>
      </c>
    </row>
    <row r="313" spans="1:49" x14ac:dyDescent="0.3">
      <c r="A313" t="s">
        <v>375</v>
      </c>
      <c r="B313" t="s">
        <v>222</v>
      </c>
      <c r="C313">
        <v>1</v>
      </c>
      <c r="D313" t="s">
        <v>24</v>
      </c>
      <c r="E313">
        <v>79</v>
      </c>
      <c r="F313">
        <v>71</v>
      </c>
      <c r="G313">
        <v>62</v>
      </c>
      <c r="H313">
        <v>70</v>
      </c>
      <c r="I313">
        <v>56</v>
      </c>
      <c r="J313">
        <v>67</v>
      </c>
      <c r="K313">
        <v>70</v>
      </c>
      <c r="L313">
        <v>75</v>
      </c>
      <c r="M313">
        <v>56</v>
      </c>
      <c r="N313">
        <v>66</v>
      </c>
      <c r="O313">
        <v>88</v>
      </c>
      <c r="P313">
        <v>71</v>
      </c>
      <c r="Q313">
        <v>61</v>
      </c>
      <c r="R313">
        <v>68</v>
      </c>
      <c r="S313">
        <v>59</v>
      </c>
      <c r="T313">
        <v>56</v>
      </c>
      <c r="U313">
        <v>53</v>
      </c>
      <c r="V313">
        <v>72</v>
      </c>
      <c r="W313">
        <v>52</v>
      </c>
      <c r="X313">
        <v>76</v>
      </c>
      <c r="Y313">
        <v>70</v>
      </c>
      <c r="Z313">
        <v>64</v>
      </c>
      <c r="AA313">
        <v>62</v>
      </c>
      <c r="AB313">
        <v>59</v>
      </c>
      <c r="AC313">
        <v>57</v>
      </c>
      <c r="AD313">
        <v>58</v>
      </c>
      <c r="AE313">
        <v>78</v>
      </c>
      <c r="AF313">
        <v>76</v>
      </c>
      <c r="AG313">
        <v>59</v>
      </c>
      <c r="AH313">
        <v>80</v>
      </c>
      <c r="AI313">
        <v>75</v>
      </c>
      <c r="AJ313">
        <v>67</v>
      </c>
      <c r="AK313">
        <v>57</v>
      </c>
      <c r="AL313">
        <v>59</v>
      </c>
      <c r="AM313">
        <v>64</v>
      </c>
      <c r="AN313">
        <v>56</v>
      </c>
      <c r="AO313">
        <v>59</v>
      </c>
      <c r="AP313">
        <v>53</v>
      </c>
      <c r="AQ313">
        <v>2481</v>
      </c>
      <c r="AR313">
        <v>0.40306328093510679</v>
      </c>
      <c r="AS313">
        <f t="shared" si="20"/>
        <v>0.10637712912045773</v>
      </c>
      <c r="AT313">
        <f t="shared" si="21"/>
        <v>8.5527211812848006E-3</v>
      </c>
      <c r="AU313">
        <f t="shared" si="22"/>
        <v>0.85527211812848003</v>
      </c>
      <c r="AV313">
        <f t="shared" si="23"/>
        <v>3</v>
      </c>
      <c r="AW313">
        <f t="shared" si="24"/>
        <v>9.3923170846247697E-2</v>
      </c>
    </row>
    <row r="314" spans="1:49" x14ac:dyDescent="0.3">
      <c r="A314" t="s">
        <v>376</v>
      </c>
      <c r="B314" t="s">
        <v>222</v>
      </c>
      <c r="C314">
        <v>1</v>
      </c>
      <c r="D314" t="s">
        <v>24</v>
      </c>
      <c r="E314">
        <v>17</v>
      </c>
      <c r="F314">
        <v>10</v>
      </c>
      <c r="G314">
        <v>5</v>
      </c>
      <c r="H314">
        <v>4</v>
      </c>
      <c r="I314">
        <v>8</v>
      </c>
      <c r="J314">
        <v>9</v>
      </c>
      <c r="K314">
        <v>8</v>
      </c>
      <c r="L314">
        <v>14</v>
      </c>
      <c r="M314">
        <v>8</v>
      </c>
      <c r="N314">
        <v>16</v>
      </c>
      <c r="O314">
        <v>15</v>
      </c>
      <c r="P314">
        <v>25</v>
      </c>
      <c r="Q314">
        <v>24</v>
      </c>
      <c r="R314">
        <v>27</v>
      </c>
      <c r="S314">
        <v>15</v>
      </c>
      <c r="T314">
        <v>20</v>
      </c>
      <c r="U314">
        <v>19</v>
      </c>
      <c r="V314">
        <v>20</v>
      </c>
      <c r="W314">
        <v>36</v>
      </c>
      <c r="X314">
        <v>12</v>
      </c>
      <c r="Y314">
        <v>10</v>
      </c>
      <c r="Z314">
        <v>3</v>
      </c>
      <c r="AA314">
        <v>7</v>
      </c>
      <c r="AB314">
        <v>11</v>
      </c>
      <c r="AC314">
        <v>11</v>
      </c>
      <c r="AD314">
        <v>10</v>
      </c>
      <c r="AE314">
        <v>14</v>
      </c>
      <c r="AF314">
        <v>5</v>
      </c>
      <c r="AG314">
        <v>16</v>
      </c>
      <c r="AH314">
        <v>20</v>
      </c>
      <c r="AI314">
        <v>18</v>
      </c>
      <c r="AJ314">
        <v>13</v>
      </c>
      <c r="AK314">
        <v>16</v>
      </c>
      <c r="AL314">
        <v>19</v>
      </c>
      <c r="AM314">
        <v>20</v>
      </c>
      <c r="AN314">
        <v>20</v>
      </c>
      <c r="AO314">
        <v>25</v>
      </c>
      <c r="AP314">
        <v>31</v>
      </c>
      <c r="AQ314">
        <v>581</v>
      </c>
      <c r="AR314">
        <v>1.7211703958691911</v>
      </c>
      <c r="AS314">
        <f t="shared" si="20"/>
        <v>0.5599463884431426</v>
      </c>
      <c r="AT314">
        <f t="shared" si="21"/>
        <v>4.5019689630828662E-2</v>
      </c>
      <c r="AU314">
        <f t="shared" si="22"/>
        <v>4.5019689630828665</v>
      </c>
      <c r="AV314">
        <f t="shared" si="23"/>
        <v>3</v>
      </c>
      <c r="AW314">
        <f t="shared" si="24"/>
        <v>9.3923170846247697E-2</v>
      </c>
    </row>
    <row r="315" spans="1:49" x14ac:dyDescent="0.3">
      <c r="A315" t="s">
        <v>377</v>
      </c>
      <c r="B315" t="s">
        <v>222</v>
      </c>
      <c r="C315">
        <v>1</v>
      </c>
      <c r="D315" t="s">
        <v>24</v>
      </c>
      <c r="E315">
        <v>17</v>
      </c>
      <c r="F315">
        <v>26</v>
      </c>
      <c r="G315">
        <v>21</v>
      </c>
      <c r="H315">
        <v>25</v>
      </c>
      <c r="I315">
        <v>23</v>
      </c>
      <c r="J315">
        <v>25</v>
      </c>
      <c r="K315">
        <v>22</v>
      </c>
      <c r="L315">
        <v>26</v>
      </c>
      <c r="M315">
        <v>35</v>
      </c>
      <c r="N315">
        <v>39</v>
      </c>
      <c r="O315">
        <v>42</v>
      </c>
      <c r="P315">
        <v>37</v>
      </c>
      <c r="Q315">
        <v>43</v>
      </c>
      <c r="R315">
        <v>61</v>
      </c>
      <c r="S315">
        <v>64</v>
      </c>
      <c r="T315">
        <v>40</v>
      </c>
      <c r="U315">
        <v>48</v>
      </c>
      <c r="V315">
        <v>45</v>
      </c>
      <c r="W315">
        <v>62</v>
      </c>
      <c r="X315">
        <v>20</v>
      </c>
      <c r="Y315">
        <v>22</v>
      </c>
      <c r="Z315">
        <v>19</v>
      </c>
      <c r="AA315">
        <v>19</v>
      </c>
      <c r="AB315">
        <v>26</v>
      </c>
      <c r="AC315">
        <v>20</v>
      </c>
      <c r="AD315">
        <v>28</v>
      </c>
      <c r="AE315">
        <v>29</v>
      </c>
      <c r="AF315">
        <v>33</v>
      </c>
      <c r="AG315">
        <v>44</v>
      </c>
      <c r="AH315">
        <v>45</v>
      </c>
      <c r="AI315">
        <v>49</v>
      </c>
      <c r="AJ315">
        <v>42</v>
      </c>
      <c r="AK315">
        <v>40</v>
      </c>
      <c r="AL315">
        <v>50</v>
      </c>
      <c r="AM315">
        <v>58</v>
      </c>
      <c r="AN315">
        <v>68</v>
      </c>
      <c r="AO315">
        <v>61</v>
      </c>
      <c r="AP315">
        <v>57</v>
      </c>
      <c r="AQ315">
        <v>1431</v>
      </c>
      <c r="AR315">
        <v>0.69881201956673655</v>
      </c>
      <c r="AS315">
        <f t="shared" si="20"/>
        <v>0.20814619993946687</v>
      </c>
      <c r="AT315">
        <f t="shared" si="21"/>
        <v>1.6734954475133137E-2</v>
      </c>
      <c r="AU315">
        <f t="shared" si="22"/>
        <v>1.6734954475133137</v>
      </c>
      <c r="AV315">
        <f t="shared" si="23"/>
        <v>3</v>
      </c>
      <c r="AW315">
        <f t="shared" si="24"/>
        <v>9.3923170846247697E-2</v>
      </c>
    </row>
    <row r="316" spans="1:49" x14ac:dyDescent="0.3">
      <c r="A316" t="s">
        <v>378</v>
      </c>
      <c r="B316" t="s">
        <v>39</v>
      </c>
      <c r="C316">
        <v>1</v>
      </c>
      <c r="D316" t="s">
        <v>12</v>
      </c>
      <c r="E316">
        <v>65</v>
      </c>
      <c r="F316">
        <v>63</v>
      </c>
      <c r="G316">
        <v>44</v>
      </c>
      <c r="H316">
        <v>56</v>
      </c>
      <c r="I316">
        <v>82</v>
      </c>
      <c r="J316">
        <v>74</v>
      </c>
      <c r="K316">
        <v>70</v>
      </c>
      <c r="L316">
        <v>82</v>
      </c>
      <c r="M316">
        <v>78</v>
      </c>
      <c r="N316">
        <v>90</v>
      </c>
      <c r="O316">
        <v>106</v>
      </c>
      <c r="P316">
        <v>114</v>
      </c>
      <c r="Q316">
        <v>107</v>
      </c>
      <c r="R316">
        <v>104</v>
      </c>
      <c r="S316">
        <v>116</v>
      </c>
      <c r="T316">
        <v>115</v>
      </c>
      <c r="U316">
        <v>118</v>
      </c>
      <c r="V316">
        <v>103</v>
      </c>
      <c r="W316">
        <v>146</v>
      </c>
      <c r="X316">
        <v>59</v>
      </c>
      <c r="Y316">
        <v>65</v>
      </c>
      <c r="Z316">
        <v>55</v>
      </c>
      <c r="AA316">
        <v>74</v>
      </c>
      <c r="AB316">
        <v>61</v>
      </c>
      <c r="AC316">
        <v>72</v>
      </c>
      <c r="AD316">
        <v>68</v>
      </c>
      <c r="AE316">
        <v>77</v>
      </c>
      <c r="AF316">
        <v>92</v>
      </c>
      <c r="AG316">
        <v>84</v>
      </c>
      <c r="AH316">
        <v>98</v>
      </c>
      <c r="AI316">
        <v>109</v>
      </c>
      <c r="AJ316">
        <v>110</v>
      </c>
      <c r="AK316">
        <v>102</v>
      </c>
      <c r="AL316">
        <v>111</v>
      </c>
      <c r="AM316">
        <v>108</v>
      </c>
      <c r="AN316">
        <v>100</v>
      </c>
      <c r="AO316">
        <v>112</v>
      </c>
      <c r="AP316">
        <v>119</v>
      </c>
      <c r="AQ316">
        <v>3409</v>
      </c>
      <c r="AR316">
        <v>0.2933411557641537</v>
      </c>
      <c r="AS316">
        <f t="shared" si="20"/>
        <v>6.8621029876892961E-2</v>
      </c>
      <c r="AT316">
        <f t="shared" si="21"/>
        <v>5.517130802102194E-3</v>
      </c>
      <c r="AU316">
        <f t="shared" si="22"/>
        <v>0.55171308021021936</v>
      </c>
      <c r="AV316">
        <f t="shared" si="23"/>
        <v>3</v>
      </c>
      <c r="AW316">
        <f t="shared" si="24"/>
        <v>9.3923170846247697E-2</v>
      </c>
    </row>
    <row r="317" spans="1:49" x14ac:dyDescent="0.3">
      <c r="A317" t="s">
        <v>379</v>
      </c>
      <c r="B317" t="s">
        <v>39</v>
      </c>
      <c r="C317">
        <v>1</v>
      </c>
      <c r="D317" t="s">
        <v>12</v>
      </c>
      <c r="E317">
        <v>77</v>
      </c>
      <c r="F317">
        <v>70</v>
      </c>
      <c r="G317">
        <v>45</v>
      </c>
      <c r="H317">
        <v>50</v>
      </c>
      <c r="I317">
        <v>38</v>
      </c>
      <c r="J317">
        <v>42</v>
      </c>
      <c r="K317">
        <v>52</v>
      </c>
      <c r="L317">
        <v>46</v>
      </c>
      <c r="M317">
        <v>49</v>
      </c>
      <c r="N317">
        <v>57</v>
      </c>
      <c r="O317">
        <v>52</v>
      </c>
      <c r="P317">
        <v>41</v>
      </c>
      <c r="Q317">
        <v>45</v>
      </c>
      <c r="R317">
        <v>63</v>
      </c>
      <c r="S317">
        <v>50</v>
      </c>
      <c r="T317">
        <v>34</v>
      </c>
      <c r="U317">
        <v>49</v>
      </c>
      <c r="V317">
        <v>41</v>
      </c>
      <c r="W317">
        <v>48</v>
      </c>
      <c r="X317">
        <v>79</v>
      </c>
      <c r="Y317">
        <v>56</v>
      </c>
      <c r="Z317">
        <v>46</v>
      </c>
      <c r="AA317">
        <v>36</v>
      </c>
      <c r="AB317">
        <v>43</v>
      </c>
      <c r="AC317">
        <v>29</v>
      </c>
      <c r="AD317">
        <v>49</v>
      </c>
      <c r="AE317">
        <v>44</v>
      </c>
      <c r="AF317">
        <v>33</v>
      </c>
      <c r="AG317">
        <v>42</v>
      </c>
      <c r="AH317">
        <v>31</v>
      </c>
      <c r="AI317">
        <v>45</v>
      </c>
      <c r="AJ317">
        <v>36</v>
      </c>
      <c r="AK317">
        <v>39</v>
      </c>
      <c r="AL317">
        <v>44</v>
      </c>
      <c r="AM317">
        <v>42</v>
      </c>
      <c r="AN317">
        <v>42</v>
      </c>
      <c r="AO317">
        <v>44</v>
      </c>
      <c r="AP317">
        <v>49</v>
      </c>
      <c r="AQ317">
        <v>1778</v>
      </c>
      <c r="AR317">
        <v>0.56242969628796402</v>
      </c>
      <c r="AS317">
        <f t="shared" si="20"/>
        <v>0.16121615256061386</v>
      </c>
      <c r="AT317">
        <f t="shared" si="21"/>
        <v>1.2961778665873355E-2</v>
      </c>
      <c r="AU317">
        <f t="shared" si="22"/>
        <v>1.2961778665873356</v>
      </c>
      <c r="AV317">
        <f t="shared" si="23"/>
        <v>3</v>
      </c>
      <c r="AW317">
        <f t="shared" si="24"/>
        <v>9.3923170846247697E-2</v>
      </c>
    </row>
    <row r="318" spans="1:49" x14ac:dyDescent="0.3">
      <c r="A318" t="s">
        <v>380</v>
      </c>
      <c r="B318" t="s">
        <v>39</v>
      </c>
      <c r="C318">
        <v>1</v>
      </c>
      <c r="D318" t="s">
        <v>12</v>
      </c>
      <c r="E318">
        <v>40</v>
      </c>
      <c r="F318">
        <v>38</v>
      </c>
      <c r="G318">
        <v>50</v>
      </c>
      <c r="H318">
        <v>47</v>
      </c>
      <c r="I318">
        <v>62</v>
      </c>
      <c r="J318">
        <v>70</v>
      </c>
      <c r="K318">
        <v>84</v>
      </c>
      <c r="L318">
        <v>94</v>
      </c>
      <c r="M318">
        <v>84</v>
      </c>
      <c r="N318">
        <v>116</v>
      </c>
      <c r="O318">
        <v>104</v>
      </c>
      <c r="P318">
        <v>113</v>
      </c>
      <c r="Q318">
        <v>87</v>
      </c>
      <c r="R318">
        <v>123</v>
      </c>
      <c r="S318">
        <v>104</v>
      </c>
      <c r="T318">
        <v>100</v>
      </c>
      <c r="U318">
        <v>90</v>
      </c>
      <c r="V318">
        <v>112</v>
      </c>
      <c r="W318">
        <v>107</v>
      </c>
      <c r="X318">
        <v>54</v>
      </c>
      <c r="Y318">
        <v>45</v>
      </c>
      <c r="Z318">
        <v>52</v>
      </c>
      <c r="AA318">
        <v>41</v>
      </c>
      <c r="AB318">
        <v>60</v>
      </c>
      <c r="AC318">
        <v>64</v>
      </c>
      <c r="AD318">
        <v>74</v>
      </c>
      <c r="AE318">
        <v>85</v>
      </c>
      <c r="AF318">
        <v>79</v>
      </c>
      <c r="AG318">
        <v>113</v>
      </c>
      <c r="AH318">
        <v>98</v>
      </c>
      <c r="AI318">
        <v>117</v>
      </c>
      <c r="AJ318">
        <v>102</v>
      </c>
      <c r="AK318">
        <v>110</v>
      </c>
      <c r="AL318">
        <v>95</v>
      </c>
      <c r="AM318">
        <v>92</v>
      </c>
      <c r="AN318">
        <v>98</v>
      </c>
      <c r="AO318">
        <v>76</v>
      </c>
      <c r="AP318">
        <v>78</v>
      </c>
      <c r="AQ318">
        <v>3158</v>
      </c>
      <c r="AR318">
        <v>0.3166561114629512</v>
      </c>
      <c r="AS318">
        <f t="shared" si="20"/>
        <v>7.6643858270451573E-2</v>
      </c>
      <c r="AT318">
        <f t="shared" si="21"/>
        <v>6.1621662049443065E-3</v>
      </c>
      <c r="AU318">
        <f t="shared" si="22"/>
        <v>0.6162166204944306</v>
      </c>
      <c r="AV318">
        <f t="shared" si="23"/>
        <v>3</v>
      </c>
      <c r="AW318">
        <f t="shared" si="24"/>
        <v>9.3923170846247697E-2</v>
      </c>
    </row>
    <row r="319" spans="1:49" x14ac:dyDescent="0.3">
      <c r="A319" t="s">
        <v>381</v>
      </c>
      <c r="B319" t="s">
        <v>97</v>
      </c>
      <c r="C319">
        <v>2</v>
      </c>
      <c r="D319" t="s">
        <v>24</v>
      </c>
      <c r="E319">
        <v>110</v>
      </c>
      <c r="F319">
        <v>98</v>
      </c>
      <c r="G319">
        <v>80</v>
      </c>
      <c r="H319">
        <v>93</v>
      </c>
      <c r="I319">
        <v>62</v>
      </c>
      <c r="J319">
        <v>60</v>
      </c>
      <c r="K319">
        <v>66</v>
      </c>
      <c r="L319">
        <v>56</v>
      </c>
      <c r="M319">
        <v>62</v>
      </c>
      <c r="N319">
        <v>85</v>
      </c>
      <c r="O319">
        <v>87</v>
      </c>
      <c r="P319">
        <v>75</v>
      </c>
      <c r="Q319">
        <v>96</v>
      </c>
      <c r="R319">
        <v>84</v>
      </c>
      <c r="S319">
        <v>89</v>
      </c>
      <c r="T319">
        <v>103</v>
      </c>
      <c r="U319">
        <v>79</v>
      </c>
      <c r="V319">
        <v>83</v>
      </c>
      <c r="W319">
        <v>97</v>
      </c>
      <c r="X319">
        <v>111</v>
      </c>
      <c r="Y319">
        <v>92</v>
      </c>
      <c r="Z319">
        <v>80</v>
      </c>
      <c r="AA319">
        <v>83</v>
      </c>
      <c r="AB319">
        <v>78</v>
      </c>
      <c r="AC319">
        <v>57</v>
      </c>
      <c r="AD319">
        <v>61</v>
      </c>
      <c r="AE319">
        <v>68</v>
      </c>
      <c r="AF319">
        <v>64</v>
      </c>
      <c r="AG319">
        <v>67</v>
      </c>
      <c r="AH319">
        <v>59</v>
      </c>
      <c r="AI319">
        <v>76</v>
      </c>
      <c r="AJ319">
        <v>66</v>
      </c>
      <c r="AK319">
        <v>95</v>
      </c>
      <c r="AL319">
        <v>77</v>
      </c>
      <c r="AM319">
        <v>99</v>
      </c>
      <c r="AN319">
        <v>84</v>
      </c>
      <c r="AO319">
        <v>106</v>
      </c>
      <c r="AP319">
        <v>91</v>
      </c>
      <c r="AQ319">
        <v>3079</v>
      </c>
      <c r="AR319">
        <v>0.6495615459564793</v>
      </c>
      <c r="AS319">
        <f t="shared" si="20"/>
        <v>0.19119879059495931</v>
      </c>
      <c r="AT319">
        <f t="shared" si="21"/>
        <v>1.5372382763834729E-2</v>
      </c>
      <c r="AU319">
        <f t="shared" si="22"/>
        <v>1.5372382763834729</v>
      </c>
      <c r="AV319">
        <f t="shared" si="23"/>
        <v>3</v>
      </c>
      <c r="AW319">
        <f t="shared" si="24"/>
        <v>9.3923170846247697E-2</v>
      </c>
    </row>
    <row r="320" spans="1:49" x14ac:dyDescent="0.3">
      <c r="A320" t="s">
        <v>382</v>
      </c>
      <c r="B320" t="s">
        <v>225</v>
      </c>
      <c r="C320">
        <v>2</v>
      </c>
      <c r="D320" t="s">
        <v>12</v>
      </c>
      <c r="E320">
        <v>115</v>
      </c>
      <c r="F320">
        <v>126</v>
      </c>
      <c r="G320">
        <v>107</v>
      </c>
      <c r="H320">
        <v>108</v>
      </c>
      <c r="I320">
        <v>127</v>
      </c>
      <c r="J320">
        <v>104</v>
      </c>
      <c r="K320">
        <v>132</v>
      </c>
      <c r="L320">
        <v>118</v>
      </c>
      <c r="M320">
        <v>114</v>
      </c>
      <c r="N320">
        <v>145</v>
      </c>
      <c r="O320">
        <v>154</v>
      </c>
      <c r="P320">
        <v>161</v>
      </c>
      <c r="Q320">
        <v>164</v>
      </c>
      <c r="R320">
        <v>233</v>
      </c>
      <c r="S320">
        <v>252</v>
      </c>
      <c r="T320">
        <v>239</v>
      </c>
      <c r="U320">
        <v>234</v>
      </c>
      <c r="V320">
        <v>215</v>
      </c>
      <c r="W320">
        <v>197</v>
      </c>
      <c r="X320">
        <v>100</v>
      </c>
      <c r="Y320">
        <v>116</v>
      </c>
      <c r="Z320">
        <v>117</v>
      </c>
      <c r="AA320">
        <v>97</v>
      </c>
      <c r="AB320">
        <v>112</v>
      </c>
      <c r="AC320">
        <v>98</v>
      </c>
      <c r="AD320">
        <v>112</v>
      </c>
      <c r="AE320">
        <v>133</v>
      </c>
      <c r="AF320">
        <v>115</v>
      </c>
      <c r="AG320">
        <v>134</v>
      </c>
      <c r="AH320">
        <v>147</v>
      </c>
      <c r="AI320">
        <v>142</v>
      </c>
      <c r="AJ320">
        <v>166</v>
      </c>
      <c r="AK320">
        <v>198</v>
      </c>
      <c r="AL320">
        <v>226</v>
      </c>
      <c r="AM320">
        <v>248</v>
      </c>
      <c r="AN320">
        <v>224</v>
      </c>
      <c r="AO320">
        <v>169</v>
      </c>
      <c r="AP320">
        <v>194</v>
      </c>
      <c r="AQ320">
        <v>5893</v>
      </c>
      <c r="AR320">
        <v>0.3393857118615306</v>
      </c>
      <c r="AS320">
        <f t="shared" si="20"/>
        <v>8.446526208557309E-2</v>
      </c>
      <c r="AT320">
        <f t="shared" si="21"/>
        <v>6.7910070716800768E-3</v>
      </c>
      <c r="AU320">
        <f t="shared" si="22"/>
        <v>0.67910070716800763</v>
      </c>
      <c r="AV320">
        <f t="shared" si="23"/>
        <v>3</v>
      </c>
      <c r="AW320">
        <f t="shared" si="24"/>
        <v>9.3923170846247697E-2</v>
      </c>
    </row>
    <row r="321" spans="1:49" x14ac:dyDescent="0.3">
      <c r="A321" t="s">
        <v>383</v>
      </c>
      <c r="B321" t="s">
        <v>225</v>
      </c>
      <c r="C321">
        <v>1</v>
      </c>
      <c r="D321" t="s">
        <v>12</v>
      </c>
      <c r="E321">
        <v>56</v>
      </c>
      <c r="F321">
        <v>45</v>
      </c>
      <c r="G321">
        <v>34</v>
      </c>
      <c r="H321">
        <v>49</v>
      </c>
      <c r="I321">
        <v>49</v>
      </c>
      <c r="J321">
        <v>44</v>
      </c>
      <c r="K321">
        <v>40</v>
      </c>
      <c r="L321">
        <v>40</v>
      </c>
      <c r="M321">
        <v>48</v>
      </c>
      <c r="N321">
        <v>59</v>
      </c>
      <c r="O321">
        <v>65</v>
      </c>
      <c r="P321">
        <v>51</v>
      </c>
      <c r="Q321">
        <v>80</v>
      </c>
      <c r="R321">
        <v>73</v>
      </c>
      <c r="S321">
        <v>79</v>
      </c>
      <c r="T321">
        <v>73</v>
      </c>
      <c r="U321">
        <v>72</v>
      </c>
      <c r="V321">
        <v>50</v>
      </c>
      <c r="W321">
        <v>75</v>
      </c>
      <c r="X321">
        <v>54</v>
      </c>
      <c r="Y321">
        <v>39</v>
      </c>
      <c r="Z321">
        <v>33</v>
      </c>
      <c r="AA321">
        <v>38</v>
      </c>
      <c r="AB321">
        <v>31</v>
      </c>
      <c r="AC321">
        <v>37</v>
      </c>
      <c r="AD321">
        <v>42</v>
      </c>
      <c r="AE321">
        <v>28</v>
      </c>
      <c r="AF321">
        <v>49</v>
      </c>
      <c r="AG321">
        <v>37</v>
      </c>
      <c r="AH321">
        <v>43</v>
      </c>
      <c r="AI321">
        <v>52</v>
      </c>
      <c r="AJ321">
        <v>55</v>
      </c>
      <c r="AK321">
        <v>61</v>
      </c>
      <c r="AL321">
        <v>62</v>
      </c>
      <c r="AM321">
        <v>59</v>
      </c>
      <c r="AN321">
        <v>66</v>
      </c>
      <c r="AO321">
        <v>82</v>
      </c>
      <c r="AP321">
        <v>88</v>
      </c>
      <c r="AQ321">
        <v>2038</v>
      </c>
      <c r="AR321">
        <v>0.49067713444553479</v>
      </c>
      <c r="AS321">
        <f t="shared" si="20"/>
        <v>0.13652562782203578</v>
      </c>
      <c r="AT321">
        <f t="shared" si="21"/>
        <v>1.0976660476891676E-2</v>
      </c>
      <c r="AU321">
        <f t="shared" si="22"/>
        <v>1.0976660476891675</v>
      </c>
      <c r="AV321">
        <f t="shared" si="23"/>
        <v>3</v>
      </c>
      <c r="AW321">
        <f t="shared" si="24"/>
        <v>9.3923170846247697E-2</v>
      </c>
    </row>
    <row r="322" spans="1:49" x14ac:dyDescent="0.3">
      <c r="A322" t="s">
        <v>384</v>
      </c>
      <c r="B322" t="s">
        <v>143</v>
      </c>
      <c r="C322">
        <v>1</v>
      </c>
      <c r="D322" t="s">
        <v>24</v>
      </c>
      <c r="E322">
        <v>4</v>
      </c>
      <c r="F322">
        <v>12</v>
      </c>
      <c r="G322">
        <v>6</v>
      </c>
      <c r="H322">
        <v>6</v>
      </c>
      <c r="I322">
        <v>11</v>
      </c>
      <c r="J322">
        <v>8</v>
      </c>
      <c r="K322">
        <v>12</v>
      </c>
      <c r="L322">
        <v>11</v>
      </c>
      <c r="M322">
        <v>23</v>
      </c>
      <c r="N322">
        <v>19</v>
      </c>
      <c r="O322">
        <v>28</v>
      </c>
      <c r="P322">
        <v>28</v>
      </c>
      <c r="Q322">
        <v>31</v>
      </c>
      <c r="R322">
        <v>35</v>
      </c>
      <c r="S322">
        <v>32</v>
      </c>
      <c r="T322">
        <v>43</v>
      </c>
      <c r="U322">
        <v>28</v>
      </c>
      <c r="V322">
        <v>38</v>
      </c>
      <c r="W322">
        <v>38</v>
      </c>
      <c r="X322">
        <v>3</v>
      </c>
      <c r="Y322">
        <v>10</v>
      </c>
      <c r="Z322">
        <v>13</v>
      </c>
      <c r="AA322">
        <v>12</v>
      </c>
      <c r="AB322">
        <v>9</v>
      </c>
      <c r="AC322">
        <v>8</v>
      </c>
      <c r="AD322">
        <v>12</v>
      </c>
      <c r="AE322">
        <v>15</v>
      </c>
      <c r="AF322">
        <v>15</v>
      </c>
      <c r="AG322">
        <v>25</v>
      </c>
      <c r="AH322">
        <v>27</v>
      </c>
      <c r="AI322">
        <v>25</v>
      </c>
      <c r="AJ322">
        <v>22</v>
      </c>
      <c r="AK322">
        <v>34</v>
      </c>
      <c r="AL322">
        <v>25</v>
      </c>
      <c r="AM322">
        <v>40</v>
      </c>
      <c r="AN322">
        <v>35</v>
      </c>
      <c r="AO322">
        <v>28</v>
      </c>
      <c r="AP322">
        <v>49</v>
      </c>
      <c r="AQ322">
        <v>820</v>
      </c>
      <c r="AR322">
        <v>1.219512195121951</v>
      </c>
      <c r="AS322">
        <f t="shared" si="20"/>
        <v>0.38732252808452899</v>
      </c>
      <c r="AT322">
        <f t="shared" si="21"/>
        <v>3.1140731257996129E-2</v>
      </c>
      <c r="AU322">
        <f t="shared" si="22"/>
        <v>3.1140731257996128</v>
      </c>
      <c r="AV322">
        <f t="shared" si="23"/>
        <v>3</v>
      </c>
      <c r="AW322">
        <f t="shared" si="24"/>
        <v>9.3923170846247697E-2</v>
      </c>
    </row>
    <row r="323" spans="1:49" x14ac:dyDescent="0.3">
      <c r="A323" t="s">
        <v>385</v>
      </c>
      <c r="B323" t="s">
        <v>182</v>
      </c>
      <c r="C323">
        <v>2</v>
      </c>
      <c r="D323" t="s">
        <v>24</v>
      </c>
      <c r="E323">
        <v>62</v>
      </c>
      <c r="F323">
        <v>57</v>
      </c>
      <c r="G323">
        <v>39</v>
      </c>
      <c r="H323">
        <v>56</v>
      </c>
      <c r="I323">
        <v>49</v>
      </c>
      <c r="J323">
        <v>51</v>
      </c>
      <c r="K323">
        <v>44</v>
      </c>
      <c r="L323">
        <v>64</v>
      </c>
      <c r="M323">
        <v>73</v>
      </c>
      <c r="N323">
        <v>78</v>
      </c>
      <c r="O323">
        <v>67</v>
      </c>
      <c r="P323">
        <v>81</v>
      </c>
      <c r="Q323">
        <v>89</v>
      </c>
      <c r="R323">
        <v>107</v>
      </c>
      <c r="S323">
        <v>90</v>
      </c>
      <c r="T323">
        <v>100</v>
      </c>
      <c r="U323">
        <v>102</v>
      </c>
      <c r="V323">
        <v>83</v>
      </c>
      <c r="W323">
        <v>85</v>
      </c>
      <c r="X323">
        <v>44</v>
      </c>
      <c r="Y323">
        <v>65</v>
      </c>
      <c r="Z323">
        <v>47</v>
      </c>
      <c r="AA323">
        <v>58</v>
      </c>
      <c r="AB323">
        <v>53</v>
      </c>
      <c r="AC323">
        <v>53</v>
      </c>
      <c r="AD323">
        <v>49</v>
      </c>
      <c r="AE323">
        <v>51</v>
      </c>
      <c r="AF323">
        <v>54</v>
      </c>
      <c r="AG323">
        <v>63</v>
      </c>
      <c r="AH323">
        <v>77</v>
      </c>
      <c r="AI323">
        <v>73</v>
      </c>
      <c r="AJ323">
        <v>76</v>
      </c>
      <c r="AK323">
        <v>81</v>
      </c>
      <c r="AL323">
        <v>87</v>
      </c>
      <c r="AM323">
        <v>86</v>
      </c>
      <c r="AN323">
        <v>79</v>
      </c>
      <c r="AO323">
        <v>64</v>
      </c>
      <c r="AP323">
        <v>91</v>
      </c>
      <c r="AQ323">
        <v>2628</v>
      </c>
      <c r="AR323">
        <v>0.76103500761035003</v>
      </c>
      <c r="AS323">
        <f t="shared" ref="AS323:AS386" si="25">(AR323-AW323)/(AV323-AW323)</f>
        <v>0.2295575361503312</v>
      </c>
      <c r="AT323">
        <f t="shared" ref="AT323:AT386" si="26">AS323*0.0804</f>
        <v>1.8456425906486627E-2</v>
      </c>
      <c r="AU323">
        <f t="shared" ref="AU323:AU386" si="27">AT323*100</f>
        <v>1.8456425906486627</v>
      </c>
      <c r="AV323">
        <f t="shared" ref="AV323:AV386" si="28">MAX(AR:AR)</f>
        <v>3</v>
      </c>
      <c r="AW323">
        <f t="shared" ref="AW323:AW386" si="29">MIN(AR:AR)</f>
        <v>9.3923170846247697E-2</v>
      </c>
    </row>
    <row r="324" spans="1:49" x14ac:dyDescent="0.3">
      <c r="A324" t="s">
        <v>386</v>
      </c>
      <c r="B324" t="s">
        <v>91</v>
      </c>
      <c r="C324">
        <v>3</v>
      </c>
      <c r="D324" t="s">
        <v>24</v>
      </c>
      <c r="E324">
        <v>71</v>
      </c>
      <c r="F324">
        <v>56</v>
      </c>
      <c r="G324">
        <v>72</v>
      </c>
      <c r="H324">
        <v>74</v>
      </c>
      <c r="I324">
        <v>75</v>
      </c>
      <c r="J324">
        <v>71</v>
      </c>
      <c r="K324">
        <v>80</v>
      </c>
      <c r="L324">
        <v>92</v>
      </c>
      <c r="M324">
        <v>106</v>
      </c>
      <c r="N324">
        <v>117</v>
      </c>
      <c r="O324">
        <v>109</v>
      </c>
      <c r="P324">
        <v>115</v>
      </c>
      <c r="Q324">
        <v>138</v>
      </c>
      <c r="R324">
        <v>140</v>
      </c>
      <c r="S324">
        <v>126</v>
      </c>
      <c r="T324">
        <v>146</v>
      </c>
      <c r="U324">
        <v>133</v>
      </c>
      <c r="V324">
        <v>126</v>
      </c>
      <c r="W324">
        <v>149</v>
      </c>
      <c r="X324">
        <v>86</v>
      </c>
      <c r="Y324">
        <v>57</v>
      </c>
      <c r="Z324">
        <v>59</v>
      </c>
      <c r="AA324">
        <v>57</v>
      </c>
      <c r="AB324">
        <v>61</v>
      </c>
      <c r="AC324">
        <v>70</v>
      </c>
      <c r="AD324">
        <v>76</v>
      </c>
      <c r="AE324">
        <v>85</v>
      </c>
      <c r="AF324">
        <v>83</v>
      </c>
      <c r="AG324">
        <v>110</v>
      </c>
      <c r="AH324">
        <v>119</v>
      </c>
      <c r="AI324">
        <v>110</v>
      </c>
      <c r="AJ324">
        <v>105</v>
      </c>
      <c r="AK324">
        <v>132</v>
      </c>
      <c r="AL324">
        <v>144</v>
      </c>
      <c r="AM324">
        <v>119</v>
      </c>
      <c r="AN324">
        <v>127</v>
      </c>
      <c r="AO324">
        <v>170</v>
      </c>
      <c r="AP324">
        <v>140</v>
      </c>
      <c r="AQ324">
        <v>3906</v>
      </c>
      <c r="AR324">
        <v>0.76804915514592931</v>
      </c>
      <c r="AS324">
        <f t="shared" si="25"/>
        <v>0.23197115008689795</v>
      </c>
      <c r="AT324">
        <f t="shared" si="26"/>
        <v>1.8650480466986596E-2</v>
      </c>
      <c r="AU324">
        <f t="shared" si="27"/>
        <v>1.8650480466986596</v>
      </c>
      <c r="AV324">
        <f t="shared" si="28"/>
        <v>3</v>
      </c>
      <c r="AW324">
        <f t="shared" si="29"/>
        <v>9.3923170846247697E-2</v>
      </c>
    </row>
    <row r="325" spans="1:49" x14ac:dyDescent="0.3">
      <c r="A325" t="s">
        <v>387</v>
      </c>
      <c r="B325" t="s">
        <v>148</v>
      </c>
      <c r="C325">
        <v>1</v>
      </c>
      <c r="D325" t="s">
        <v>12</v>
      </c>
      <c r="E325">
        <v>89</v>
      </c>
      <c r="F325">
        <v>54</v>
      </c>
      <c r="G325">
        <v>40</v>
      </c>
      <c r="H325">
        <v>49</v>
      </c>
      <c r="I325">
        <v>50</v>
      </c>
      <c r="J325">
        <v>58</v>
      </c>
      <c r="K325">
        <v>56</v>
      </c>
      <c r="L325">
        <v>47</v>
      </c>
      <c r="M325">
        <v>53</v>
      </c>
      <c r="N325">
        <v>39</v>
      </c>
      <c r="O325">
        <v>52</v>
      </c>
      <c r="P325">
        <v>52</v>
      </c>
      <c r="Q325">
        <v>58</v>
      </c>
      <c r="R325">
        <v>50</v>
      </c>
      <c r="S325">
        <v>56</v>
      </c>
      <c r="T325">
        <v>50</v>
      </c>
      <c r="U325">
        <v>47</v>
      </c>
      <c r="V325">
        <v>43</v>
      </c>
      <c r="W325">
        <v>61</v>
      </c>
      <c r="X325">
        <v>81</v>
      </c>
      <c r="Y325">
        <v>50</v>
      </c>
      <c r="Z325">
        <v>45</v>
      </c>
      <c r="AA325">
        <v>50</v>
      </c>
      <c r="AB325">
        <v>62</v>
      </c>
      <c r="AC325">
        <v>40</v>
      </c>
      <c r="AD325">
        <v>32</v>
      </c>
      <c r="AE325">
        <v>47</v>
      </c>
      <c r="AF325">
        <v>38</v>
      </c>
      <c r="AG325">
        <v>50</v>
      </c>
      <c r="AH325">
        <v>53</v>
      </c>
      <c r="AI325">
        <v>49</v>
      </c>
      <c r="AJ325">
        <v>43</v>
      </c>
      <c r="AK325">
        <v>49</v>
      </c>
      <c r="AL325">
        <v>49</v>
      </c>
      <c r="AM325">
        <v>57</v>
      </c>
      <c r="AN325">
        <v>45</v>
      </c>
      <c r="AO325">
        <v>52</v>
      </c>
      <c r="AP325">
        <v>53</v>
      </c>
      <c r="AQ325">
        <v>1949</v>
      </c>
      <c r="AR325">
        <v>0.51308363263211898</v>
      </c>
      <c r="AS325">
        <f t="shared" si="25"/>
        <v>0.14423585005766365</v>
      </c>
      <c r="AT325">
        <f t="shared" si="26"/>
        <v>1.1596562344636158E-2</v>
      </c>
      <c r="AU325">
        <f t="shared" si="27"/>
        <v>1.1596562344636157</v>
      </c>
      <c r="AV325">
        <f t="shared" si="28"/>
        <v>3</v>
      </c>
      <c r="AW325">
        <f t="shared" si="29"/>
        <v>9.3923170846247697E-2</v>
      </c>
    </row>
    <row r="326" spans="1:49" x14ac:dyDescent="0.3">
      <c r="A326" t="s">
        <v>388</v>
      </c>
      <c r="B326" t="s">
        <v>148</v>
      </c>
      <c r="C326">
        <v>2</v>
      </c>
      <c r="D326" t="s">
        <v>12</v>
      </c>
      <c r="E326">
        <v>95</v>
      </c>
      <c r="F326">
        <v>85</v>
      </c>
      <c r="G326">
        <v>66</v>
      </c>
      <c r="H326">
        <v>71</v>
      </c>
      <c r="I326">
        <v>57</v>
      </c>
      <c r="J326">
        <v>61</v>
      </c>
      <c r="K326">
        <v>66</v>
      </c>
      <c r="L326">
        <v>51</v>
      </c>
      <c r="M326">
        <v>55</v>
      </c>
      <c r="N326">
        <v>70</v>
      </c>
      <c r="O326">
        <v>60</v>
      </c>
      <c r="P326">
        <v>71</v>
      </c>
      <c r="Q326">
        <v>64</v>
      </c>
      <c r="R326">
        <v>62</v>
      </c>
      <c r="S326">
        <v>61</v>
      </c>
      <c r="T326">
        <v>71</v>
      </c>
      <c r="U326">
        <v>77</v>
      </c>
      <c r="V326">
        <v>69</v>
      </c>
      <c r="W326">
        <v>80</v>
      </c>
      <c r="X326">
        <v>98</v>
      </c>
      <c r="Y326">
        <v>80</v>
      </c>
      <c r="Z326">
        <v>82</v>
      </c>
      <c r="AA326">
        <v>65</v>
      </c>
      <c r="AB326">
        <v>54</v>
      </c>
      <c r="AC326">
        <v>68</v>
      </c>
      <c r="AD326">
        <v>66</v>
      </c>
      <c r="AE326">
        <v>55</v>
      </c>
      <c r="AF326">
        <v>57</v>
      </c>
      <c r="AG326">
        <v>48</v>
      </c>
      <c r="AH326">
        <v>76</v>
      </c>
      <c r="AI326">
        <v>63</v>
      </c>
      <c r="AJ326">
        <v>42</v>
      </c>
      <c r="AK326">
        <v>63</v>
      </c>
      <c r="AL326">
        <v>59</v>
      </c>
      <c r="AM326">
        <v>77</v>
      </c>
      <c r="AN326">
        <v>44</v>
      </c>
      <c r="AO326">
        <v>73</v>
      </c>
      <c r="AP326">
        <v>77</v>
      </c>
      <c r="AQ326">
        <v>2539</v>
      </c>
      <c r="AR326">
        <v>0.78771169751870818</v>
      </c>
      <c r="AS326">
        <f t="shared" si="25"/>
        <v>0.23873715922179911</v>
      </c>
      <c r="AT326">
        <f t="shared" si="26"/>
        <v>1.919446760143265E-2</v>
      </c>
      <c r="AU326">
        <f t="shared" si="27"/>
        <v>1.919446760143265</v>
      </c>
      <c r="AV326">
        <f t="shared" si="28"/>
        <v>3</v>
      </c>
      <c r="AW326">
        <f t="shared" si="29"/>
        <v>9.3923170846247697E-2</v>
      </c>
    </row>
    <row r="327" spans="1:49" x14ac:dyDescent="0.3">
      <c r="A327" t="s">
        <v>389</v>
      </c>
      <c r="B327" t="s">
        <v>164</v>
      </c>
      <c r="C327">
        <v>1</v>
      </c>
      <c r="D327" t="s">
        <v>24</v>
      </c>
      <c r="E327">
        <v>20</v>
      </c>
      <c r="F327">
        <v>32</v>
      </c>
      <c r="G327">
        <v>21</v>
      </c>
      <c r="H327">
        <v>29</v>
      </c>
      <c r="I327">
        <v>25</v>
      </c>
      <c r="J327">
        <v>21</v>
      </c>
      <c r="K327">
        <v>32</v>
      </c>
      <c r="L327">
        <v>45</v>
      </c>
      <c r="M327">
        <v>47</v>
      </c>
      <c r="N327">
        <v>52</v>
      </c>
      <c r="O327">
        <v>65</v>
      </c>
      <c r="P327">
        <v>53</v>
      </c>
      <c r="Q327">
        <v>63</v>
      </c>
      <c r="R327">
        <v>71</v>
      </c>
      <c r="S327">
        <v>77</v>
      </c>
      <c r="T327">
        <v>56</v>
      </c>
      <c r="U327">
        <v>75</v>
      </c>
      <c r="V327">
        <v>70</v>
      </c>
      <c r="W327">
        <v>75</v>
      </c>
      <c r="X327">
        <v>18</v>
      </c>
      <c r="Y327">
        <v>34</v>
      </c>
      <c r="Z327">
        <v>21</v>
      </c>
      <c r="AA327">
        <v>18</v>
      </c>
      <c r="AB327">
        <v>27</v>
      </c>
      <c r="AC327">
        <v>28</v>
      </c>
      <c r="AD327">
        <v>38</v>
      </c>
      <c r="AE327">
        <v>38</v>
      </c>
      <c r="AF327">
        <v>40</v>
      </c>
      <c r="AG327">
        <v>55</v>
      </c>
      <c r="AH327">
        <v>56</v>
      </c>
      <c r="AI327">
        <v>72</v>
      </c>
      <c r="AJ327">
        <v>58</v>
      </c>
      <c r="AK327">
        <v>53</v>
      </c>
      <c r="AL327">
        <v>60</v>
      </c>
      <c r="AM327">
        <v>62</v>
      </c>
      <c r="AN327">
        <v>66</v>
      </c>
      <c r="AO327">
        <v>71</v>
      </c>
      <c r="AP327">
        <v>80</v>
      </c>
      <c r="AQ327">
        <v>1824</v>
      </c>
      <c r="AR327">
        <v>0.54824561403508765</v>
      </c>
      <c r="AS327">
        <f t="shared" si="25"/>
        <v>0.15633531730168962</v>
      </c>
      <c r="AT327">
        <f t="shared" si="26"/>
        <v>1.2569359511055846E-2</v>
      </c>
      <c r="AU327">
        <f t="shared" si="27"/>
        <v>1.2569359511055846</v>
      </c>
      <c r="AV327">
        <f t="shared" si="28"/>
        <v>3</v>
      </c>
      <c r="AW327">
        <f t="shared" si="29"/>
        <v>9.3923170846247697E-2</v>
      </c>
    </row>
    <row r="328" spans="1:49" x14ac:dyDescent="0.3">
      <c r="A328" t="s">
        <v>390</v>
      </c>
      <c r="B328" t="s">
        <v>164</v>
      </c>
      <c r="C328">
        <v>2</v>
      </c>
      <c r="D328" t="s">
        <v>24</v>
      </c>
      <c r="E328">
        <v>18</v>
      </c>
      <c r="F328">
        <v>24</v>
      </c>
      <c r="G328">
        <v>22</v>
      </c>
      <c r="H328">
        <v>28</v>
      </c>
      <c r="I328">
        <v>17</v>
      </c>
      <c r="J328">
        <v>27</v>
      </c>
      <c r="K328">
        <v>26</v>
      </c>
      <c r="L328">
        <v>35</v>
      </c>
      <c r="M328">
        <v>43</v>
      </c>
      <c r="N328">
        <v>60</v>
      </c>
      <c r="O328">
        <v>48</v>
      </c>
      <c r="P328">
        <v>51</v>
      </c>
      <c r="Q328">
        <v>51</v>
      </c>
      <c r="R328">
        <v>60</v>
      </c>
      <c r="S328">
        <v>68</v>
      </c>
      <c r="T328">
        <v>64</v>
      </c>
      <c r="U328">
        <v>55</v>
      </c>
      <c r="V328">
        <v>62</v>
      </c>
      <c r="W328">
        <v>72</v>
      </c>
      <c r="X328">
        <v>25</v>
      </c>
      <c r="Y328">
        <v>15</v>
      </c>
      <c r="Z328">
        <v>19</v>
      </c>
      <c r="AA328">
        <v>19</v>
      </c>
      <c r="AB328">
        <v>22</v>
      </c>
      <c r="AC328">
        <v>27</v>
      </c>
      <c r="AD328">
        <v>30</v>
      </c>
      <c r="AE328">
        <v>43</v>
      </c>
      <c r="AF328">
        <v>27</v>
      </c>
      <c r="AG328">
        <v>44</v>
      </c>
      <c r="AH328">
        <v>48</v>
      </c>
      <c r="AI328">
        <v>51</v>
      </c>
      <c r="AJ328">
        <v>53</v>
      </c>
      <c r="AK328">
        <v>70</v>
      </c>
      <c r="AL328">
        <v>56</v>
      </c>
      <c r="AM328">
        <v>49</v>
      </c>
      <c r="AN328">
        <v>48</v>
      </c>
      <c r="AO328">
        <v>55</v>
      </c>
      <c r="AP328">
        <v>73</v>
      </c>
      <c r="AQ328">
        <v>1605</v>
      </c>
      <c r="AR328">
        <v>1.246105919003115</v>
      </c>
      <c r="AS328">
        <f t="shared" si="25"/>
        <v>0.39647360200465931</v>
      </c>
      <c r="AT328">
        <f t="shared" si="26"/>
        <v>3.187647760117461E-2</v>
      </c>
      <c r="AU328">
        <f t="shared" si="27"/>
        <v>3.1876477601174611</v>
      </c>
      <c r="AV328">
        <f t="shared" si="28"/>
        <v>3</v>
      </c>
      <c r="AW328">
        <f t="shared" si="29"/>
        <v>9.3923170846247697E-2</v>
      </c>
    </row>
    <row r="329" spans="1:49" x14ac:dyDescent="0.3">
      <c r="A329" t="s">
        <v>391</v>
      </c>
      <c r="B329" t="s">
        <v>85</v>
      </c>
      <c r="C329">
        <v>2</v>
      </c>
      <c r="D329" t="s">
        <v>24</v>
      </c>
      <c r="E329">
        <v>64</v>
      </c>
      <c r="F329">
        <v>49</v>
      </c>
      <c r="G329">
        <v>55</v>
      </c>
      <c r="H329">
        <v>50</v>
      </c>
      <c r="I329">
        <v>63</v>
      </c>
      <c r="J329">
        <v>41</v>
      </c>
      <c r="K329">
        <v>73</v>
      </c>
      <c r="L329">
        <v>63</v>
      </c>
      <c r="M329">
        <v>64</v>
      </c>
      <c r="N329">
        <v>65</v>
      </c>
      <c r="O329">
        <v>58</v>
      </c>
      <c r="P329">
        <v>49</v>
      </c>
      <c r="Q329">
        <v>45</v>
      </c>
      <c r="R329">
        <v>51</v>
      </c>
      <c r="S329">
        <v>57</v>
      </c>
      <c r="T329">
        <v>59</v>
      </c>
      <c r="U329">
        <v>57</v>
      </c>
      <c r="V329">
        <v>58</v>
      </c>
      <c r="W329">
        <v>75</v>
      </c>
      <c r="X329">
        <v>61</v>
      </c>
      <c r="Y329">
        <v>59</v>
      </c>
      <c r="Z329">
        <v>52</v>
      </c>
      <c r="AA329">
        <v>40</v>
      </c>
      <c r="AB329">
        <v>57</v>
      </c>
      <c r="AC329">
        <v>57</v>
      </c>
      <c r="AD329">
        <v>54</v>
      </c>
      <c r="AE329">
        <v>54</v>
      </c>
      <c r="AF329">
        <v>52</v>
      </c>
      <c r="AG329">
        <v>65</v>
      </c>
      <c r="AH329">
        <v>43</v>
      </c>
      <c r="AI329">
        <v>50</v>
      </c>
      <c r="AJ329">
        <v>47</v>
      </c>
      <c r="AK329">
        <v>42</v>
      </c>
      <c r="AL329">
        <v>54</v>
      </c>
      <c r="AM329">
        <v>53</v>
      </c>
      <c r="AN329">
        <v>60</v>
      </c>
      <c r="AO329">
        <v>69</v>
      </c>
      <c r="AP329">
        <v>79</v>
      </c>
      <c r="AQ329">
        <v>2144</v>
      </c>
      <c r="AR329">
        <v>0.93283582089552242</v>
      </c>
      <c r="AS329">
        <f t="shared" si="25"/>
        <v>0.28867531705745214</v>
      </c>
      <c r="AT329">
        <f t="shared" si="26"/>
        <v>2.3209495491419152E-2</v>
      </c>
      <c r="AU329">
        <f t="shared" si="27"/>
        <v>2.3209495491419152</v>
      </c>
      <c r="AV329">
        <f t="shared" si="28"/>
        <v>3</v>
      </c>
      <c r="AW329">
        <f t="shared" si="29"/>
        <v>9.3923170846247697E-2</v>
      </c>
    </row>
    <row r="330" spans="1:49" x14ac:dyDescent="0.3">
      <c r="A330" t="s">
        <v>392</v>
      </c>
      <c r="B330" t="s">
        <v>36</v>
      </c>
      <c r="C330">
        <v>4</v>
      </c>
      <c r="D330" t="s">
        <v>12</v>
      </c>
      <c r="E330">
        <v>95</v>
      </c>
      <c r="F330">
        <v>95</v>
      </c>
      <c r="G330">
        <v>81</v>
      </c>
      <c r="H330">
        <v>82</v>
      </c>
      <c r="I330">
        <v>76</v>
      </c>
      <c r="J330">
        <v>51</v>
      </c>
      <c r="K330">
        <v>88</v>
      </c>
      <c r="L330">
        <v>83</v>
      </c>
      <c r="M330">
        <v>100</v>
      </c>
      <c r="N330">
        <v>114</v>
      </c>
      <c r="O330">
        <v>111</v>
      </c>
      <c r="P330">
        <v>130</v>
      </c>
      <c r="Q330">
        <v>139</v>
      </c>
      <c r="R330">
        <v>163</v>
      </c>
      <c r="S330">
        <v>131</v>
      </c>
      <c r="T330">
        <v>180</v>
      </c>
      <c r="U330">
        <v>141</v>
      </c>
      <c r="V330">
        <v>161</v>
      </c>
      <c r="W330">
        <v>190</v>
      </c>
      <c r="X330">
        <v>85</v>
      </c>
      <c r="Y330">
        <v>74</v>
      </c>
      <c r="Z330">
        <v>44</v>
      </c>
      <c r="AA330">
        <v>56</v>
      </c>
      <c r="AB330">
        <v>88</v>
      </c>
      <c r="AC330">
        <v>70</v>
      </c>
      <c r="AD330">
        <v>84</v>
      </c>
      <c r="AE330">
        <v>80</v>
      </c>
      <c r="AF330">
        <v>91</v>
      </c>
      <c r="AG330">
        <v>113</v>
      </c>
      <c r="AH330">
        <v>131</v>
      </c>
      <c r="AI330">
        <v>131</v>
      </c>
      <c r="AJ330">
        <v>135</v>
      </c>
      <c r="AK330">
        <v>150</v>
      </c>
      <c r="AL330">
        <v>156</v>
      </c>
      <c r="AM330">
        <v>147</v>
      </c>
      <c r="AN330">
        <v>137</v>
      </c>
      <c r="AO330">
        <v>189</v>
      </c>
      <c r="AP330">
        <v>176</v>
      </c>
      <c r="AQ330">
        <v>4348</v>
      </c>
      <c r="AR330">
        <v>0.91996320147194122</v>
      </c>
      <c r="AS330">
        <f t="shared" si="25"/>
        <v>0.28424576471580615</v>
      </c>
      <c r="AT330">
        <f t="shared" si="26"/>
        <v>2.2853359483150815E-2</v>
      </c>
      <c r="AU330">
        <f t="shared" si="27"/>
        <v>2.2853359483150815</v>
      </c>
      <c r="AV330">
        <f t="shared" si="28"/>
        <v>3</v>
      </c>
      <c r="AW330">
        <f t="shared" si="29"/>
        <v>9.3923170846247697E-2</v>
      </c>
    </row>
    <row r="331" spans="1:49" x14ac:dyDescent="0.3">
      <c r="A331" t="s">
        <v>393</v>
      </c>
      <c r="B331" t="s">
        <v>298</v>
      </c>
      <c r="C331">
        <v>4</v>
      </c>
      <c r="D331" t="s">
        <v>17</v>
      </c>
      <c r="E331">
        <v>20</v>
      </c>
      <c r="F331">
        <v>16</v>
      </c>
      <c r="G331">
        <v>18</v>
      </c>
      <c r="H331">
        <v>14</v>
      </c>
      <c r="I331">
        <v>17</v>
      </c>
      <c r="J331">
        <v>24</v>
      </c>
      <c r="K331">
        <v>14</v>
      </c>
      <c r="L331">
        <v>19</v>
      </c>
      <c r="M331">
        <v>23</v>
      </c>
      <c r="N331">
        <v>23</v>
      </c>
      <c r="O331">
        <v>41</v>
      </c>
      <c r="P331">
        <v>35</v>
      </c>
      <c r="Q331">
        <v>47</v>
      </c>
      <c r="R331">
        <v>53</v>
      </c>
      <c r="S331">
        <v>50</v>
      </c>
      <c r="T331">
        <v>63</v>
      </c>
      <c r="U331">
        <v>63</v>
      </c>
      <c r="V331">
        <v>79</v>
      </c>
      <c r="W331">
        <v>62</v>
      </c>
      <c r="X331">
        <v>10</v>
      </c>
      <c r="Y331">
        <v>26</v>
      </c>
      <c r="Z331">
        <v>17</v>
      </c>
      <c r="AA331">
        <v>26</v>
      </c>
      <c r="AB331">
        <v>13</v>
      </c>
      <c r="AC331">
        <v>23</v>
      </c>
      <c r="AD331">
        <v>13</v>
      </c>
      <c r="AE331">
        <v>24</v>
      </c>
      <c r="AF331">
        <v>26</v>
      </c>
      <c r="AG331">
        <v>35</v>
      </c>
      <c r="AH331">
        <v>33</v>
      </c>
      <c r="AI331">
        <v>37</v>
      </c>
      <c r="AJ331">
        <v>33</v>
      </c>
      <c r="AK331">
        <v>42</v>
      </c>
      <c r="AL331">
        <v>31</v>
      </c>
      <c r="AM331">
        <v>43</v>
      </c>
      <c r="AN331">
        <v>47</v>
      </c>
      <c r="AO331">
        <v>48</v>
      </c>
      <c r="AP331">
        <v>64</v>
      </c>
      <c r="AQ331">
        <v>1272</v>
      </c>
      <c r="AR331">
        <v>3</v>
      </c>
      <c r="AS331">
        <f t="shared" si="25"/>
        <v>1</v>
      </c>
      <c r="AT331">
        <f t="shared" si="26"/>
        <v>8.0399999999999999E-2</v>
      </c>
      <c r="AU331">
        <f t="shared" si="27"/>
        <v>8.0399999999999991</v>
      </c>
      <c r="AV331">
        <f t="shared" si="28"/>
        <v>3</v>
      </c>
      <c r="AW331">
        <f t="shared" si="29"/>
        <v>9.3923170846247697E-2</v>
      </c>
    </row>
    <row r="332" spans="1:49" x14ac:dyDescent="0.3">
      <c r="A332" t="s">
        <v>394</v>
      </c>
      <c r="B332" t="s">
        <v>298</v>
      </c>
      <c r="C332">
        <v>1</v>
      </c>
      <c r="D332" t="s">
        <v>17</v>
      </c>
      <c r="E332">
        <v>58</v>
      </c>
      <c r="F332">
        <v>36</v>
      </c>
      <c r="G332">
        <v>26</v>
      </c>
      <c r="H332">
        <v>34</v>
      </c>
      <c r="I332">
        <v>20</v>
      </c>
      <c r="J332">
        <v>44</v>
      </c>
      <c r="K332">
        <v>28</v>
      </c>
      <c r="L332">
        <v>54</v>
      </c>
      <c r="M332">
        <v>48</v>
      </c>
      <c r="N332">
        <v>60</v>
      </c>
      <c r="O332">
        <v>63</v>
      </c>
      <c r="P332">
        <v>78</v>
      </c>
      <c r="Q332">
        <v>56</v>
      </c>
      <c r="R332">
        <v>92</v>
      </c>
      <c r="S332">
        <v>66</v>
      </c>
      <c r="T332">
        <v>85</v>
      </c>
      <c r="U332">
        <v>60</v>
      </c>
      <c r="V332">
        <v>75</v>
      </c>
      <c r="W332">
        <v>86</v>
      </c>
      <c r="X332">
        <v>43</v>
      </c>
      <c r="Y332">
        <v>33</v>
      </c>
      <c r="Z332">
        <v>34</v>
      </c>
      <c r="AA332">
        <v>35</v>
      </c>
      <c r="AB332">
        <v>29</v>
      </c>
      <c r="AC332">
        <v>42</v>
      </c>
      <c r="AD332">
        <v>47</v>
      </c>
      <c r="AE332">
        <v>42</v>
      </c>
      <c r="AF332">
        <v>43</v>
      </c>
      <c r="AG332">
        <v>48</v>
      </c>
      <c r="AH332">
        <v>75</v>
      </c>
      <c r="AI332">
        <v>65</v>
      </c>
      <c r="AJ332">
        <v>61</v>
      </c>
      <c r="AK332">
        <v>56</v>
      </c>
      <c r="AL332">
        <v>63</v>
      </c>
      <c r="AM332">
        <v>60</v>
      </c>
      <c r="AN332">
        <v>56</v>
      </c>
      <c r="AO332">
        <v>72</v>
      </c>
      <c r="AP332">
        <v>69</v>
      </c>
      <c r="AQ332">
        <v>2042</v>
      </c>
      <c r="AR332">
        <v>0.48971596474045048</v>
      </c>
      <c r="AS332">
        <f t="shared" si="25"/>
        <v>0.13619488305457408</v>
      </c>
      <c r="AT332">
        <f t="shared" si="26"/>
        <v>1.0950068597587756E-2</v>
      </c>
      <c r="AU332">
        <f t="shared" si="27"/>
        <v>1.0950068597587757</v>
      </c>
      <c r="AV332">
        <f t="shared" si="28"/>
        <v>3</v>
      </c>
      <c r="AW332">
        <f t="shared" si="29"/>
        <v>9.3923170846247697E-2</v>
      </c>
    </row>
    <row r="333" spans="1:49" x14ac:dyDescent="0.3">
      <c r="A333" t="s">
        <v>395</v>
      </c>
      <c r="B333" t="s">
        <v>298</v>
      </c>
      <c r="C333">
        <v>1</v>
      </c>
      <c r="D333" t="s">
        <v>17</v>
      </c>
      <c r="E333">
        <v>32</v>
      </c>
      <c r="F333">
        <v>25</v>
      </c>
      <c r="G333">
        <v>15</v>
      </c>
      <c r="H333">
        <v>19</v>
      </c>
      <c r="I333">
        <v>22</v>
      </c>
      <c r="J333">
        <v>24</v>
      </c>
      <c r="K333">
        <v>21</v>
      </c>
      <c r="L333">
        <v>29</v>
      </c>
      <c r="M333">
        <v>33</v>
      </c>
      <c r="N333">
        <v>36</v>
      </c>
      <c r="O333">
        <v>35</v>
      </c>
      <c r="P333">
        <v>40</v>
      </c>
      <c r="Q333">
        <v>42</v>
      </c>
      <c r="R333">
        <v>53</v>
      </c>
      <c r="S333">
        <v>39</v>
      </c>
      <c r="T333">
        <v>44</v>
      </c>
      <c r="U333">
        <v>60</v>
      </c>
      <c r="V333">
        <v>54</v>
      </c>
      <c r="W333">
        <v>50</v>
      </c>
      <c r="X333">
        <v>18</v>
      </c>
      <c r="Y333">
        <v>19</v>
      </c>
      <c r="Z333">
        <v>17</v>
      </c>
      <c r="AA333">
        <v>18</v>
      </c>
      <c r="AB333">
        <v>18</v>
      </c>
      <c r="AC333">
        <v>21</v>
      </c>
      <c r="AD333">
        <v>21</v>
      </c>
      <c r="AE333">
        <v>15</v>
      </c>
      <c r="AF333">
        <v>17</v>
      </c>
      <c r="AG333">
        <v>36</v>
      </c>
      <c r="AH333">
        <v>42</v>
      </c>
      <c r="AI333">
        <v>33</v>
      </c>
      <c r="AJ333">
        <v>35</v>
      </c>
      <c r="AK333">
        <v>44</v>
      </c>
      <c r="AL333">
        <v>49</v>
      </c>
      <c r="AM333">
        <v>56</v>
      </c>
      <c r="AN333">
        <v>34</v>
      </c>
      <c r="AO333">
        <v>50</v>
      </c>
      <c r="AP333">
        <v>54</v>
      </c>
      <c r="AQ333">
        <v>1270</v>
      </c>
      <c r="AR333">
        <v>0.78740157480314954</v>
      </c>
      <c r="AS333">
        <f t="shared" si="25"/>
        <v>0.2386304439717247</v>
      </c>
      <c r="AT333">
        <f t="shared" si="26"/>
        <v>1.9185887695326666E-2</v>
      </c>
      <c r="AU333">
        <f t="shared" si="27"/>
        <v>1.9185887695326667</v>
      </c>
      <c r="AV333">
        <f t="shared" si="28"/>
        <v>3</v>
      </c>
      <c r="AW333">
        <f t="shared" si="29"/>
        <v>9.3923170846247697E-2</v>
      </c>
    </row>
    <row r="334" spans="1:49" x14ac:dyDescent="0.3">
      <c r="A334" t="s">
        <v>396</v>
      </c>
      <c r="B334" t="s">
        <v>48</v>
      </c>
      <c r="C334">
        <v>1</v>
      </c>
      <c r="D334" t="s">
        <v>17</v>
      </c>
      <c r="E334">
        <v>5</v>
      </c>
      <c r="F334">
        <v>6</v>
      </c>
      <c r="G334">
        <v>6</v>
      </c>
      <c r="H334">
        <v>4</v>
      </c>
      <c r="I334">
        <v>5</v>
      </c>
      <c r="J334">
        <v>9</v>
      </c>
      <c r="K334">
        <v>2</v>
      </c>
      <c r="L334">
        <v>9</v>
      </c>
      <c r="M334">
        <v>5</v>
      </c>
      <c r="N334">
        <v>11</v>
      </c>
      <c r="O334">
        <v>5</v>
      </c>
      <c r="P334">
        <v>13</v>
      </c>
      <c r="Q334">
        <v>11</v>
      </c>
      <c r="R334">
        <v>11</v>
      </c>
      <c r="S334">
        <v>13</v>
      </c>
      <c r="T334">
        <v>14</v>
      </c>
      <c r="U334">
        <v>6</v>
      </c>
      <c r="V334">
        <v>11</v>
      </c>
      <c r="W334">
        <v>16</v>
      </c>
      <c r="X334">
        <v>2</v>
      </c>
      <c r="Y334">
        <v>3</v>
      </c>
      <c r="Z334">
        <v>10</v>
      </c>
      <c r="AA334">
        <v>3</v>
      </c>
      <c r="AB334">
        <v>4</v>
      </c>
      <c r="AC334">
        <v>6</v>
      </c>
      <c r="AD334">
        <v>2</v>
      </c>
      <c r="AE334">
        <v>9</v>
      </c>
      <c r="AF334">
        <v>5</v>
      </c>
      <c r="AG334">
        <v>7</v>
      </c>
      <c r="AH334">
        <v>2</v>
      </c>
      <c r="AI334">
        <v>14</v>
      </c>
      <c r="AJ334">
        <v>10</v>
      </c>
      <c r="AK334">
        <v>11</v>
      </c>
      <c r="AL334">
        <v>16</v>
      </c>
      <c r="AM334">
        <v>8</v>
      </c>
      <c r="AN334">
        <v>11</v>
      </c>
      <c r="AO334">
        <v>14</v>
      </c>
      <c r="AP334">
        <v>14</v>
      </c>
      <c r="AQ334">
        <v>313</v>
      </c>
      <c r="AR334">
        <v>3</v>
      </c>
      <c r="AS334">
        <f t="shared" si="25"/>
        <v>1</v>
      </c>
      <c r="AT334">
        <f t="shared" si="26"/>
        <v>8.0399999999999999E-2</v>
      </c>
      <c r="AU334">
        <f t="shared" si="27"/>
        <v>8.0399999999999991</v>
      </c>
      <c r="AV334">
        <f t="shared" si="28"/>
        <v>3</v>
      </c>
      <c r="AW334">
        <f t="shared" si="29"/>
        <v>9.3923170846247697E-2</v>
      </c>
    </row>
    <row r="335" spans="1:49" x14ac:dyDescent="0.3">
      <c r="A335" t="s">
        <v>397</v>
      </c>
      <c r="B335" t="s">
        <v>16</v>
      </c>
      <c r="C335">
        <v>5</v>
      </c>
      <c r="D335" t="s">
        <v>17</v>
      </c>
      <c r="E335">
        <v>51</v>
      </c>
      <c r="F335">
        <v>58</v>
      </c>
      <c r="G335">
        <v>48</v>
      </c>
      <c r="H335">
        <v>41</v>
      </c>
      <c r="I335">
        <v>48</v>
      </c>
      <c r="J335">
        <v>57</v>
      </c>
      <c r="K335">
        <v>57</v>
      </c>
      <c r="L335">
        <v>63</v>
      </c>
      <c r="M335">
        <v>73</v>
      </c>
      <c r="N335">
        <v>76</v>
      </c>
      <c r="O335">
        <v>117</v>
      </c>
      <c r="P335">
        <v>107</v>
      </c>
      <c r="Q335">
        <v>110</v>
      </c>
      <c r="R335">
        <v>123</v>
      </c>
      <c r="S335">
        <v>131</v>
      </c>
      <c r="T335">
        <v>146</v>
      </c>
      <c r="U335">
        <v>123</v>
      </c>
      <c r="V335">
        <v>148</v>
      </c>
      <c r="W335">
        <v>150</v>
      </c>
      <c r="X335">
        <v>46</v>
      </c>
      <c r="Y335">
        <v>53</v>
      </c>
      <c r="Z335">
        <v>36</v>
      </c>
      <c r="AA335">
        <v>39</v>
      </c>
      <c r="AB335">
        <v>44</v>
      </c>
      <c r="AC335">
        <v>59</v>
      </c>
      <c r="AD335">
        <v>50</v>
      </c>
      <c r="AE335">
        <v>62</v>
      </c>
      <c r="AF335">
        <v>72</v>
      </c>
      <c r="AG335">
        <v>87</v>
      </c>
      <c r="AH335">
        <v>108</v>
      </c>
      <c r="AI335">
        <v>110</v>
      </c>
      <c r="AJ335">
        <v>99</v>
      </c>
      <c r="AK335">
        <v>109</v>
      </c>
      <c r="AL335">
        <v>124</v>
      </c>
      <c r="AM335">
        <v>112</v>
      </c>
      <c r="AN335">
        <v>115</v>
      </c>
      <c r="AO335">
        <v>137</v>
      </c>
      <c r="AP335">
        <v>157</v>
      </c>
      <c r="AQ335">
        <v>3346</v>
      </c>
      <c r="AR335">
        <v>1.494321578003587</v>
      </c>
      <c r="AS335">
        <f t="shared" si="25"/>
        <v>0.48188622995391839</v>
      </c>
      <c r="AT335">
        <f t="shared" si="26"/>
        <v>3.8743652888295038E-2</v>
      </c>
      <c r="AU335">
        <f t="shared" si="27"/>
        <v>3.8743652888295039</v>
      </c>
      <c r="AV335">
        <f t="shared" si="28"/>
        <v>3</v>
      </c>
      <c r="AW335">
        <f t="shared" si="29"/>
        <v>9.3923170846247697E-2</v>
      </c>
    </row>
    <row r="336" spans="1:49" x14ac:dyDescent="0.3">
      <c r="A336" t="s">
        <v>398</v>
      </c>
      <c r="B336" t="s">
        <v>72</v>
      </c>
      <c r="C336">
        <v>1</v>
      </c>
      <c r="D336" t="s">
        <v>12</v>
      </c>
      <c r="E336">
        <v>158</v>
      </c>
      <c r="F336">
        <v>166</v>
      </c>
      <c r="G336">
        <v>145</v>
      </c>
      <c r="H336">
        <v>100</v>
      </c>
      <c r="I336">
        <v>144</v>
      </c>
      <c r="J336">
        <v>140</v>
      </c>
      <c r="K336">
        <v>157</v>
      </c>
      <c r="L336">
        <v>187</v>
      </c>
      <c r="M336">
        <v>177</v>
      </c>
      <c r="N336">
        <v>185</v>
      </c>
      <c r="O336">
        <v>252</v>
      </c>
      <c r="P336">
        <v>222</v>
      </c>
      <c r="Q336">
        <v>220</v>
      </c>
      <c r="R336">
        <v>265</v>
      </c>
      <c r="S336">
        <v>208</v>
      </c>
      <c r="T336">
        <v>236</v>
      </c>
      <c r="U336">
        <v>183</v>
      </c>
      <c r="V336">
        <v>201</v>
      </c>
      <c r="W336">
        <v>250</v>
      </c>
      <c r="X336">
        <v>149</v>
      </c>
      <c r="Y336">
        <v>137</v>
      </c>
      <c r="Z336">
        <v>147</v>
      </c>
      <c r="AA336">
        <v>141</v>
      </c>
      <c r="AB336">
        <v>142</v>
      </c>
      <c r="AC336">
        <v>130</v>
      </c>
      <c r="AD336">
        <v>166</v>
      </c>
      <c r="AE336">
        <v>145</v>
      </c>
      <c r="AF336">
        <v>182</v>
      </c>
      <c r="AG336">
        <v>177</v>
      </c>
      <c r="AH336">
        <v>212</v>
      </c>
      <c r="AI336">
        <v>219</v>
      </c>
      <c r="AJ336">
        <v>187</v>
      </c>
      <c r="AK336">
        <v>219</v>
      </c>
      <c r="AL336">
        <v>228</v>
      </c>
      <c r="AM336">
        <v>214</v>
      </c>
      <c r="AN336">
        <v>168</v>
      </c>
      <c r="AO336">
        <v>179</v>
      </c>
      <c r="AP336">
        <v>211</v>
      </c>
      <c r="AQ336">
        <v>6949</v>
      </c>
      <c r="AR336">
        <v>0.14390559792775939</v>
      </c>
      <c r="AS336">
        <f t="shared" si="25"/>
        <v>1.7199279310198604E-2</v>
      </c>
      <c r="AT336">
        <f t="shared" si="26"/>
        <v>1.3828220565399677E-3</v>
      </c>
      <c r="AU336">
        <f t="shared" si="27"/>
        <v>0.13828220565399676</v>
      </c>
      <c r="AV336">
        <f t="shared" si="28"/>
        <v>3</v>
      </c>
      <c r="AW336">
        <f t="shared" si="29"/>
        <v>9.3923170846247697E-2</v>
      </c>
    </row>
    <row r="337" spans="1:49" x14ac:dyDescent="0.3">
      <c r="A337" t="s">
        <v>399</v>
      </c>
      <c r="B337" t="s">
        <v>89</v>
      </c>
      <c r="C337">
        <v>2</v>
      </c>
      <c r="D337" t="s">
        <v>24</v>
      </c>
      <c r="E337">
        <v>100</v>
      </c>
      <c r="F337">
        <v>104</v>
      </c>
      <c r="G337">
        <v>95</v>
      </c>
      <c r="H337">
        <v>115</v>
      </c>
      <c r="I337">
        <v>116</v>
      </c>
      <c r="J337">
        <v>146</v>
      </c>
      <c r="K337">
        <v>143</v>
      </c>
      <c r="L337">
        <v>131</v>
      </c>
      <c r="M337">
        <v>163</v>
      </c>
      <c r="N337">
        <v>166</v>
      </c>
      <c r="O337">
        <v>199</v>
      </c>
      <c r="P337">
        <v>186</v>
      </c>
      <c r="Q337">
        <v>189</v>
      </c>
      <c r="R337">
        <v>231</v>
      </c>
      <c r="S337">
        <v>220</v>
      </c>
      <c r="T337">
        <v>195</v>
      </c>
      <c r="U337">
        <v>195</v>
      </c>
      <c r="V337">
        <v>216</v>
      </c>
      <c r="W337">
        <v>207</v>
      </c>
      <c r="X337">
        <v>93</v>
      </c>
      <c r="Y337">
        <v>106</v>
      </c>
      <c r="Z337">
        <v>101</v>
      </c>
      <c r="AA337">
        <v>116</v>
      </c>
      <c r="AB337">
        <v>112</v>
      </c>
      <c r="AC337">
        <v>113</v>
      </c>
      <c r="AD337">
        <v>132</v>
      </c>
      <c r="AE337">
        <v>150</v>
      </c>
      <c r="AF337">
        <v>134</v>
      </c>
      <c r="AG337">
        <v>164</v>
      </c>
      <c r="AH337">
        <v>180</v>
      </c>
      <c r="AI337">
        <v>176</v>
      </c>
      <c r="AJ337">
        <v>175</v>
      </c>
      <c r="AK337">
        <v>211</v>
      </c>
      <c r="AL337">
        <v>200</v>
      </c>
      <c r="AM337">
        <v>171</v>
      </c>
      <c r="AN337">
        <v>145</v>
      </c>
      <c r="AO337">
        <v>176</v>
      </c>
      <c r="AP337">
        <v>201</v>
      </c>
      <c r="AQ337">
        <v>5973</v>
      </c>
      <c r="AR337">
        <v>0.33484011384563861</v>
      </c>
      <c r="AS337">
        <f t="shared" si="25"/>
        <v>8.2901092146812155E-2</v>
      </c>
      <c r="AT337">
        <f t="shared" si="26"/>
        <v>6.665247808603697E-3</v>
      </c>
      <c r="AU337">
        <f t="shared" si="27"/>
        <v>0.6665247808603697</v>
      </c>
      <c r="AV337">
        <f t="shared" si="28"/>
        <v>3</v>
      </c>
      <c r="AW337">
        <f t="shared" si="29"/>
        <v>9.3923170846247697E-2</v>
      </c>
    </row>
    <row r="338" spans="1:49" x14ac:dyDescent="0.3">
      <c r="A338" t="s">
        <v>400</v>
      </c>
      <c r="B338" t="s">
        <v>148</v>
      </c>
      <c r="C338">
        <v>1</v>
      </c>
      <c r="D338" t="s">
        <v>12</v>
      </c>
      <c r="E338">
        <v>76</v>
      </c>
      <c r="F338">
        <v>65</v>
      </c>
      <c r="G338">
        <v>42</v>
      </c>
      <c r="H338">
        <v>52</v>
      </c>
      <c r="I338">
        <v>53</v>
      </c>
      <c r="J338">
        <v>45</v>
      </c>
      <c r="K338">
        <v>46</v>
      </c>
      <c r="L338">
        <v>39</v>
      </c>
      <c r="M338">
        <v>58</v>
      </c>
      <c r="N338">
        <v>43</v>
      </c>
      <c r="O338">
        <v>69</v>
      </c>
      <c r="P338">
        <v>43</v>
      </c>
      <c r="Q338">
        <v>54</v>
      </c>
      <c r="R338">
        <v>56</v>
      </c>
      <c r="S338">
        <v>49</v>
      </c>
      <c r="T338">
        <v>49</v>
      </c>
      <c r="U338">
        <v>55</v>
      </c>
      <c r="V338">
        <v>52</v>
      </c>
      <c r="W338">
        <v>88</v>
      </c>
      <c r="X338">
        <v>60</v>
      </c>
      <c r="Y338">
        <v>57</v>
      </c>
      <c r="Z338">
        <v>48</v>
      </c>
      <c r="AA338">
        <v>48</v>
      </c>
      <c r="AB338">
        <v>44</v>
      </c>
      <c r="AC338">
        <v>44</v>
      </c>
      <c r="AD338">
        <v>49</v>
      </c>
      <c r="AE338">
        <v>53</v>
      </c>
      <c r="AF338">
        <v>36</v>
      </c>
      <c r="AG338">
        <v>54</v>
      </c>
      <c r="AH338">
        <v>41</v>
      </c>
      <c r="AI338">
        <v>57</v>
      </c>
      <c r="AJ338">
        <v>40</v>
      </c>
      <c r="AK338">
        <v>45</v>
      </c>
      <c r="AL338">
        <v>55</v>
      </c>
      <c r="AM338">
        <v>44</v>
      </c>
      <c r="AN338">
        <v>39</v>
      </c>
      <c r="AO338">
        <v>57</v>
      </c>
      <c r="AP338">
        <v>41</v>
      </c>
      <c r="AQ338">
        <v>1946</v>
      </c>
      <c r="AR338">
        <v>0.51387461459403905</v>
      </c>
      <c r="AS338">
        <f t="shared" si="25"/>
        <v>0.14450803211217267</v>
      </c>
      <c r="AT338">
        <f t="shared" si="26"/>
        <v>1.1618445781818683E-2</v>
      </c>
      <c r="AU338">
        <f t="shared" si="27"/>
        <v>1.1618445781818683</v>
      </c>
      <c r="AV338">
        <f t="shared" si="28"/>
        <v>3</v>
      </c>
      <c r="AW338">
        <f t="shared" si="29"/>
        <v>9.3923170846247697E-2</v>
      </c>
    </row>
    <row r="339" spans="1:49" x14ac:dyDescent="0.3">
      <c r="A339" t="s">
        <v>401</v>
      </c>
      <c r="B339" t="s">
        <v>402</v>
      </c>
      <c r="C339">
        <v>1</v>
      </c>
      <c r="D339" t="s">
        <v>17</v>
      </c>
      <c r="E339">
        <v>4</v>
      </c>
      <c r="F339">
        <v>13</v>
      </c>
      <c r="G339">
        <v>1</v>
      </c>
      <c r="H339">
        <v>7</v>
      </c>
      <c r="I339">
        <v>8</v>
      </c>
      <c r="J339">
        <v>8</v>
      </c>
      <c r="K339">
        <v>7</v>
      </c>
      <c r="L339">
        <v>11</v>
      </c>
      <c r="M339">
        <v>10</v>
      </c>
      <c r="N339">
        <v>15</v>
      </c>
      <c r="O339">
        <v>15</v>
      </c>
      <c r="P339">
        <v>17</v>
      </c>
      <c r="Q339">
        <v>24</v>
      </c>
      <c r="R339">
        <v>19</v>
      </c>
      <c r="S339">
        <v>23</v>
      </c>
      <c r="T339">
        <v>27</v>
      </c>
      <c r="U339">
        <v>26</v>
      </c>
      <c r="V339">
        <v>21</v>
      </c>
      <c r="W339">
        <v>21</v>
      </c>
      <c r="X339">
        <v>9</v>
      </c>
      <c r="Y339">
        <v>7</v>
      </c>
      <c r="Z339">
        <v>8</v>
      </c>
      <c r="AA339">
        <v>9</v>
      </c>
      <c r="AB339">
        <v>6</v>
      </c>
      <c r="AC339">
        <v>18</v>
      </c>
      <c r="AD339">
        <v>9</v>
      </c>
      <c r="AE339">
        <v>9</v>
      </c>
      <c r="AF339">
        <v>6</v>
      </c>
      <c r="AG339">
        <v>18</v>
      </c>
      <c r="AH339">
        <v>17</v>
      </c>
      <c r="AI339">
        <v>14</v>
      </c>
      <c r="AJ339">
        <v>10</v>
      </c>
      <c r="AK339">
        <v>16</v>
      </c>
      <c r="AL339">
        <v>19</v>
      </c>
      <c r="AM339">
        <v>21</v>
      </c>
      <c r="AN339">
        <v>18</v>
      </c>
      <c r="AO339">
        <v>17</v>
      </c>
      <c r="AP339">
        <v>19</v>
      </c>
      <c r="AQ339">
        <v>527</v>
      </c>
      <c r="AR339">
        <v>1.8975332068311199</v>
      </c>
      <c r="AS339">
        <f t="shared" si="25"/>
        <v>0.6206339825193411</v>
      </c>
      <c r="AT339">
        <f t="shared" si="26"/>
        <v>4.9898972194555025E-2</v>
      </c>
      <c r="AU339">
        <f t="shared" si="27"/>
        <v>4.9898972194555027</v>
      </c>
      <c r="AV339">
        <f t="shared" si="28"/>
        <v>3</v>
      </c>
      <c r="AW339">
        <f t="shared" si="29"/>
        <v>9.3923170846247697E-2</v>
      </c>
    </row>
    <row r="340" spans="1:49" x14ac:dyDescent="0.3">
      <c r="A340" t="s">
        <v>403</v>
      </c>
      <c r="B340" t="s">
        <v>50</v>
      </c>
      <c r="C340">
        <v>3</v>
      </c>
      <c r="D340" t="s">
        <v>12</v>
      </c>
      <c r="E340">
        <v>108</v>
      </c>
      <c r="F340">
        <v>84</v>
      </c>
      <c r="G340">
        <v>70</v>
      </c>
      <c r="H340">
        <v>94</v>
      </c>
      <c r="I340">
        <v>97</v>
      </c>
      <c r="J340">
        <v>89</v>
      </c>
      <c r="K340">
        <v>92</v>
      </c>
      <c r="L340">
        <v>118</v>
      </c>
      <c r="M340">
        <v>127</v>
      </c>
      <c r="N340">
        <v>173</v>
      </c>
      <c r="O340">
        <v>156</v>
      </c>
      <c r="P340">
        <v>138</v>
      </c>
      <c r="Q340">
        <v>142</v>
      </c>
      <c r="R340">
        <v>146</v>
      </c>
      <c r="S340">
        <v>171</v>
      </c>
      <c r="T340">
        <v>182</v>
      </c>
      <c r="U340">
        <v>142</v>
      </c>
      <c r="V340">
        <v>152</v>
      </c>
      <c r="W340">
        <v>197</v>
      </c>
      <c r="X340">
        <v>85</v>
      </c>
      <c r="Y340">
        <v>85</v>
      </c>
      <c r="Z340">
        <v>78</v>
      </c>
      <c r="AA340">
        <v>94</v>
      </c>
      <c r="AB340">
        <v>89</v>
      </c>
      <c r="AC340">
        <v>94</v>
      </c>
      <c r="AD340">
        <v>89</v>
      </c>
      <c r="AE340">
        <v>92</v>
      </c>
      <c r="AF340">
        <v>124</v>
      </c>
      <c r="AG340">
        <v>129</v>
      </c>
      <c r="AH340">
        <v>129</v>
      </c>
      <c r="AI340">
        <v>147</v>
      </c>
      <c r="AJ340">
        <v>121</v>
      </c>
      <c r="AK340">
        <v>129</v>
      </c>
      <c r="AL340">
        <v>149</v>
      </c>
      <c r="AM340">
        <v>141</v>
      </c>
      <c r="AN340">
        <v>143</v>
      </c>
      <c r="AO340">
        <v>145</v>
      </c>
      <c r="AP340">
        <v>149</v>
      </c>
      <c r="AQ340">
        <v>4690</v>
      </c>
      <c r="AR340">
        <v>0.63965884861407252</v>
      </c>
      <c r="AS340">
        <f t="shared" si="25"/>
        <v>0.18779120782114445</v>
      </c>
      <c r="AT340">
        <f t="shared" si="26"/>
        <v>1.5098413108820014E-2</v>
      </c>
      <c r="AU340">
        <f t="shared" si="27"/>
        <v>1.5098413108820012</v>
      </c>
      <c r="AV340">
        <f t="shared" si="28"/>
        <v>3</v>
      </c>
      <c r="AW340">
        <f t="shared" si="29"/>
        <v>9.3923170846247697E-2</v>
      </c>
    </row>
    <row r="341" spans="1:49" x14ac:dyDescent="0.3">
      <c r="A341" t="s">
        <v>404</v>
      </c>
      <c r="B341" t="s">
        <v>109</v>
      </c>
      <c r="C341">
        <v>7</v>
      </c>
      <c r="D341" t="s">
        <v>24</v>
      </c>
      <c r="E341">
        <v>82</v>
      </c>
      <c r="F341">
        <v>86</v>
      </c>
      <c r="G341">
        <v>74</v>
      </c>
      <c r="H341">
        <v>85</v>
      </c>
      <c r="I341">
        <v>82</v>
      </c>
      <c r="J341">
        <v>112</v>
      </c>
      <c r="K341">
        <v>105</v>
      </c>
      <c r="L341">
        <v>117</v>
      </c>
      <c r="M341">
        <v>129</v>
      </c>
      <c r="N341">
        <v>174</v>
      </c>
      <c r="O341">
        <v>192</v>
      </c>
      <c r="P341">
        <v>200</v>
      </c>
      <c r="Q341">
        <v>230</v>
      </c>
      <c r="R341">
        <v>262</v>
      </c>
      <c r="S341">
        <v>314</v>
      </c>
      <c r="T341">
        <v>273</v>
      </c>
      <c r="U341">
        <v>289</v>
      </c>
      <c r="V341">
        <v>314</v>
      </c>
      <c r="W341">
        <v>330</v>
      </c>
      <c r="X341">
        <v>84</v>
      </c>
      <c r="Y341">
        <v>78</v>
      </c>
      <c r="Z341">
        <v>90</v>
      </c>
      <c r="AA341">
        <v>73</v>
      </c>
      <c r="AB341">
        <v>83</v>
      </c>
      <c r="AC341">
        <v>98</v>
      </c>
      <c r="AD341">
        <v>99</v>
      </c>
      <c r="AE341">
        <v>121</v>
      </c>
      <c r="AF341">
        <v>126</v>
      </c>
      <c r="AG341">
        <v>165</v>
      </c>
      <c r="AH341">
        <v>185</v>
      </c>
      <c r="AI341">
        <v>218</v>
      </c>
      <c r="AJ341">
        <v>194</v>
      </c>
      <c r="AK341">
        <v>254</v>
      </c>
      <c r="AL341">
        <v>254</v>
      </c>
      <c r="AM341">
        <v>280</v>
      </c>
      <c r="AN341">
        <v>258</v>
      </c>
      <c r="AO341">
        <v>288</v>
      </c>
      <c r="AP341">
        <v>326</v>
      </c>
      <c r="AQ341">
        <v>6724</v>
      </c>
      <c r="AR341">
        <v>1.041046995835812</v>
      </c>
      <c r="AS341">
        <f t="shared" si="25"/>
        <v>0.32591148846720824</v>
      </c>
      <c r="AT341">
        <f t="shared" si="26"/>
        <v>2.6203283672763544E-2</v>
      </c>
      <c r="AU341">
        <f t="shared" si="27"/>
        <v>2.6203283672763544</v>
      </c>
      <c r="AV341">
        <f t="shared" si="28"/>
        <v>3</v>
      </c>
      <c r="AW341">
        <f t="shared" si="29"/>
        <v>9.3923170846247697E-2</v>
      </c>
    </row>
    <row r="342" spans="1:49" x14ac:dyDescent="0.3">
      <c r="A342" t="s">
        <v>405</v>
      </c>
      <c r="B342" t="s">
        <v>11</v>
      </c>
      <c r="C342">
        <v>2</v>
      </c>
      <c r="D342" t="s">
        <v>12</v>
      </c>
      <c r="E342">
        <v>61</v>
      </c>
      <c r="F342">
        <v>49</v>
      </c>
      <c r="G342">
        <v>45</v>
      </c>
      <c r="H342">
        <v>38</v>
      </c>
      <c r="I342">
        <v>46</v>
      </c>
      <c r="J342">
        <v>37</v>
      </c>
      <c r="K342">
        <v>41</v>
      </c>
      <c r="L342">
        <v>41</v>
      </c>
      <c r="M342">
        <v>44</v>
      </c>
      <c r="N342">
        <v>52</v>
      </c>
      <c r="O342">
        <v>41</v>
      </c>
      <c r="P342">
        <v>46</v>
      </c>
      <c r="Q342">
        <v>41</v>
      </c>
      <c r="R342">
        <v>44</v>
      </c>
      <c r="S342">
        <v>44</v>
      </c>
      <c r="T342">
        <v>56</v>
      </c>
      <c r="U342">
        <v>46</v>
      </c>
      <c r="V342">
        <v>59</v>
      </c>
      <c r="W342">
        <v>56</v>
      </c>
      <c r="X342">
        <v>55</v>
      </c>
      <c r="Y342">
        <v>49</v>
      </c>
      <c r="Z342">
        <v>30</v>
      </c>
      <c r="AA342">
        <v>37</v>
      </c>
      <c r="AB342">
        <v>29</v>
      </c>
      <c r="AC342">
        <v>37</v>
      </c>
      <c r="AD342">
        <v>37</v>
      </c>
      <c r="AE342">
        <v>43</v>
      </c>
      <c r="AF342">
        <v>35</v>
      </c>
      <c r="AG342">
        <v>49</v>
      </c>
      <c r="AH342">
        <v>44</v>
      </c>
      <c r="AI342">
        <v>33</v>
      </c>
      <c r="AJ342">
        <v>45</v>
      </c>
      <c r="AK342">
        <v>54</v>
      </c>
      <c r="AL342">
        <v>60</v>
      </c>
      <c r="AM342">
        <v>49</v>
      </c>
      <c r="AN342">
        <v>51</v>
      </c>
      <c r="AO342">
        <v>60</v>
      </c>
      <c r="AP342">
        <v>57</v>
      </c>
      <c r="AQ342">
        <v>1741</v>
      </c>
      <c r="AR342">
        <v>1.1487650775416429</v>
      </c>
      <c r="AS342">
        <f t="shared" si="25"/>
        <v>0.36297798327739478</v>
      </c>
      <c r="AT342">
        <f t="shared" si="26"/>
        <v>2.9183429855502541E-2</v>
      </c>
      <c r="AU342">
        <f t="shared" si="27"/>
        <v>2.9183429855502538</v>
      </c>
      <c r="AV342">
        <f t="shared" si="28"/>
        <v>3</v>
      </c>
      <c r="AW342">
        <f t="shared" si="29"/>
        <v>9.3923170846247697E-2</v>
      </c>
    </row>
    <row r="343" spans="1:49" x14ac:dyDescent="0.3">
      <c r="A343" t="s">
        <v>406</v>
      </c>
      <c r="B343" t="s">
        <v>11</v>
      </c>
      <c r="C343">
        <v>1</v>
      </c>
      <c r="D343" t="s">
        <v>12</v>
      </c>
      <c r="E343">
        <v>68</v>
      </c>
      <c r="F343">
        <v>69</v>
      </c>
      <c r="G343">
        <v>60</v>
      </c>
      <c r="H343">
        <v>75</v>
      </c>
      <c r="I343">
        <v>72</v>
      </c>
      <c r="J343">
        <v>85</v>
      </c>
      <c r="K343">
        <v>76</v>
      </c>
      <c r="L343">
        <v>98</v>
      </c>
      <c r="M343">
        <v>92</v>
      </c>
      <c r="N343">
        <v>115</v>
      </c>
      <c r="O343">
        <v>156</v>
      </c>
      <c r="P343">
        <v>160</v>
      </c>
      <c r="Q343">
        <v>182</v>
      </c>
      <c r="R343">
        <v>175</v>
      </c>
      <c r="S343">
        <v>232</v>
      </c>
      <c r="T343">
        <v>238</v>
      </c>
      <c r="U343">
        <v>188</v>
      </c>
      <c r="V343">
        <v>183</v>
      </c>
      <c r="W343">
        <v>185</v>
      </c>
      <c r="X343">
        <v>73</v>
      </c>
      <c r="Y343">
        <v>82</v>
      </c>
      <c r="Z343">
        <v>65</v>
      </c>
      <c r="AA343">
        <v>53</v>
      </c>
      <c r="AB343">
        <v>70</v>
      </c>
      <c r="AC343">
        <v>67</v>
      </c>
      <c r="AD343">
        <v>73</v>
      </c>
      <c r="AE343">
        <v>106</v>
      </c>
      <c r="AF343">
        <v>100</v>
      </c>
      <c r="AG343">
        <v>108</v>
      </c>
      <c r="AH343">
        <v>132</v>
      </c>
      <c r="AI343">
        <v>145</v>
      </c>
      <c r="AJ343">
        <v>180</v>
      </c>
      <c r="AK343">
        <v>205</v>
      </c>
      <c r="AL343">
        <v>180</v>
      </c>
      <c r="AM343">
        <v>228</v>
      </c>
      <c r="AN343">
        <v>188</v>
      </c>
      <c r="AO343">
        <v>174</v>
      </c>
      <c r="AP343">
        <v>195</v>
      </c>
      <c r="AQ343">
        <v>4933</v>
      </c>
      <c r="AR343">
        <v>0.2027163997567403</v>
      </c>
      <c r="AS343">
        <f t="shared" si="25"/>
        <v>3.7436459978992753E-2</v>
      </c>
      <c r="AT343">
        <f t="shared" si="26"/>
        <v>3.0098913823110173E-3</v>
      </c>
      <c r="AU343">
        <f t="shared" si="27"/>
        <v>0.30098913823110174</v>
      </c>
      <c r="AV343">
        <f t="shared" si="28"/>
        <v>3</v>
      </c>
      <c r="AW343">
        <f t="shared" si="29"/>
        <v>9.3923170846247697E-2</v>
      </c>
    </row>
    <row r="344" spans="1:49" x14ac:dyDescent="0.3">
      <c r="A344" t="s">
        <v>407</v>
      </c>
      <c r="B344" t="s">
        <v>16</v>
      </c>
      <c r="C344">
        <v>1</v>
      </c>
      <c r="D344" t="s">
        <v>17</v>
      </c>
      <c r="E344">
        <v>66</v>
      </c>
      <c r="F344">
        <v>80</v>
      </c>
      <c r="G344">
        <v>73</v>
      </c>
      <c r="H344">
        <v>58</v>
      </c>
      <c r="I344">
        <v>61</v>
      </c>
      <c r="J344">
        <v>73</v>
      </c>
      <c r="K344">
        <v>78</v>
      </c>
      <c r="L344">
        <v>92</v>
      </c>
      <c r="M344">
        <v>83</v>
      </c>
      <c r="N344">
        <v>110</v>
      </c>
      <c r="O344">
        <v>123</v>
      </c>
      <c r="P344">
        <v>121</v>
      </c>
      <c r="Q344">
        <v>114</v>
      </c>
      <c r="R344">
        <v>137</v>
      </c>
      <c r="S344">
        <v>138</v>
      </c>
      <c r="T344">
        <v>129</v>
      </c>
      <c r="U344">
        <v>122</v>
      </c>
      <c r="V344">
        <v>145</v>
      </c>
      <c r="W344">
        <v>134</v>
      </c>
      <c r="X344">
        <v>50</v>
      </c>
      <c r="Y344">
        <v>67</v>
      </c>
      <c r="Z344">
        <v>52</v>
      </c>
      <c r="AA344">
        <v>68</v>
      </c>
      <c r="AB344">
        <v>73</v>
      </c>
      <c r="AC344">
        <v>68</v>
      </c>
      <c r="AD344">
        <v>88</v>
      </c>
      <c r="AE344">
        <v>99</v>
      </c>
      <c r="AF344">
        <v>89</v>
      </c>
      <c r="AG344">
        <v>99</v>
      </c>
      <c r="AH344">
        <v>125</v>
      </c>
      <c r="AI344">
        <v>122</v>
      </c>
      <c r="AJ344">
        <v>104</v>
      </c>
      <c r="AK344">
        <v>126</v>
      </c>
      <c r="AL344">
        <v>126</v>
      </c>
      <c r="AM344">
        <v>120</v>
      </c>
      <c r="AN344">
        <v>130</v>
      </c>
      <c r="AO344">
        <v>114</v>
      </c>
      <c r="AP344">
        <v>131</v>
      </c>
      <c r="AQ344">
        <v>3788</v>
      </c>
      <c r="AR344">
        <v>0.26399155227032728</v>
      </c>
      <c r="AS344">
        <f t="shared" si="25"/>
        <v>5.8521639799042541E-2</v>
      </c>
      <c r="AT344">
        <f t="shared" si="26"/>
        <v>4.7051398398430203E-3</v>
      </c>
      <c r="AU344">
        <f t="shared" si="27"/>
        <v>0.47051398398430205</v>
      </c>
      <c r="AV344">
        <f t="shared" si="28"/>
        <v>3</v>
      </c>
      <c r="AW344">
        <f t="shared" si="29"/>
        <v>9.3923170846247697E-2</v>
      </c>
    </row>
    <row r="345" spans="1:49" x14ac:dyDescent="0.3">
      <c r="A345" t="s">
        <v>408</v>
      </c>
      <c r="B345" t="s">
        <v>59</v>
      </c>
      <c r="C345">
        <v>2</v>
      </c>
      <c r="D345" t="s">
        <v>24</v>
      </c>
      <c r="E345">
        <v>34</v>
      </c>
      <c r="F345">
        <v>26</v>
      </c>
      <c r="G345">
        <v>25</v>
      </c>
      <c r="H345">
        <v>38</v>
      </c>
      <c r="I345">
        <v>43</v>
      </c>
      <c r="J345">
        <v>38</v>
      </c>
      <c r="K345">
        <v>41</v>
      </c>
      <c r="L345">
        <v>52</v>
      </c>
      <c r="M345">
        <v>45</v>
      </c>
      <c r="N345">
        <v>62</v>
      </c>
      <c r="O345">
        <v>70</v>
      </c>
      <c r="P345">
        <v>76</v>
      </c>
      <c r="Q345">
        <v>68</v>
      </c>
      <c r="R345">
        <v>91</v>
      </c>
      <c r="S345">
        <v>78</v>
      </c>
      <c r="T345">
        <v>83</v>
      </c>
      <c r="U345">
        <v>104</v>
      </c>
      <c r="V345">
        <v>92</v>
      </c>
      <c r="W345">
        <v>106</v>
      </c>
      <c r="X345">
        <v>27</v>
      </c>
      <c r="Y345">
        <v>30</v>
      </c>
      <c r="Z345">
        <v>29</v>
      </c>
      <c r="AA345">
        <v>33</v>
      </c>
      <c r="AB345">
        <v>43</v>
      </c>
      <c r="AC345">
        <v>33</v>
      </c>
      <c r="AD345">
        <v>46</v>
      </c>
      <c r="AE345">
        <v>42</v>
      </c>
      <c r="AF345">
        <v>54</v>
      </c>
      <c r="AG345">
        <v>69</v>
      </c>
      <c r="AH345">
        <v>75</v>
      </c>
      <c r="AI345">
        <v>56</v>
      </c>
      <c r="AJ345">
        <v>53</v>
      </c>
      <c r="AK345">
        <v>92</v>
      </c>
      <c r="AL345">
        <v>90</v>
      </c>
      <c r="AM345">
        <v>64</v>
      </c>
      <c r="AN345">
        <v>73</v>
      </c>
      <c r="AO345">
        <v>58</v>
      </c>
      <c r="AP345">
        <v>77</v>
      </c>
      <c r="AQ345">
        <v>2216</v>
      </c>
      <c r="AR345">
        <v>0.90252707581227443</v>
      </c>
      <c r="AS345">
        <f t="shared" si="25"/>
        <v>0.2782458800999737</v>
      </c>
      <c r="AT345">
        <f t="shared" si="26"/>
        <v>2.2370968760037885E-2</v>
      </c>
      <c r="AU345">
        <f t="shared" si="27"/>
        <v>2.2370968760037884</v>
      </c>
      <c r="AV345">
        <f t="shared" si="28"/>
        <v>3</v>
      </c>
      <c r="AW345">
        <f t="shared" si="29"/>
        <v>9.3923170846247697E-2</v>
      </c>
    </row>
    <row r="346" spans="1:49" x14ac:dyDescent="0.3">
      <c r="A346" t="s">
        <v>409</v>
      </c>
      <c r="B346" t="s">
        <v>85</v>
      </c>
      <c r="C346">
        <v>1</v>
      </c>
      <c r="D346" t="s">
        <v>24</v>
      </c>
      <c r="E346">
        <v>100</v>
      </c>
      <c r="F346">
        <v>97</v>
      </c>
      <c r="G346">
        <v>99</v>
      </c>
      <c r="H346">
        <v>118</v>
      </c>
      <c r="I346">
        <v>126</v>
      </c>
      <c r="J346">
        <v>147</v>
      </c>
      <c r="K346">
        <v>159</v>
      </c>
      <c r="L346">
        <v>175</v>
      </c>
      <c r="M346">
        <v>227</v>
      </c>
      <c r="N346">
        <v>252</v>
      </c>
      <c r="O346">
        <v>264</v>
      </c>
      <c r="P346">
        <v>304</v>
      </c>
      <c r="Q346">
        <v>299</v>
      </c>
      <c r="R346">
        <v>334</v>
      </c>
      <c r="S346">
        <v>299</v>
      </c>
      <c r="T346">
        <v>244</v>
      </c>
      <c r="U346">
        <v>241</v>
      </c>
      <c r="V346">
        <v>188</v>
      </c>
      <c r="W346">
        <v>192</v>
      </c>
      <c r="X346">
        <v>67</v>
      </c>
      <c r="Y346">
        <v>94</v>
      </c>
      <c r="Z346">
        <v>105</v>
      </c>
      <c r="AA346">
        <v>103</v>
      </c>
      <c r="AB346">
        <v>134</v>
      </c>
      <c r="AC346">
        <v>133</v>
      </c>
      <c r="AD346">
        <v>162</v>
      </c>
      <c r="AE346">
        <v>166</v>
      </c>
      <c r="AF346">
        <v>173</v>
      </c>
      <c r="AG346">
        <v>223</v>
      </c>
      <c r="AH346">
        <v>275</v>
      </c>
      <c r="AI346">
        <v>317</v>
      </c>
      <c r="AJ346">
        <v>287</v>
      </c>
      <c r="AK346">
        <v>294</v>
      </c>
      <c r="AL346">
        <v>287</v>
      </c>
      <c r="AM346">
        <v>276</v>
      </c>
      <c r="AN346">
        <v>225</v>
      </c>
      <c r="AO346">
        <v>190</v>
      </c>
      <c r="AP346">
        <v>187</v>
      </c>
      <c r="AQ346">
        <v>7563</v>
      </c>
      <c r="AR346">
        <v>0.13222266296443211</v>
      </c>
      <c r="AS346">
        <f t="shared" si="25"/>
        <v>1.3179105154400614E-2</v>
      </c>
      <c r="AT346">
        <f t="shared" si="26"/>
        <v>1.0596000544138093E-3</v>
      </c>
      <c r="AU346">
        <f t="shared" si="27"/>
        <v>0.10596000544138093</v>
      </c>
      <c r="AV346">
        <f t="shared" si="28"/>
        <v>3</v>
      </c>
      <c r="AW346">
        <f t="shared" si="29"/>
        <v>9.3923170846247697E-2</v>
      </c>
    </row>
    <row r="347" spans="1:49" x14ac:dyDescent="0.3">
      <c r="A347" t="s">
        <v>410</v>
      </c>
      <c r="B347" t="s">
        <v>298</v>
      </c>
      <c r="C347">
        <v>1</v>
      </c>
      <c r="D347" t="s">
        <v>17</v>
      </c>
      <c r="E347">
        <v>30</v>
      </c>
      <c r="F347">
        <v>27</v>
      </c>
      <c r="G347">
        <v>21</v>
      </c>
      <c r="H347">
        <v>31</v>
      </c>
      <c r="I347">
        <v>26</v>
      </c>
      <c r="J347">
        <v>39</v>
      </c>
      <c r="K347">
        <v>40</v>
      </c>
      <c r="L347">
        <v>31</v>
      </c>
      <c r="M347">
        <v>41</v>
      </c>
      <c r="N347">
        <v>52</v>
      </c>
      <c r="O347">
        <v>60</v>
      </c>
      <c r="P347">
        <v>81</v>
      </c>
      <c r="Q347">
        <v>90</v>
      </c>
      <c r="R347">
        <v>80</v>
      </c>
      <c r="S347">
        <v>86</v>
      </c>
      <c r="T347">
        <v>78</v>
      </c>
      <c r="U347">
        <v>74</v>
      </c>
      <c r="V347">
        <v>90</v>
      </c>
      <c r="W347">
        <v>76</v>
      </c>
      <c r="X347">
        <v>29</v>
      </c>
      <c r="Y347">
        <v>22</v>
      </c>
      <c r="Z347">
        <v>25</v>
      </c>
      <c r="AA347">
        <v>24</v>
      </c>
      <c r="AB347">
        <v>21</v>
      </c>
      <c r="AC347">
        <v>37</v>
      </c>
      <c r="AD347">
        <v>32</v>
      </c>
      <c r="AE347">
        <v>48</v>
      </c>
      <c r="AF347">
        <v>39</v>
      </c>
      <c r="AG347">
        <v>50</v>
      </c>
      <c r="AH347">
        <v>66</v>
      </c>
      <c r="AI347">
        <v>80</v>
      </c>
      <c r="AJ347">
        <v>71</v>
      </c>
      <c r="AK347">
        <v>83</v>
      </c>
      <c r="AL347">
        <v>74</v>
      </c>
      <c r="AM347">
        <v>82</v>
      </c>
      <c r="AN347">
        <v>61</v>
      </c>
      <c r="AO347">
        <v>76</v>
      </c>
      <c r="AP347">
        <v>69</v>
      </c>
      <c r="AQ347">
        <v>2042</v>
      </c>
      <c r="AR347">
        <v>0.48971596474045048</v>
      </c>
      <c r="AS347">
        <f t="shared" si="25"/>
        <v>0.13619488305457408</v>
      </c>
      <c r="AT347">
        <f t="shared" si="26"/>
        <v>1.0950068597587756E-2</v>
      </c>
      <c r="AU347">
        <f t="shared" si="27"/>
        <v>1.0950068597587757</v>
      </c>
      <c r="AV347">
        <f t="shared" si="28"/>
        <v>3</v>
      </c>
      <c r="AW347">
        <f t="shared" si="29"/>
        <v>9.3923170846247697E-2</v>
      </c>
    </row>
    <row r="348" spans="1:49" x14ac:dyDescent="0.3">
      <c r="A348" t="s">
        <v>411</v>
      </c>
      <c r="B348" t="s">
        <v>298</v>
      </c>
      <c r="C348">
        <v>1</v>
      </c>
      <c r="D348" t="s">
        <v>17</v>
      </c>
      <c r="E348">
        <v>46</v>
      </c>
      <c r="F348">
        <v>52</v>
      </c>
      <c r="G348">
        <v>42</v>
      </c>
      <c r="H348">
        <v>40</v>
      </c>
      <c r="I348">
        <v>56</v>
      </c>
      <c r="J348">
        <v>54</v>
      </c>
      <c r="K348">
        <v>65</v>
      </c>
      <c r="L348">
        <v>64</v>
      </c>
      <c r="M348">
        <v>67</v>
      </c>
      <c r="N348">
        <v>71</v>
      </c>
      <c r="O348">
        <v>77</v>
      </c>
      <c r="P348">
        <v>78</v>
      </c>
      <c r="Q348">
        <v>78</v>
      </c>
      <c r="R348">
        <v>99</v>
      </c>
      <c r="S348">
        <v>94</v>
      </c>
      <c r="T348">
        <v>105</v>
      </c>
      <c r="U348">
        <v>105</v>
      </c>
      <c r="V348">
        <v>115</v>
      </c>
      <c r="W348">
        <v>114</v>
      </c>
      <c r="X348">
        <v>46</v>
      </c>
      <c r="Y348">
        <v>59</v>
      </c>
      <c r="Z348">
        <v>55</v>
      </c>
      <c r="AA348">
        <v>48</v>
      </c>
      <c r="AB348">
        <v>47</v>
      </c>
      <c r="AC348">
        <v>46</v>
      </c>
      <c r="AD348">
        <v>39</v>
      </c>
      <c r="AE348">
        <v>57</v>
      </c>
      <c r="AF348">
        <v>76</v>
      </c>
      <c r="AG348">
        <v>68</v>
      </c>
      <c r="AH348">
        <v>97</v>
      </c>
      <c r="AI348">
        <v>83</v>
      </c>
      <c r="AJ348">
        <v>75</v>
      </c>
      <c r="AK348">
        <v>90</v>
      </c>
      <c r="AL348">
        <v>110</v>
      </c>
      <c r="AM348">
        <v>79</v>
      </c>
      <c r="AN348">
        <v>91</v>
      </c>
      <c r="AO348">
        <v>106</v>
      </c>
      <c r="AP348">
        <v>131</v>
      </c>
      <c r="AQ348">
        <v>2825</v>
      </c>
      <c r="AR348">
        <v>0.35398230088495569</v>
      </c>
      <c r="AS348">
        <f t="shared" si="25"/>
        <v>8.948804361598281E-2</v>
      </c>
      <c r="AT348">
        <f t="shared" si="26"/>
        <v>7.1948387067250182E-3</v>
      </c>
      <c r="AU348">
        <f t="shared" si="27"/>
        <v>0.71948387067250186</v>
      </c>
      <c r="AV348">
        <f t="shared" si="28"/>
        <v>3</v>
      </c>
      <c r="AW348">
        <f t="shared" si="29"/>
        <v>9.3923170846247697E-2</v>
      </c>
    </row>
    <row r="349" spans="1:49" x14ac:dyDescent="0.3">
      <c r="A349" t="s">
        <v>412</v>
      </c>
      <c r="B349" t="s">
        <v>109</v>
      </c>
      <c r="C349">
        <v>4</v>
      </c>
      <c r="D349" t="s">
        <v>24</v>
      </c>
      <c r="E349">
        <v>120</v>
      </c>
      <c r="F349">
        <v>126</v>
      </c>
      <c r="G349">
        <v>98</v>
      </c>
      <c r="H349">
        <v>102</v>
      </c>
      <c r="I349">
        <v>139</v>
      </c>
      <c r="J349">
        <v>133</v>
      </c>
      <c r="K349">
        <v>142</v>
      </c>
      <c r="L349">
        <v>177</v>
      </c>
      <c r="M349">
        <v>169</v>
      </c>
      <c r="N349">
        <v>225</v>
      </c>
      <c r="O349">
        <v>253</v>
      </c>
      <c r="P349">
        <v>265</v>
      </c>
      <c r="Q349">
        <v>327</v>
      </c>
      <c r="R349">
        <v>325</v>
      </c>
      <c r="S349">
        <v>356</v>
      </c>
      <c r="T349">
        <v>380</v>
      </c>
      <c r="U349">
        <v>338</v>
      </c>
      <c r="V349">
        <v>335</v>
      </c>
      <c r="W349">
        <v>395</v>
      </c>
      <c r="X349">
        <v>116</v>
      </c>
      <c r="Y349">
        <v>135</v>
      </c>
      <c r="Z349">
        <v>91</v>
      </c>
      <c r="AA349">
        <v>101</v>
      </c>
      <c r="AB349">
        <v>123</v>
      </c>
      <c r="AC349">
        <v>116</v>
      </c>
      <c r="AD349">
        <v>131</v>
      </c>
      <c r="AE349">
        <v>140</v>
      </c>
      <c r="AF349">
        <v>170</v>
      </c>
      <c r="AG349">
        <v>183</v>
      </c>
      <c r="AH349">
        <v>238</v>
      </c>
      <c r="AI349">
        <v>250</v>
      </c>
      <c r="AJ349">
        <v>290</v>
      </c>
      <c r="AK349">
        <v>345</v>
      </c>
      <c r="AL349">
        <v>282</v>
      </c>
      <c r="AM349">
        <v>351</v>
      </c>
      <c r="AN349">
        <v>341</v>
      </c>
      <c r="AO349">
        <v>383</v>
      </c>
      <c r="AP349">
        <v>378</v>
      </c>
      <c r="AQ349">
        <v>8569</v>
      </c>
      <c r="AR349">
        <v>0.46679892636246928</v>
      </c>
      <c r="AS349">
        <f t="shared" si="25"/>
        <v>0.12830898060764717</v>
      </c>
      <c r="AT349">
        <f t="shared" si="26"/>
        <v>1.0316042040854833E-2</v>
      </c>
      <c r="AU349">
        <f t="shared" si="27"/>
        <v>1.0316042040854834</v>
      </c>
      <c r="AV349">
        <f t="shared" si="28"/>
        <v>3</v>
      </c>
      <c r="AW349">
        <f t="shared" si="29"/>
        <v>9.3923170846247697E-2</v>
      </c>
    </row>
    <row r="350" spans="1:49" x14ac:dyDescent="0.3">
      <c r="A350" t="s">
        <v>413</v>
      </c>
      <c r="B350" t="s">
        <v>116</v>
      </c>
      <c r="C350">
        <v>1</v>
      </c>
      <c r="D350" t="s">
        <v>12</v>
      </c>
      <c r="E350">
        <v>64</v>
      </c>
      <c r="F350">
        <v>60</v>
      </c>
      <c r="G350">
        <v>42</v>
      </c>
      <c r="H350">
        <v>39</v>
      </c>
      <c r="I350">
        <v>35</v>
      </c>
      <c r="J350">
        <v>42</v>
      </c>
      <c r="K350">
        <v>41</v>
      </c>
      <c r="L350">
        <v>41</v>
      </c>
      <c r="M350">
        <v>38</v>
      </c>
      <c r="N350">
        <v>50</v>
      </c>
      <c r="O350">
        <v>50</v>
      </c>
      <c r="P350">
        <v>51</v>
      </c>
      <c r="Q350">
        <v>53</v>
      </c>
      <c r="R350">
        <v>43</v>
      </c>
      <c r="S350">
        <v>46</v>
      </c>
      <c r="T350">
        <v>48</v>
      </c>
      <c r="U350">
        <v>44</v>
      </c>
      <c r="V350">
        <v>45</v>
      </c>
      <c r="W350">
        <v>59</v>
      </c>
      <c r="X350">
        <v>67</v>
      </c>
      <c r="Y350">
        <v>47</v>
      </c>
      <c r="Z350">
        <v>38</v>
      </c>
      <c r="AA350">
        <v>51</v>
      </c>
      <c r="AB350">
        <v>55</v>
      </c>
      <c r="AC350">
        <v>39</v>
      </c>
      <c r="AD350">
        <v>42</v>
      </c>
      <c r="AE350">
        <v>46</v>
      </c>
      <c r="AF350">
        <v>33</v>
      </c>
      <c r="AG350">
        <v>47</v>
      </c>
      <c r="AH350">
        <v>66</v>
      </c>
      <c r="AI350">
        <v>43</v>
      </c>
      <c r="AJ350">
        <v>52</v>
      </c>
      <c r="AK350">
        <v>51</v>
      </c>
      <c r="AL350">
        <v>47</v>
      </c>
      <c r="AM350">
        <v>43</v>
      </c>
      <c r="AN350">
        <v>42</v>
      </c>
      <c r="AO350">
        <v>53</v>
      </c>
      <c r="AP350">
        <v>67</v>
      </c>
      <c r="AQ350">
        <v>1820</v>
      </c>
      <c r="AR350">
        <v>0.5494505494505495</v>
      </c>
      <c r="AS350">
        <f t="shared" si="25"/>
        <v>0.15674994344074208</v>
      </c>
      <c r="AT350">
        <f t="shared" si="26"/>
        <v>1.2602695452635664E-2</v>
      </c>
      <c r="AU350">
        <f t="shared" si="27"/>
        <v>1.2602695452635664</v>
      </c>
      <c r="AV350">
        <f t="shared" si="28"/>
        <v>3</v>
      </c>
      <c r="AW350">
        <f t="shared" si="29"/>
        <v>9.3923170846247697E-2</v>
      </c>
    </row>
    <row r="351" spans="1:49" x14ac:dyDescent="0.3">
      <c r="A351" t="s">
        <v>414</v>
      </c>
      <c r="B351" t="s">
        <v>116</v>
      </c>
      <c r="C351">
        <v>1</v>
      </c>
      <c r="D351" t="s">
        <v>12</v>
      </c>
      <c r="E351">
        <v>29</v>
      </c>
      <c r="F351">
        <v>17</v>
      </c>
      <c r="G351">
        <v>16</v>
      </c>
      <c r="H351">
        <v>13</v>
      </c>
      <c r="I351">
        <v>19</v>
      </c>
      <c r="J351">
        <v>18</v>
      </c>
      <c r="K351">
        <v>18</v>
      </c>
      <c r="L351">
        <v>12</v>
      </c>
      <c r="M351">
        <v>13</v>
      </c>
      <c r="N351">
        <v>20</v>
      </c>
      <c r="O351">
        <v>19</v>
      </c>
      <c r="P351">
        <v>19</v>
      </c>
      <c r="Q351">
        <v>24</v>
      </c>
      <c r="R351">
        <v>27</v>
      </c>
      <c r="S351">
        <v>30</v>
      </c>
      <c r="T351">
        <v>19</v>
      </c>
      <c r="U351">
        <v>18</v>
      </c>
      <c r="V351">
        <v>28</v>
      </c>
      <c r="W351">
        <v>35</v>
      </c>
      <c r="X351">
        <v>35</v>
      </c>
      <c r="Y351">
        <v>28</v>
      </c>
      <c r="Z351">
        <v>10</v>
      </c>
      <c r="AA351">
        <v>16</v>
      </c>
      <c r="AB351">
        <v>6</v>
      </c>
      <c r="AC351">
        <v>12</v>
      </c>
      <c r="AD351">
        <v>16</v>
      </c>
      <c r="AE351">
        <v>12</v>
      </c>
      <c r="AF351">
        <v>9</v>
      </c>
      <c r="AG351">
        <v>21</v>
      </c>
      <c r="AH351">
        <v>19</v>
      </c>
      <c r="AI351">
        <v>24</v>
      </c>
      <c r="AJ351">
        <v>16</v>
      </c>
      <c r="AK351">
        <v>23</v>
      </c>
      <c r="AL351">
        <v>19</v>
      </c>
      <c r="AM351">
        <v>27</v>
      </c>
      <c r="AN351">
        <v>26</v>
      </c>
      <c r="AO351">
        <v>19</v>
      </c>
      <c r="AP351">
        <v>35</v>
      </c>
      <c r="AQ351">
        <v>767</v>
      </c>
      <c r="AR351">
        <v>1.3037809647979139</v>
      </c>
      <c r="AS351">
        <f t="shared" si="25"/>
        <v>0.41631996161091717</v>
      </c>
      <c r="AT351">
        <f t="shared" si="26"/>
        <v>3.347212491351774E-2</v>
      </c>
      <c r="AU351">
        <f t="shared" si="27"/>
        <v>3.3472124913517738</v>
      </c>
      <c r="AV351">
        <f t="shared" si="28"/>
        <v>3</v>
      </c>
      <c r="AW351">
        <f t="shared" si="29"/>
        <v>9.3923170846247697E-2</v>
      </c>
    </row>
    <row r="352" spans="1:49" x14ac:dyDescent="0.3">
      <c r="A352" t="s">
        <v>415</v>
      </c>
      <c r="B352" t="s">
        <v>74</v>
      </c>
      <c r="C352">
        <v>1</v>
      </c>
      <c r="D352" t="s">
        <v>17</v>
      </c>
      <c r="E352">
        <v>5</v>
      </c>
      <c r="F352">
        <v>4</v>
      </c>
      <c r="G352">
        <v>5</v>
      </c>
      <c r="H352">
        <v>4</v>
      </c>
      <c r="I352">
        <v>7</v>
      </c>
      <c r="J352">
        <v>7</v>
      </c>
      <c r="K352">
        <v>6</v>
      </c>
      <c r="L352">
        <v>14</v>
      </c>
      <c r="M352">
        <v>12</v>
      </c>
      <c r="N352">
        <v>10</v>
      </c>
      <c r="O352">
        <v>11</v>
      </c>
      <c r="P352">
        <v>9</v>
      </c>
      <c r="Q352">
        <v>13</v>
      </c>
      <c r="R352">
        <v>11</v>
      </c>
      <c r="S352">
        <v>18</v>
      </c>
      <c r="T352">
        <v>11</v>
      </c>
      <c r="U352">
        <v>18</v>
      </c>
      <c r="V352">
        <v>16</v>
      </c>
      <c r="W352">
        <v>7</v>
      </c>
      <c r="X352">
        <v>11</v>
      </c>
      <c r="Y352">
        <v>14</v>
      </c>
      <c r="Z352">
        <v>9</v>
      </c>
      <c r="AA352">
        <v>7</v>
      </c>
      <c r="AB352">
        <v>6</v>
      </c>
      <c r="AC352">
        <v>4</v>
      </c>
      <c r="AD352">
        <v>11</v>
      </c>
      <c r="AE352">
        <v>8</v>
      </c>
      <c r="AF352">
        <v>9</v>
      </c>
      <c r="AG352">
        <v>6</v>
      </c>
      <c r="AH352">
        <v>14</v>
      </c>
      <c r="AI352">
        <v>7</v>
      </c>
      <c r="AJ352">
        <v>6</v>
      </c>
      <c r="AK352">
        <v>14</v>
      </c>
      <c r="AL352">
        <v>11</v>
      </c>
      <c r="AM352">
        <v>12</v>
      </c>
      <c r="AN352">
        <v>17</v>
      </c>
      <c r="AO352">
        <v>9</v>
      </c>
      <c r="AP352">
        <v>18</v>
      </c>
      <c r="AQ352">
        <v>381</v>
      </c>
      <c r="AR352">
        <v>2.6246719160104992</v>
      </c>
      <c r="AS352">
        <f t="shared" si="25"/>
        <v>0.87084715716246353</v>
      </c>
      <c r="AT352">
        <f t="shared" si="26"/>
        <v>7.0016111435862061E-2</v>
      </c>
      <c r="AU352">
        <f t="shared" si="27"/>
        <v>7.0016111435862065</v>
      </c>
      <c r="AV352">
        <f t="shared" si="28"/>
        <v>3</v>
      </c>
      <c r="AW352">
        <f t="shared" si="29"/>
        <v>9.3923170846247697E-2</v>
      </c>
    </row>
    <row r="353" spans="1:49" x14ac:dyDescent="0.3">
      <c r="A353" t="s">
        <v>416</v>
      </c>
      <c r="B353" t="s">
        <v>74</v>
      </c>
      <c r="C353">
        <v>1</v>
      </c>
      <c r="D353" t="s">
        <v>17</v>
      </c>
      <c r="E353">
        <v>89</v>
      </c>
      <c r="F353">
        <v>99</v>
      </c>
      <c r="G353">
        <v>80</v>
      </c>
      <c r="H353">
        <v>102</v>
      </c>
      <c r="I353">
        <v>106</v>
      </c>
      <c r="J353">
        <v>86</v>
      </c>
      <c r="K353">
        <v>136</v>
      </c>
      <c r="L353">
        <v>149</v>
      </c>
      <c r="M353">
        <v>169</v>
      </c>
      <c r="N353">
        <v>190</v>
      </c>
      <c r="O353">
        <v>217</v>
      </c>
      <c r="P353">
        <v>221</v>
      </c>
      <c r="Q353">
        <v>230</v>
      </c>
      <c r="R353">
        <v>259</v>
      </c>
      <c r="S353">
        <v>262</v>
      </c>
      <c r="T353">
        <v>236</v>
      </c>
      <c r="U353">
        <v>243</v>
      </c>
      <c r="V353">
        <v>250</v>
      </c>
      <c r="W353">
        <v>253</v>
      </c>
      <c r="X353">
        <v>83</v>
      </c>
      <c r="Y353">
        <v>91</v>
      </c>
      <c r="Z353">
        <v>83</v>
      </c>
      <c r="AA353">
        <v>86</v>
      </c>
      <c r="AB353">
        <v>104</v>
      </c>
      <c r="AC353">
        <v>104</v>
      </c>
      <c r="AD353">
        <v>128</v>
      </c>
      <c r="AE353">
        <v>140</v>
      </c>
      <c r="AF353">
        <v>152</v>
      </c>
      <c r="AG353">
        <v>178</v>
      </c>
      <c r="AH353">
        <v>211</v>
      </c>
      <c r="AI353">
        <v>203</v>
      </c>
      <c r="AJ353">
        <v>220</v>
      </c>
      <c r="AK353">
        <v>232</v>
      </c>
      <c r="AL353">
        <v>247</v>
      </c>
      <c r="AM353">
        <v>228</v>
      </c>
      <c r="AN353">
        <v>202</v>
      </c>
      <c r="AO353">
        <v>226</v>
      </c>
      <c r="AP353">
        <v>233</v>
      </c>
      <c r="AQ353">
        <v>6528</v>
      </c>
      <c r="AR353">
        <v>0.1531862745098039</v>
      </c>
      <c r="AS353">
        <f t="shared" si="25"/>
        <v>2.0392820681486793E-2</v>
      </c>
      <c r="AT353">
        <f t="shared" si="26"/>
        <v>1.6395827827915381E-3</v>
      </c>
      <c r="AU353">
        <f t="shared" si="27"/>
        <v>0.1639582782791538</v>
      </c>
      <c r="AV353">
        <f t="shared" si="28"/>
        <v>3</v>
      </c>
      <c r="AW353">
        <f t="shared" si="29"/>
        <v>9.3923170846247697E-2</v>
      </c>
    </row>
    <row r="354" spans="1:49" x14ac:dyDescent="0.3">
      <c r="A354" t="s">
        <v>417</v>
      </c>
      <c r="B354" t="s">
        <v>237</v>
      </c>
      <c r="C354">
        <v>2</v>
      </c>
      <c r="D354" t="s">
        <v>12</v>
      </c>
      <c r="E354">
        <v>23</v>
      </c>
      <c r="F354">
        <v>30</v>
      </c>
      <c r="G354">
        <v>23</v>
      </c>
      <c r="H354">
        <v>18</v>
      </c>
      <c r="I354">
        <v>30</v>
      </c>
      <c r="J354">
        <v>27</v>
      </c>
      <c r="K354">
        <v>34</v>
      </c>
      <c r="L354">
        <v>48</v>
      </c>
      <c r="M354">
        <v>29</v>
      </c>
      <c r="N354">
        <v>55</v>
      </c>
      <c r="O354">
        <v>59</v>
      </c>
      <c r="P354">
        <v>64</v>
      </c>
      <c r="Q354">
        <v>65</v>
      </c>
      <c r="R354">
        <v>69</v>
      </c>
      <c r="S354">
        <v>62</v>
      </c>
      <c r="T354">
        <v>61</v>
      </c>
      <c r="U354">
        <v>68</v>
      </c>
      <c r="V354">
        <v>74</v>
      </c>
      <c r="W354">
        <v>63</v>
      </c>
      <c r="X354">
        <v>30</v>
      </c>
      <c r="Y354">
        <v>29</v>
      </c>
      <c r="Z354">
        <v>22</v>
      </c>
      <c r="AA354">
        <v>34</v>
      </c>
      <c r="AB354">
        <v>32</v>
      </c>
      <c r="AC354">
        <v>29</v>
      </c>
      <c r="AD354">
        <v>25</v>
      </c>
      <c r="AE354">
        <v>21</v>
      </c>
      <c r="AF354">
        <v>39</v>
      </c>
      <c r="AG354">
        <v>56</v>
      </c>
      <c r="AH354">
        <v>58</v>
      </c>
      <c r="AI354">
        <v>47</v>
      </c>
      <c r="AJ354">
        <v>39</v>
      </c>
      <c r="AK354">
        <v>54</v>
      </c>
      <c r="AL354">
        <v>58</v>
      </c>
      <c r="AM354">
        <v>64</v>
      </c>
      <c r="AN354">
        <v>58</v>
      </c>
      <c r="AO354">
        <v>60</v>
      </c>
      <c r="AP354">
        <v>73</v>
      </c>
      <c r="AQ354">
        <v>1730</v>
      </c>
      <c r="AR354">
        <v>1.15606936416185</v>
      </c>
      <c r="AS354">
        <f t="shared" si="25"/>
        <v>0.36549143596623301</v>
      </c>
      <c r="AT354">
        <f t="shared" si="26"/>
        <v>2.9385511451685133E-2</v>
      </c>
      <c r="AU354">
        <f t="shared" si="27"/>
        <v>2.9385511451685131</v>
      </c>
      <c r="AV354">
        <f t="shared" si="28"/>
        <v>3</v>
      </c>
      <c r="AW354">
        <f t="shared" si="29"/>
        <v>9.3923170846247697E-2</v>
      </c>
    </row>
    <row r="355" spans="1:49" x14ac:dyDescent="0.3">
      <c r="A355" t="s">
        <v>418</v>
      </c>
      <c r="B355" t="s">
        <v>72</v>
      </c>
      <c r="C355">
        <v>1</v>
      </c>
      <c r="D355" t="s">
        <v>12</v>
      </c>
      <c r="E355">
        <v>82</v>
      </c>
      <c r="F355">
        <v>88</v>
      </c>
      <c r="G355">
        <v>92</v>
      </c>
      <c r="H355">
        <v>105</v>
      </c>
      <c r="I355">
        <v>124</v>
      </c>
      <c r="J355">
        <v>113</v>
      </c>
      <c r="K355">
        <v>153</v>
      </c>
      <c r="L355">
        <v>156</v>
      </c>
      <c r="M355">
        <v>188</v>
      </c>
      <c r="N355">
        <v>218</v>
      </c>
      <c r="O355">
        <v>230</v>
      </c>
      <c r="P355">
        <v>232</v>
      </c>
      <c r="Q355">
        <v>228</v>
      </c>
      <c r="R355">
        <v>285</v>
      </c>
      <c r="S355">
        <v>280</v>
      </c>
      <c r="T355">
        <v>260</v>
      </c>
      <c r="U355">
        <v>267</v>
      </c>
      <c r="V355">
        <v>259</v>
      </c>
      <c r="W355">
        <v>288</v>
      </c>
      <c r="X355">
        <v>94</v>
      </c>
      <c r="Y355">
        <v>95</v>
      </c>
      <c r="Z355">
        <v>70</v>
      </c>
      <c r="AA355">
        <v>102</v>
      </c>
      <c r="AB355">
        <v>136</v>
      </c>
      <c r="AC355">
        <v>120</v>
      </c>
      <c r="AD355">
        <v>150</v>
      </c>
      <c r="AE355">
        <v>170</v>
      </c>
      <c r="AF355">
        <v>192</v>
      </c>
      <c r="AG355">
        <v>224</v>
      </c>
      <c r="AH355">
        <v>235</v>
      </c>
      <c r="AI355">
        <v>298</v>
      </c>
      <c r="AJ355">
        <v>255</v>
      </c>
      <c r="AK355">
        <v>272</v>
      </c>
      <c r="AL355">
        <v>282</v>
      </c>
      <c r="AM355">
        <v>289</v>
      </c>
      <c r="AN355">
        <v>269</v>
      </c>
      <c r="AO355">
        <v>267</v>
      </c>
      <c r="AP355">
        <v>292</v>
      </c>
      <c r="AQ355">
        <v>7460</v>
      </c>
      <c r="AR355">
        <v>0.13404825737265411</v>
      </c>
      <c r="AS355">
        <f t="shared" si="25"/>
        <v>1.3807304102861866E-2</v>
      </c>
      <c r="AT355">
        <f t="shared" si="26"/>
        <v>1.110107249870094E-3</v>
      </c>
      <c r="AU355">
        <f t="shared" si="27"/>
        <v>0.1110107249870094</v>
      </c>
      <c r="AV355">
        <f t="shared" si="28"/>
        <v>3</v>
      </c>
      <c r="AW355">
        <f t="shared" si="29"/>
        <v>9.3923170846247697E-2</v>
      </c>
    </row>
    <row r="356" spans="1:49" x14ac:dyDescent="0.3">
      <c r="A356" t="s">
        <v>419</v>
      </c>
      <c r="B356" t="s">
        <v>164</v>
      </c>
      <c r="C356">
        <v>2</v>
      </c>
      <c r="D356" t="s">
        <v>24</v>
      </c>
      <c r="E356">
        <v>32</v>
      </c>
      <c r="F356">
        <v>25</v>
      </c>
      <c r="G356">
        <v>30</v>
      </c>
      <c r="H356">
        <v>45</v>
      </c>
      <c r="I356">
        <v>36</v>
      </c>
      <c r="J356">
        <v>37</v>
      </c>
      <c r="K356">
        <v>34</v>
      </c>
      <c r="L356">
        <v>38</v>
      </c>
      <c r="M356">
        <v>32</v>
      </c>
      <c r="N356">
        <v>45</v>
      </c>
      <c r="O356">
        <v>49</v>
      </c>
      <c r="P356">
        <v>66</v>
      </c>
      <c r="Q356">
        <v>56</v>
      </c>
      <c r="R356">
        <v>69</v>
      </c>
      <c r="S356">
        <v>56</v>
      </c>
      <c r="T356">
        <v>74</v>
      </c>
      <c r="U356">
        <v>51</v>
      </c>
      <c r="V356">
        <v>76</v>
      </c>
      <c r="W356">
        <v>70</v>
      </c>
      <c r="X356">
        <v>34</v>
      </c>
      <c r="Y356">
        <v>22</v>
      </c>
      <c r="Z356">
        <v>26</v>
      </c>
      <c r="AA356">
        <v>33</v>
      </c>
      <c r="AB356">
        <v>34</v>
      </c>
      <c r="AC356">
        <v>38</v>
      </c>
      <c r="AD356">
        <v>39</v>
      </c>
      <c r="AE356">
        <v>38</v>
      </c>
      <c r="AF356">
        <v>40</v>
      </c>
      <c r="AG356">
        <v>41</v>
      </c>
      <c r="AH356">
        <v>57</v>
      </c>
      <c r="AI356">
        <v>64</v>
      </c>
      <c r="AJ356">
        <v>43</v>
      </c>
      <c r="AK356">
        <v>64</v>
      </c>
      <c r="AL356">
        <v>66</v>
      </c>
      <c r="AM356">
        <v>45</v>
      </c>
      <c r="AN356">
        <v>57</v>
      </c>
      <c r="AO356">
        <v>59</v>
      </c>
      <c r="AP356">
        <v>60</v>
      </c>
      <c r="AQ356">
        <v>1781</v>
      </c>
      <c r="AR356">
        <v>1.1229646266142621</v>
      </c>
      <c r="AS356">
        <f t="shared" si="25"/>
        <v>0.35409987975702295</v>
      </c>
      <c r="AT356">
        <f t="shared" si="26"/>
        <v>2.8469630332464645E-2</v>
      </c>
      <c r="AU356">
        <f t="shared" si="27"/>
        <v>2.8469630332464644</v>
      </c>
      <c r="AV356">
        <f t="shared" si="28"/>
        <v>3</v>
      </c>
      <c r="AW356">
        <f t="shared" si="29"/>
        <v>9.3923170846247697E-2</v>
      </c>
    </row>
    <row r="357" spans="1:49" x14ac:dyDescent="0.3">
      <c r="A357" t="s">
        <v>420</v>
      </c>
      <c r="B357" t="s">
        <v>66</v>
      </c>
      <c r="C357">
        <v>1</v>
      </c>
      <c r="D357" t="s">
        <v>24</v>
      </c>
      <c r="E357">
        <v>66</v>
      </c>
      <c r="F357">
        <v>73</v>
      </c>
      <c r="G357">
        <v>69</v>
      </c>
      <c r="H357">
        <v>67</v>
      </c>
      <c r="I357">
        <v>85</v>
      </c>
      <c r="J357">
        <v>76</v>
      </c>
      <c r="K357">
        <v>77</v>
      </c>
      <c r="L357">
        <v>120</v>
      </c>
      <c r="M357">
        <v>122</v>
      </c>
      <c r="N357">
        <v>137</v>
      </c>
      <c r="O357">
        <v>159</v>
      </c>
      <c r="P357">
        <v>160</v>
      </c>
      <c r="Q357">
        <v>143</v>
      </c>
      <c r="R357">
        <v>152</v>
      </c>
      <c r="S357">
        <v>164</v>
      </c>
      <c r="T357">
        <v>122</v>
      </c>
      <c r="U357">
        <v>136</v>
      </c>
      <c r="V357">
        <v>100</v>
      </c>
      <c r="W357">
        <v>88</v>
      </c>
      <c r="X357">
        <v>56</v>
      </c>
      <c r="Y357">
        <v>67</v>
      </c>
      <c r="Z357">
        <v>68</v>
      </c>
      <c r="AA357">
        <v>81</v>
      </c>
      <c r="AB357">
        <v>96</v>
      </c>
      <c r="AC357">
        <v>114</v>
      </c>
      <c r="AD357">
        <v>112</v>
      </c>
      <c r="AE357">
        <v>109</v>
      </c>
      <c r="AF357">
        <v>118</v>
      </c>
      <c r="AG357">
        <v>133</v>
      </c>
      <c r="AH357">
        <v>172</v>
      </c>
      <c r="AI357">
        <v>138</v>
      </c>
      <c r="AJ357">
        <v>155</v>
      </c>
      <c r="AK357">
        <v>171</v>
      </c>
      <c r="AL357">
        <v>148</v>
      </c>
      <c r="AM357">
        <v>149</v>
      </c>
      <c r="AN357">
        <v>145</v>
      </c>
      <c r="AO357">
        <v>104</v>
      </c>
      <c r="AP357">
        <v>119</v>
      </c>
      <c r="AQ357">
        <v>4371</v>
      </c>
      <c r="AR357">
        <v>0.2287805994051704</v>
      </c>
      <c r="AS357">
        <f t="shared" si="25"/>
        <v>4.6405321155323025E-2</v>
      </c>
      <c r="AT357">
        <f t="shared" si="26"/>
        <v>3.7309878208879712E-3</v>
      </c>
      <c r="AU357">
        <f t="shared" si="27"/>
        <v>0.3730987820887971</v>
      </c>
      <c r="AV357">
        <f t="shared" si="28"/>
        <v>3</v>
      </c>
      <c r="AW357">
        <f t="shared" si="29"/>
        <v>9.3923170846247697E-2</v>
      </c>
    </row>
    <row r="358" spans="1:49" x14ac:dyDescent="0.3">
      <c r="A358" t="s">
        <v>421</v>
      </c>
      <c r="B358" t="s">
        <v>59</v>
      </c>
      <c r="C358">
        <v>1</v>
      </c>
      <c r="D358" t="s">
        <v>24</v>
      </c>
      <c r="E358">
        <v>65</v>
      </c>
      <c r="F358">
        <v>66</v>
      </c>
      <c r="G358">
        <v>55</v>
      </c>
      <c r="H358">
        <v>63</v>
      </c>
      <c r="I358">
        <v>51</v>
      </c>
      <c r="J358">
        <v>59</v>
      </c>
      <c r="K358">
        <v>55</v>
      </c>
      <c r="L358">
        <v>59</v>
      </c>
      <c r="M358">
        <v>42</v>
      </c>
      <c r="N358">
        <v>59</v>
      </c>
      <c r="O358">
        <v>75</v>
      </c>
      <c r="P358">
        <v>75</v>
      </c>
      <c r="Q358">
        <v>46</v>
      </c>
      <c r="R358">
        <v>78</v>
      </c>
      <c r="S358">
        <v>82</v>
      </c>
      <c r="T358">
        <v>79</v>
      </c>
      <c r="U358">
        <v>69</v>
      </c>
      <c r="V358">
        <v>79</v>
      </c>
      <c r="W358">
        <v>102</v>
      </c>
      <c r="X358">
        <v>47</v>
      </c>
      <c r="Y358">
        <v>59</v>
      </c>
      <c r="Z358">
        <v>39</v>
      </c>
      <c r="AA358">
        <v>50</v>
      </c>
      <c r="AB358">
        <v>57</v>
      </c>
      <c r="AC358">
        <v>50</v>
      </c>
      <c r="AD358">
        <v>39</v>
      </c>
      <c r="AE358">
        <v>54</v>
      </c>
      <c r="AF358">
        <v>40</v>
      </c>
      <c r="AG358">
        <v>52</v>
      </c>
      <c r="AH358">
        <v>57</v>
      </c>
      <c r="AI358">
        <v>54</v>
      </c>
      <c r="AJ358">
        <v>67</v>
      </c>
      <c r="AK358">
        <v>60</v>
      </c>
      <c r="AL358">
        <v>75</v>
      </c>
      <c r="AM358">
        <v>66</v>
      </c>
      <c r="AN358">
        <v>64</v>
      </c>
      <c r="AO358">
        <v>81</v>
      </c>
      <c r="AP358">
        <v>94</v>
      </c>
      <c r="AQ358">
        <v>2364</v>
      </c>
      <c r="AR358">
        <v>0.4230118443316413</v>
      </c>
      <c r="AS358">
        <f t="shared" si="25"/>
        <v>0.11324155995601259</v>
      </c>
      <c r="AT358">
        <f t="shared" si="26"/>
        <v>9.1046214204634126E-3</v>
      </c>
      <c r="AU358">
        <f t="shared" si="27"/>
        <v>0.91046214204634124</v>
      </c>
      <c r="AV358">
        <f t="shared" si="28"/>
        <v>3</v>
      </c>
      <c r="AW358">
        <f t="shared" si="29"/>
        <v>9.3923170846247697E-2</v>
      </c>
    </row>
    <row r="359" spans="1:49" x14ac:dyDescent="0.3">
      <c r="A359" t="s">
        <v>422</v>
      </c>
      <c r="B359" t="s">
        <v>59</v>
      </c>
      <c r="C359">
        <v>2</v>
      </c>
      <c r="D359" t="s">
        <v>24</v>
      </c>
      <c r="E359">
        <v>22</v>
      </c>
      <c r="F359">
        <v>19</v>
      </c>
      <c r="G359">
        <v>16</v>
      </c>
      <c r="H359">
        <v>24</v>
      </c>
      <c r="I359">
        <v>11</v>
      </c>
      <c r="J359">
        <v>29</v>
      </c>
      <c r="K359">
        <v>22</v>
      </c>
      <c r="L359">
        <v>25</v>
      </c>
      <c r="M359">
        <v>41</v>
      </c>
      <c r="N359">
        <v>53</v>
      </c>
      <c r="O359">
        <v>35</v>
      </c>
      <c r="P359">
        <v>55</v>
      </c>
      <c r="Q359">
        <v>57</v>
      </c>
      <c r="R359">
        <v>52</v>
      </c>
      <c r="S359">
        <v>67</v>
      </c>
      <c r="T359">
        <v>69</v>
      </c>
      <c r="U359">
        <v>58</v>
      </c>
      <c r="V359">
        <v>73</v>
      </c>
      <c r="W359">
        <v>74</v>
      </c>
      <c r="X359">
        <v>24</v>
      </c>
      <c r="Y359">
        <v>25</v>
      </c>
      <c r="Z359">
        <v>7</v>
      </c>
      <c r="AA359">
        <v>26</v>
      </c>
      <c r="AB359">
        <v>16</v>
      </c>
      <c r="AC359">
        <v>19</v>
      </c>
      <c r="AD359">
        <v>26</v>
      </c>
      <c r="AE359">
        <v>32</v>
      </c>
      <c r="AF359">
        <v>37</v>
      </c>
      <c r="AG359">
        <v>42</v>
      </c>
      <c r="AH359">
        <v>38</v>
      </c>
      <c r="AI359">
        <v>56</v>
      </c>
      <c r="AJ359">
        <v>49</v>
      </c>
      <c r="AK359">
        <v>51</v>
      </c>
      <c r="AL359">
        <v>66</v>
      </c>
      <c r="AM359">
        <v>61</v>
      </c>
      <c r="AN359">
        <v>63</v>
      </c>
      <c r="AO359">
        <v>62</v>
      </c>
      <c r="AP359">
        <v>79</v>
      </c>
      <c r="AQ359">
        <v>1581</v>
      </c>
      <c r="AR359">
        <v>1.2650221378874129</v>
      </c>
      <c r="AS359">
        <f t="shared" si="25"/>
        <v>0.40298279635717282</v>
      </c>
      <c r="AT359">
        <f t="shared" si="26"/>
        <v>3.2399816827116693E-2</v>
      </c>
      <c r="AU359">
        <f t="shared" si="27"/>
        <v>3.2399816827116692</v>
      </c>
      <c r="AV359">
        <f t="shared" si="28"/>
        <v>3</v>
      </c>
      <c r="AW359">
        <f t="shared" si="29"/>
        <v>9.3923170846247697E-2</v>
      </c>
    </row>
    <row r="360" spans="1:49" x14ac:dyDescent="0.3">
      <c r="A360" t="s">
        <v>423</v>
      </c>
      <c r="B360" t="s">
        <v>70</v>
      </c>
      <c r="C360">
        <v>1</v>
      </c>
      <c r="D360" t="s">
        <v>12</v>
      </c>
      <c r="E360">
        <v>36</v>
      </c>
      <c r="F360">
        <v>35</v>
      </c>
      <c r="G360">
        <v>32</v>
      </c>
      <c r="H360">
        <v>39</v>
      </c>
      <c r="I360">
        <v>35</v>
      </c>
      <c r="J360">
        <v>43</v>
      </c>
      <c r="K360">
        <v>39</v>
      </c>
      <c r="L360">
        <v>38</v>
      </c>
      <c r="M360">
        <v>36</v>
      </c>
      <c r="N360">
        <v>53</v>
      </c>
      <c r="O360">
        <v>38</v>
      </c>
      <c r="P360">
        <v>57</v>
      </c>
      <c r="Q360">
        <v>59</v>
      </c>
      <c r="R360">
        <v>73</v>
      </c>
      <c r="S360">
        <v>56</v>
      </c>
      <c r="T360">
        <v>63</v>
      </c>
      <c r="U360">
        <v>75</v>
      </c>
      <c r="V360">
        <v>85</v>
      </c>
      <c r="W360">
        <v>89</v>
      </c>
      <c r="X360">
        <v>41</v>
      </c>
      <c r="Y360">
        <v>33</v>
      </c>
      <c r="Z360">
        <v>37</v>
      </c>
      <c r="AA360">
        <v>30</v>
      </c>
      <c r="AB360">
        <v>36</v>
      </c>
      <c r="AC360">
        <v>29</v>
      </c>
      <c r="AD360">
        <v>33</v>
      </c>
      <c r="AE360">
        <v>28</v>
      </c>
      <c r="AF360">
        <v>44</v>
      </c>
      <c r="AG360">
        <v>38</v>
      </c>
      <c r="AH360">
        <v>45</v>
      </c>
      <c r="AI360">
        <v>57</v>
      </c>
      <c r="AJ360">
        <v>51</v>
      </c>
      <c r="AK360">
        <v>58</v>
      </c>
      <c r="AL360">
        <v>63</v>
      </c>
      <c r="AM360">
        <v>54</v>
      </c>
      <c r="AN360">
        <v>71</v>
      </c>
      <c r="AO360">
        <v>63</v>
      </c>
      <c r="AP360">
        <v>82</v>
      </c>
      <c r="AQ360">
        <v>1874</v>
      </c>
      <c r="AR360">
        <v>0.53361792956243337</v>
      </c>
      <c r="AS360">
        <f t="shared" si="25"/>
        <v>0.15130183562429231</v>
      </c>
      <c r="AT360">
        <f t="shared" si="26"/>
        <v>1.2164667584193101E-2</v>
      </c>
      <c r="AU360">
        <f t="shared" si="27"/>
        <v>1.2164667584193101</v>
      </c>
      <c r="AV360">
        <f t="shared" si="28"/>
        <v>3</v>
      </c>
      <c r="AW360">
        <f t="shared" si="29"/>
        <v>9.3923170846247697E-2</v>
      </c>
    </row>
    <row r="361" spans="1:49" x14ac:dyDescent="0.3">
      <c r="A361" t="s">
        <v>424</v>
      </c>
      <c r="B361" t="s">
        <v>70</v>
      </c>
      <c r="C361">
        <v>2</v>
      </c>
      <c r="D361" t="s">
        <v>12</v>
      </c>
      <c r="E361">
        <v>48</v>
      </c>
      <c r="F361">
        <v>56</v>
      </c>
      <c r="G361">
        <v>55</v>
      </c>
      <c r="H361">
        <v>40</v>
      </c>
      <c r="I361">
        <v>57</v>
      </c>
      <c r="J361">
        <v>48</v>
      </c>
      <c r="K361">
        <v>56</v>
      </c>
      <c r="L361">
        <v>58</v>
      </c>
      <c r="M361">
        <v>74</v>
      </c>
      <c r="N361">
        <v>76</v>
      </c>
      <c r="O361">
        <v>84</v>
      </c>
      <c r="P361">
        <v>85</v>
      </c>
      <c r="Q361">
        <v>82</v>
      </c>
      <c r="R361">
        <v>90</v>
      </c>
      <c r="S361">
        <v>98</v>
      </c>
      <c r="T361">
        <v>99</v>
      </c>
      <c r="U361">
        <v>99</v>
      </c>
      <c r="V361">
        <v>105</v>
      </c>
      <c r="W361">
        <v>121</v>
      </c>
      <c r="X361">
        <v>42</v>
      </c>
      <c r="Y361">
        <v>42</v>
      </c>
      <c r="Z361">
        <v>48</v>
      </c>
      <c r="AA361">
        <v>52</v>
      </c>
      <c r="AB361">
        <v>45</v>
      </c>
      <c r="AC361">
        <v>52</v>
      </c>
      <c r="AD361">
        <v>55</v>
      </c>
      <c r="AE361">
        <v>64</v>
      </c>
      <c r="AF361">
        <v>58</v>
      </c>
      <c r="AG361">
        <v>80</v>
      </c>
      <c r="AH361">
        <v>83</v>
      </c>
      <c r="AI361">
        <v>74</v>
      </c>
      <c r="AJ361">
        <v>74</v>
      </c>
      <c r="AK361">
        <v>90</v>
      </c>
      <c r="AL361">
        <v>85</v>
      </c>
      <c r="AM361">
        <v>82</v>
      </c>
      <c r="AN361">
        <v>87</v>
      </c>
      <c r="AO361">
        <v>77</v>
      </c>
      <c r="AP361">
        <v>103</v>
      </c>
      <c r="AQ361">
        <v>2724</v>
      </c>
      <c r="AR361">
        <v>0.73421439060205573</v>
      </c>
      <c r="AS361">
        <f t="shared" si="25"/>
        <v>0.22032838682460451</v>
      </c>
      <c r="AT361">
        <f t="shared" si="26"/>
        <v>1.7714402300698203E-2</v>
      </c>
      <c r="AU361">
        <f t="shared" si="27"/>
        <v>1.7714402300698202</v>
      </c>
      <c r="AV361">
        <f t="shared" si="28"/>
        <v>3</v>
      </c>
      <c r="AW361">
        <f t="shared" si="29"/>
        <v>9.3923170846247697E-2</v>
      </c>
    </row>
    <row r="362" spans="1:49" x14ac:dyDescent="0.3">
      <c r="A362" t="s">
        <v>425</v>
      </c>
      <c r="B362" t="s">
        <v>70</v>
      </c>
      <c r="C362">
        <v>3</v>
      </c>
      <c r="D362" t="s">
        <v>12</v>
      </c>
      <c r="E362">
        <v>105</v>
      </c>
      <c r="F362">
        <v>82</v>
      </c>
      <c r="G362">
        <v>93</v>
      </c>
      <c r="H362">
        <v>55</v>
      </c>
      <c r="I362">
        <v>77</v>
      </c>
      <c r="J362">
        <v>62</v>
      </c>
      <c r="K362">
        <v>72</v>
      </c>
      <c r="L362">
        <v>80</v>
      </c>
      <c r="M362">
        <v>81</v>
      </c>
      <c r="N362">
        <v>84</v>
      </c>
      <c r="O362">
        <v>88</v>
      </c>
      <c r="P362">
        <v>65</v>
      </c>
      <c r="Q362">
        <v>78</v>
      </c>
      <c r="R362">
        <v>68</v>
      </c>
      <c r="S362">
        <v>96</v>
      </c>
      <c r="T362">
        <v>104</v>
      </c>
      <c r="U362">
        <v>73</v>
      </c>
      <c r="V362">
        <v>90</v>
      </c>
      <c r="W362">
        <v>113</v>
      </c>
      <c r="X362">
        <v>107</v>
      </c>
      <c r="Y362">
        <v>80</v>
      </c>
      <c r="Z362">
        <v>52</v>
      </c>
      <c r="AA362">
        <v>65</v>
      </c>
      <c r="AB362">
        <v>84</v>
      </c>
      <c r="AC362">
        <v>61</v>
      </c>
      <c r="AD362">
        <v>67</v>
      </c>
      <c r="AE362">
        <v>58</v>
      </c>
      <c r="AF362">
        <v>62</v>
      </c>
      <c r="AG362">
        <v>77</v>
      </c>
      <c r="AH362">
        <v>78</v>
      </c>
      <c r="AI362">
        <v>76</v>
      </c>
      <c r="AJ362">
        <v>70</v>
      </c>
      <c r="AK362">
        <v>93</v>
      </c>
      <c r="AL362">
        <v>85</v>
      </c>
      <c r="AM362">
        <v>78</v>
      </c>
      <c r="AN362">
        <v>74</v>
      </c>
      <c r="AO362">
        <v>98</v>
      </c>
      <c r="AP362">
        <v>85</v>
      </c>
      <c r="AQ362">
        <v>3016</v>
      </c>
      <c r="AR362">
        <v>0.99469496021220161</v>
      </c>
      <c r="AS362">
        <f t="shared" si="25"/>
        <v>0.30996145054714813</v>
      </c>
      <c r="AT362">
        <f t="shared" si="26"/>
        <v>2.4920900623990709E-2</v>
      </c>
      <c r="AU362">
        <f t="shared" si="27"/>
        <v>2.4920900623990709</v>
      </c>
      <c r="AV362">
        <f t="shared" si="28"/>
        <v>3</v>
      </c>
      <c r="AW362">
        <f t="shared" si="29"/>
        <v>9.3923170846247697E-2</v>
      </c>
    </row>
    <row r="363" spans="1:49" x14ac:dyDescent="0.3">
      <c r="A363" t="s">
        <v>426</v>
      </c>
      <c r="B363" t="s">
        <v>121</v>
      </c>
      <c r="C363">
        <v>2</v>
      </c>
      <c r="D363" t="s">
        <v>12</v>
      </c>
      <c r="E363">
        <v>54</v>
      </c>
      <c r="F363">
        <v>69</v>
      </c>
      <c r="G363">
        <v>66</v>
      </c>
      <c r="H363">
        <v>71</v>
      </c>
      <c r="I363">
        <v>57</v>
      </c>
      <c r="J363">
        <v>70</v>
      </c>
      <c r="K363">
        <v>74</v>
      </c>
      <c r="L363">
        <v>72</v>
      </c>
      <c r="M363">
        <v>78</v>
      </c>
      <c r="N363">
        <v>90</v>
      </c>
      <c r="O363">
        <v>93</v>
      </c>
      <c r="P363">
        <v>97</v>
      </c>
      <c r="Q363">
        <v>94</v>
      </c>
      <c r="R363">
        <v>121</v>
      </c>
      <c r="S363">
        <v>129</v>
      </c>
      <c r="T363">
        <v>94</v>
      </c>
      <c r="U363">
        <v>100</v>
      </c>
      <c r="V363">
        <v>124</v>
      </c>
      <c r="W363">
        <v>138</v>
      </c>
      <c r="X363">
        <v>58</v>
      </c>
      <c r="Y363">
        <v>58</v>
      </c>
      <c r="Z363">
        <v>64</v>
      </c>
      <c r="AA363">
        <v>56</v>
      </c>
      <c r="AB363">
        <v>53</v>
      </c>
      <c r="AC363">
        <v>69</v>
      </c>
      <c r="AD363">
        <v>66</v>
      </c>
      <c r="AE363">
        <v>71</v>
      </c>
      <c r="AF363">
        <v>55</v>
      </c>
      <c r="AG363">
        <v>113</v>
      </c>
      <c r="AH363">
        <v>123</v>
      </c>
      <c r="AI363">
        <v>85</v>
      </c>
      <c r="AJ363">
        <v>93</v>
      </c>
      <c r="AK363">
        <v>104</v>
      </c>
      <c r="AL363">
        <v>122</v>
      </c>
      <c r="AM363">
        <v>136</v>
      </c>
      <c r="AN363">
        <v>124</v>
      </c>
      <c r="AO363">
        <v>115</v>
      </c>
      <c r="AP363">
        <v>136</v>
      </c>
      <c r="AQ363">
        <v>3392</v>
      </c>
      <c r="AR363">
        <v>0.58962264150943389</v>
      </c>
      <c r="AS363">
        <f t="shared" si="25"/>
        <v>0.17057342245405588</v>
      </c>
      <c r="AT363">
        <f t="shared" si="26"/>
        <v>1.3714103165306092E-2</v>
      </c>
      <c r="AU363">
        <f t="shared" si="27"/>
        <v>1.3714103165306091</v>
      </c>
      <c r="AV363">
        <f t="shared" si="28"/>
        <v>3</v>
      </c>
      <c r="AW363">
        <f t="shared" si="29"/>
        <v>9.3923170846247697E-2</v>
      </c>
    </row>
    <row r="364" spans="1:49" x14ac:dyDescent="0.3">
      <c r="A364" t="s">
        <v>427</v>
      </c>
      <c r="B364" t="s">
        <v>91</v>
      </c>
      <c r="C364">
        <v>2</v>
      </c>
      <c r="D364" t="s">
        <v>24</v>
      </c>
      <c r="E364">
        <v>3</v>
      </c>
      <c r="F364">
        <v>2</v>
      </c>
      <c r="G364">
        <v>3</v>
      </c>
      <c r="H364">
        <v>1</v>
      </c>
      <c r="I364">
        <v>5</v>
      </c>
      <c r="J364">
        <v>2</v>
      </c>
      <c r="K364">
        <v>3</v>
      </c>
      <c r="L364">
        <v>6</v>
      </c>
      <c r="M364">
        <v>5</v>
      </c>
      <c r="N364">
        <v>6</v>
      </c>
      <c r="O364">
        <v>9</v>
      </c>
      <c r="P364">
        <v>9</v>
      </c>
      <c r="Q364">
        <v>3</v>
      </c>
      <c r="R364">
        <v>2</v>
      </c>
      <c r="S364">
        <v>9</v>
      </c>
      <c r="T364">
        <v>7</v>
      </c>
      <c r="U364">
        <v>9</v>
      </c>
      <c r="V364">
        <v>8</v>
      </c>
      <c r="W364">
        <v>14</v>
      </c>
      <c r="X364">
        <v>3</v>
      </c>
      <c r="Y364">
        <v>6</v>
      </c>
      <c r="Z364">
        <v>2</v>
      </c>
      <c r="AA364">
        <v>2</v>
      </c>
      <c r="AB364">
        <v>7</v>
      </c>
      <c r="AC364">
        <v>2</v>
      </c>
      <c r="AD364">
        <v>7</v>
      </c>
      <c r="AE364">
        <v>7</v>
      </c>
      <c r="AF364">
        <v>8</v>
      </c>
      <c r="AG364">
        <v>6</v>
      </c>
      <c r="AH364">
        <v>11</v>
      </c>
      <c r="AI364">
        <v>5</v>
      </c>
      <c r="AJ364">
        <v>8</v>
      </c>
      <c r="AK364">
        <v>7</v>
      </c>
      <c r="AL364">
        <v>12</v>
      </c>
      <c r="AM364">
        <v>10</v>
      </c>
      <c r="AN364">
        <v>11</v>
      </c>
      <c r="AO364">
        <v>8</v>
      </c>
      <c r="AP364">
        <v>11</v>
      </c>
      <c r="AQ364">
        <v>239</v>
      </c>
      <c r="AR364">
        <v>3</v>
      </c>
      <c r="AS364">
        <f t="shared" si="25"/>
        <v>1</v>
      </c>
      <c r="AT364">
        <f t="shared" si="26"/>
        <v>8.0399999999999999E-2</v>
      </c>
      <c r="AU364">
        <f t="shared" si="27"/>
        <v>8.0399999999999991</v>
      </c>
      <c r="AV364">
        <f t="shared" si="28"/>
        <v>3</v>
      </c>
      <c r="AW364">
        <f t="shared" si="29"/>
        <v>9.3923170846247697E-2</v>
      </c>
    </row>
    <row r="365" spans="1:49" x14ac:dyDescent="0.3">
      <c r="A365" t="s">
        <v>428</v>
      </c>
      <c r="B365" t="s">
        <v>182</v>
      </c>
      <c r="C365">
        <v>1</v>
      </c>
      <c r="D365" t="s">
        <v>24</v>
      </c>
      <c r="E365">
        <v>57</v>
      </c>
      <c r="F365">
        <v>29</v>
      </c>
      <c r="G365">
        <v>41</v>
      </c>
      <c r="H365">
        <v>33</v>
      </c>
      <c r="I365">
        <v>32</v>
      </c>
      <c r="J365">
        <v>32</v>
      </c>
      <c r="K365">
        <v>27</v>
      </c>
      <c r="L365">
        <v>37</v>
      </c>
      <c r="M365">
        <v>45</v>
      </c>
      <c r="N365">
        <v>33</v>
      </c>
      <c r="O365">
        <v>39</v>
      </c>
      <c r="P365">
        <v>38</v>
      </c>
      <c r="Q365">
        <v>35</v>
      </c>
      <c r="R365">
        <v>44</v>
      </c>
      <c r="S365">
        <v>46</v>
      </c>
      <c r="T365">
        <v>54</v>
      </c>
      <c r="U365">
        <v>41</v>
      </c>
      <c r="V365">
        <v>61</v>
      </c>
      <c r="W365">
        <v>58</v>
      </c>
      <c r="X365">
        <v>43</v>
      </c>
      <c r="Y365">
        <v>40</v>
      </c>
      <c r="Z365">
        <v>35</v>
      </c>
      <c r="AA365">
        <v>38</v>
      </c>
      <c r="AB365">
        <v>37</v>
      </c>
      <c r="AC365">
        <v>41</v>
      </c>
      <c r="AD365">
        <v>49</v>
      </c>
      <c r="AE365">
        <v>29</v>
      </c>
      <c r="AF365">
        <v>34</v>
      </c>
      <c r="AG365">
        <v>39</v>
      </c>
      <c r="AH365">
        <v>40</v>
      </c>
      <c r="AI365">
        <v>41</v>
      </c>
      <c r="AJ365">
        <v>37</v>
      </c>
      <c r="AK365">
        <v>39</v>
      </c>
      <c r="AL365">
        <v>53</v>
      </c>
      <c r="AM365">
        <v>48</v>
      </c>
      <c r="AN365">
        <v>37</v>
      </c>
      <c r="AO365">
        <v>47</v>
      </c>
      <c r="AP365">
        <v>61</v>
      </c>
      <c r="AQ365">
        <v>1570</v>
      </c>
      <c r="AR365">
        <v>0.63694267515923564</v>
      </c>
      <c r="AS365">
        <f t="shared" si="25"/>
        <v>0.18685655481142763</v>
      </c>
      <c r="AT365">
        <f t="shared" si="26"/>
        <v>1.5023267006838781E-2</v>
      </c>
      <c r="AU365">
        <f t="shared" si="27"/>
        <v>1.5023267006838781</v>
      </c>
      <c r="AV365">
        <f t="shared" si="28"/>
        <v>3</v>
      </c>
      <c r="AW365">
        <f t="shared" si="29"/>
        <v>9.3923170846247697E-2</v>
      </c>
    </row>
    <row r="366" spans="1:49" x14ac:dyDescent="0.3">
      <c r="A366" t="s">
        <v>429</v>
      </c>
      <c r="B366" t="s">
        <v>182</v>
      </c>
      <c r="C366">
        <v>1</v>
      </c>
      <c r="D366" t="s">
        <v>24</v>
      </c>
      <c r="E366">
        <v>174</v>
      </c>
      <c r="F366">
        <v>173</v>
      </c>
      <c r="G366">
        <v>170</v>
      </c>
      <c r="H366">
        <v>173</v>
      </c>
      <c r="I366">
        <v>207</v>
      </c>
      <c r="J366">
        <v>231</v>
      </c>
      <c r="K366">
        <v>186</v>
      </c>
      <c r="L366">
        <v>247</v>
      </c>
      <c r="M366">
        <v>205</v>
      </c>
      <c r="N366">
        <v>218</v>
      </c>
      <c r="O366">
        <v>247</v>
      </c>
      <c r="P366">
        <v>193</v>
      </c>
      <c r="Q366">
        <v>211</v>
      </c>
      <c r="R366">
        <v>186</v>
      </c>
      <c r="S366">
        <v>208</v>
      </c>
      <c r="T366">
        <v>235</v>
      </c>
      <c r="U366">
        <v>179</v>
      </c>
      <c r="V366">
        <v>213</v>
      </c>
      <c r="W366">
        <v>238</v>
      </c>
      <c r="X366">
        <v>155</v>
      </c>
      <c r="Y366">
        <v>180</v>
      </c>
      <c r="Z366">
        <v>159</v>
      </c>
      <c r="AA366">
        <v>175</v>
      </c>
      <c r="AB366">
        <v>197</v>
      </c>
      <c r="AC366">
        <v>187</v>
      </c>
      <c r="AD366">
        <v>185</v>
      </c>
      <c r="AE366">
        <v>210</v>
      </c>
      <c r="AF366">
        <v>188</v>
      </c>
      <c r="AG366">
        <v>218</v>
      </c>
      <c r="AH366">
        <v>218</v>
      </c>
      <c r="AI366">
        <v>225</v>
      </c>
      <c r="AJ366">
        <v>202</v>
      </c>
      <c r="AK366">
        <v>239</v>
      </c>
      <c r="AL366">
        <v>205</v>
      </c>
      <c r="AM366">
        <v>198</v>
      </c>
      <c r="AN366">
        <v>205</v>
      </c>
      <c r="AO366">
        <v>214</v>
      </c>
      <c r="AP366">
        <v>228</v>
      </c>
      <c r="AQ366">
        <v>7682</v>
      </c>
      <c r="AR366">
        <v>0.13017443374121321</v>
      </c>
      <c r="AS366">
        <f t="shared" si="25"/>
        <v>1.2474296113334985E-2</v>
      </c>
      <c r="AT366">
        <f t="shared" si="26"/>
        <v>1.0029334075121327E-3</v>
      </c>
      <c r="AU366">
        <f t="shared" si="27"/>
        <v>0.10029334075121327</v>
      </c>
      <c r="AV366">
        <f t="shared" si="28"/>
        <v>3</v>
      </c>
      <c r="AW366">
        <f t="shared" si="29"/>
        <v>9.3923170846247697E-2</v>
      </c>
    </row>
    <row r="367" spans="1:49" x14ac:dyDescent="0.3">
      <c r="A367" t="s">
        <v>430</v>
      </c>
      <c r="B367" t="s">
        <v>111</v>
      </c>
      <c r="C367">
        <v>1</v>
      </c>
      <c r="D367" t="s">
        <v>24</v>
      </c>
      <c r="E367">
        <v>13</v>
      </c>
      <c r="F367">
        <v>13</v>
      </c>
      <c r="G367">
        <v>15</v>
      </c>
      <c r="H367">
        <v>12</v>
      </c>
      <c r="I367">
        <v>15</v>
      </c>
      <c r="J367">
        <v>17</v>
      </c>
      <c r="K367">
        <v>24</v>
      </c>
      <c r="L367">
        <v>16</v>
      </c>
      <c r="M367">
        <v>24</v>
      </c>
      <c r="N367">
        <v>36</v>
      </c>
      <c r="O367">
        <v>25</v>
      </c>
      <c r="P367">
        <v>29</v>
      </c>
      <c r="Q367">
        <v>27</v>
      </c>
      <c r="R367">
        <v>34</v>
      </c>
      <c r="S367">
        <v>40</v>
      </c>
      <c r="T367">
        <v>54</v>
      </c>
      <c r="U367">
        <v>34</v>
      </c>
      <c r="V367">
        <v>37</v>
      </c>
      <c r="W367">
        <v>39</v>
      </c>
      <c r="X367">
        <v>21</v>
      </c>
      <c r="Y367">
        <v>13</v>
      </c>
      <c r="Z367">
        <v>16</v>
      </c>
      <c r="AA367">
        <v>16</v>
      </c>
      <c r="AB367">
        <v>16</v>
      </c>
      <c r="AC367">
        <v>11</v>
      </c>
      <c r="AD367">
        <v>14</v>
      </c>
      <c r="AE367">
        <v>20</v>
      </c>
      <c r="AF367">
        <v>19</v>
      </c>
      <c r="AG367">
        <v>16</v>
      </c>
      <c r="AH367">
        <v>26</v>
      </c>
      <c r="AI367">
        <v>33</v>
      </c>
      <c r="AJ367">
        <v>25</v>
      </c>
      <c r="AK367">
        <v>30</v>
      </c>
      <c r="AL367">
        <v>33</v>
      </c>
      <c r="AM367">
        <v>36</v>
      </c>
      <c r="AN367">
        <v>35</v>
      </c>
      <c r="AO367">
        <v>31</v>
      </c>
      <c r="AP367">
        <v>50</v>
      </c>
      <c r="AQ367">
        <v>965</v>
      </c>
      <c r="AR367">
        <v>1.0362694300518129</v>
      </c>
      <c r="AS367">
        <f t="shared" si="25"/>
        <v>0.32426749690577722</v>
      </c>
      <c r="AT367">
        <f t="shared" si="26"/>
        <v>2.6071106751224489E-2</v>
      </c>
      <c r="AU367">
        <f t="shared" si="27"/>
        <v>2.6071106751224491</v>
      </c>
      <c r="AV367">
        <f t="shared" si="28"/>
        <v>3</v>
      </c>
      <c r="AW367">
        <f t="shared" si="29"/>
        <v>9.3923170846247697E-2</v>
      </c>
    </row>
    <row r="368" spans="1:49" x14ac:dyDescent="0.3">
      <c r="A368" t="s">
        <v>431</v>
      </c>
      <c r="B368" t="s">
        <v>111</v>
      </c>
      <c r="C368">
        <v>5</v>
      </c>
      <c r="D368" t="s">
        <v>24</v>
      </c>
      <c r="E368">
        <v>28</v>
      </c>
      <c r="F368">
        <v>13</v>
      </c>
      <c r="G368">
        <v>29</v>
      </c>
      <c r="H368">
        <v>29</v>
      </c>
      <c r="I368">
        <v>23</v>
      </c>
      <c r="J368">
        <v>24</v>
      </c>
      <c r="K368">
        <v>19</v>
      </c>
      <c r="L368">
        <v>32</v>
      </c>
      <c r="M368">
        <v>45</v>
      </c>
      <c r="N368">
        <v>36</v>
      </c>
      <c r="O368">
        <v>62</v>
      </c>
      <c r="P368">
        <v>43</v>
      </c>
      <c r="Q368">
        <v>49</v>
      </c>
      <c r="R368">
        <v>56</v>
      </c>
      <c r="S368">
        <v>80</v>
      </c>
      <c r="T368">
        <v>81</v>
      </c>
      <c r="U368">
        <v>73</v>
      </c>
      <c r="V368">
        <v>48</v>
      </c>
      <c r="W368">
        <v>82</v>
      </c>
      <c r="X368">
        <v>21</v>
      </c>
      <c r="Y368">
        <v>24</v>
      </c>
      <c r="Z368">
        <v>12</v>
      </c>
      <c r="AA368">
        <v>18</v>
      </c>
      <c r="AB368">
        <v>27</v>
      </c>
      <c r="AC368">
        <v>32</v>
      </c>
      <c r="AD368">
        <v>22</v>
      </c>
      <c r="AE368">
        <v>33</v>
      </c>
      <c r="AF368">
        <v>37</v>
      </c>
      <c r="AG368">
        <v>28</v>
      </c>
      <c r="AH368">
        <v>49</v>
      </c>
      <c r="AI368">
        <v>44</v>
      </c>
      <c r="AJ368">
        <v>56</v>
      </c>
      <c r="AK368">
        <v>59</v>
      </c>
      <c r="AL368">
        <v>61</v>
      </c>
      <c r="AM368">
        <v>74</v>
      </c>
      <c r="AN368">
        <v>66</v>
      </c>
      <c r="AO368">
        <v>65</v>
      </c>
      <c r="AP368">
        <v>85</v>
      </c>
      <c r="AQ368">
        <v>1665</v>
      </c>
      <c r="AR368">
        <v>3</v>
      </c>
      <c r="AS368">
        <f t="shared" si="25"/>
        <v>1</v>
      </c>
      <c r="AT368">
        <f t="shared" si="26"/>
        <v>8.0399999999999999E-2</v>
      </c>
      <c r="AU368">
        <f t="shared" si="27"/>
        <v>8.0399999999999991</v>
      </c>
      <c r="AV368">
        <f t="shared" si="28"/>
        <v>3</v>
      </c>
      <c r="AW368">
        <f t="shared" si="29"/>
        <v>9.3923170846247697E-2</v>
      </c>
    </row>
    <row r="369" spans="1:49" x14ac:dyDescent="0.3">
      <c r="A369" t="s">
        <v>432</v>
      </c>
      <c r="B369" t="s">
        <v>116</v>
      </c>
      <c r="C369">
        <v>1</v>
      </c>
      <c r="D369" t="s">
        <v>12</v>
      </c>
      <c r="E369">
        <v>39</v>
      </c>
      <c r="F369">
        <v>43</v>
      </c>
      <c r="G369">
        <v>30</v>
      </c>
      <c r="H369">
        <v>45</v>
      </c>
      <c r="I369">
        <v>36</v>
      </c>
      <c r="J369">
        <v>61</v>
      </c>
      <c r="K369">
        <v>48</v>
      </c>
      <c r="L369">
        <v>59</v>
      </c>
      <c r="M369">
        <v>52</v>
      </c>
      <c r="N369">
        <v>69</v>
      </c>
      <c r="O369">
        <v>61</v>
      </c>
      <c r="P369">
        <v>60</v>
      </c>
      <c r="Q369">
        <v>65</v>
      </c>
      <c r="R369">
        <v>62</v>
      </c>
      <c r="S369">
        <v>68</v>
      </c>
      <c r="T369">
        <v>75</v>
      </c>
      <c r="U369">
        <v>67</v>
      </c>
      <c r="V369">
        <v>69</v>
      </c>
      <c r="W369">
        <v>84</v>
      </c>
      <c r="X369">
        <v>48</v>
      </c>
      <c r="Y369">
        <v>37</v>
      </c>
      <c r="Z369">
        <v>34</v>
      </c>
      <c r="AA369">
        <v>33</v>
      </c>
      <c r="AB369">
        <v>40</v>
      </c>
      <c r="AC369">
        <v>34</v>
      </c>
      <c r="AD369">
        <v>38</v>
      </c>
      <c r="AE369">
        <v>39</v>
      </c>
      <c r="AF369">
        <v>54</v>
      </c>
      <c r="AG369">
        <v>65</v>
      </c>
      <c r="AH369">
        <v>64</v>
      </c>
      <c r="AI369">
        <v>63</v>
      </c>
      <c r="AJ369">
        <v>62</v>
      </c>
      <c r="AK369">
        <v>78</v>
      </c>
      <c r="AL369">
        <v>61</v>
      </c>
      <c r="AM369">
        <v>59</v>
      </c>
      <c r="AN369">
        <v>59</v>
      </c>
      <c r="AO369">
        <v>74</v>
      </c>
      <c r="AP369">
        <v>85</v>
      </c>
      <c r="AQ369">
        <v>2120</v>
      </c>
      <c r="AR369">
        <v>0.47169811320754718</v>
      </c>
      <c r="AS369">
        <f t="shared" si="25"/>
        <v>0.12999482276981209</v>
      </c>
      <c r="AT369">
        <f t="shared" si="26"/>
        <v>1.0451583750692892E-2</v>
      </c>
      <c r="AU369">
        <f t="shared" si="27"/>
        <v>1.0451583750692892</v>
      </c>
      <c r="AV369">
        <f t="shared" si="28"/>
        <v>3</v>
      </c>
      <c r="AW369">
        <f t="shared" si="29"/>
        <v>9.3923170846247697E-2</v>
      </c>
    </row>
    <row r="370" spans="1:49" x14ac:dyDescent="0.3">
      <c r="A370" t="s">
        <v>433</v>
      </c>
      <c r="B370" t="s">
        <v>36</v>
      </c>
      <c r="C370">
        <v>1</v>
      </c>
      <c r="D370" t="s">
        <v>12</v>
      </c>
      <c r="E370">
        <v>96</v>
      </c>
      <c r="F370">
        <v>82</v>
      </c>
      <c r="G370">
        <v>71</v>
      </c>
      <c r="H370">
        <v>105</v>
      </c>
      <c r="I370">
        <v>92</v>
      </c>
      <c r="J370">
        <v>79</v>
      </c>
      <c r="K370">
        <v>67</v>
      </c>
      <c r="L370">
        <v>90</v>
      </c>
      <c r="M370">
        <v>107</v>
      </c>
      <c r="N370">
        <v>115</v>
      </c>
      <c r="O370">
        <v>132</v>
      </c>
      <c r="P370">
        <v>118</v>
      </c>
      <c r="Q370">
        <v>113</v>
      </c>
      <c r="R370">
        <v>118</v>
      </c>
      <c r="S370">
        <v>126</v>
      </c>
      <c r="T370">
        <v>121</v>
      </c>
      <c r="U370">
        <v>121</v>
      </c>
      <c r="V370">
        <v>119</v>
      </c>
      <c r="W370">
        <v>137</v>
      </c>
      <c r="X370">
        <v>78</v>
      </c>
      <c r="Y370">
        <v>88</v>
      </c>
      <c r="Z370">
        <v>73</v>
      </c>
      <c r="AA370">
        <v>68</v>
      </c>
      <c r="AB370">
        <v>71</v>
      </c>
      <c r="AC370">
        <v>72</v>
      </c>
      <c r="AD370">
        <v>79</v>
      </c>
      <c r="AE370">
        <v>100</v>
      </c>
      <c r="AF370">
        <v>111</v>
      </c>
      <c r="AG370">
        <v>106</v>
      </c>
      <c r="AH370">
        <v>107</v>
      </c>
      <c r="AI370">
        <v>131</v>
      </c>
      <c r="AJ370">
        <v>114</v>
      </c>
      <c r="AK370">
        <v>119</v>
      </c>
      <c r="AL370">
        <v>126</v>
      </c>
      <c r="AM370">
        <v>115</v>
      </c>
      <c r="AN370">
        <v>130</v>
      </c>
      <c r="AO370">
        <v>110</v>
      </c>
      <c r="AP370">
        <v>138</v>
      </c>
      <c r="AQ370">
        <v>3945</v>
      </c>
      <c r="AR370">
        <v>0.25348542458808609</v>
      </c>
      <c r="AS370">
        <f t="shared" si="25"/>
        <v>5.4906412707713181E-2</v>
      </c>
      <c r="AT370">
        <f t="shared" si="26"/>
        <v>4.4144755817001396E-3</v>
      </c>
      <c r="AU370">
        <f t="shared" si="27"/>
        <v>0.44144755817001397</v>
      </c>
      <c r="AV370">
        <f t="shared" si="28"/>
        <v>3</v>
      </c>
      <c r="AW370">
        <f t="shared" si="29"/>
        <v>9.3923170846247697E-2</v>
      </c>
    </row>
    <row r="371" spans="1:49" x14ac:dyDescent="0.3">
      <c r="A371" t="s">
        <v>434</v>
      </c>
      <c r="B371" t="s">
        <v>36</v>
      </c>
      <c r="C371">
        <v>3</v>
      </c>
      <c r="D371" t="s">
        <v>12</v>
      </c>
      <c r="E371">
        <v>26</v>
      </c>
      <c r="F371">
        <v>23</v>
      </c>
      <c r="G371">
        <v>18</v>
      </c>
      <c r="H371">
        <v>28</v>
      </c>
      <c r="I371">
        <v>25</v>
      </c>
      <c r="J371">
        <v>25</v>
      </c>
      <c r="K371">
        <v>31</v>
      </c>
      <c r="L371">
        <v>33</v>
      </c>
      <c r="M371">
        <v>33</v>
      </c>
      <c r="N371">
        <v>29</v>
      </c>
      <c r="O371">
        <v>50</v>
      </c>
      <c r="P371">
        <v>53</v>
      </c>
      <c r="Q371">
        <v>50</v>
      </c>
      <c r="R371">
        <v>66</v>
      </c>
      <c r="S371">
        <v>49</v>
      </c>
      <c r="T371">
        <v>59</v>
      </c>
      <c r="U371">
        <v>65</v>
      </c>
      <c r="V371">
        <v>62</v>
      </c>
      <c r="W371">
        <v>69</v>
      </c>
      <c r="X371">
        <v>34</v>
      </c>
      <c r="Y371">
        <v>25</v>
      </c>
      <c r="Z371">
        <v>29</v>
      </c>
      <c r="AA371">
        <v>24</v>
      </c>
      <c r="AB371">
        <v>26</v>
      </c>
      <c r="AC371">
        <v>32</v>
      </c>
      <c r="AD371">
        <v>22</v>
      </c>
      <c r="AE371">
        <v>34</v>
      </c>
      <c r="AF371">
        <v>38</v>
      </c>
      <c r="AG371">
        <v>39</v>
      </c>
      <c r="AH371">
        <v>38</v>
      </c>
      <c r="AI371">
        <v>50</v>
      </c>
      <c r="AJ371">
        <v>40</v>
      </c>
      <c r="AK371">
        <v>58</v>
      </c>
      <c r="AL371">
        <v>49</v>
      </c>
      <c r="AM371">
        <v>69</v>
      </c>
      <c r="AN371">
        <v>54</v>
      </c>
      <c r="AO371">
        <v>58</v>
      </c>
      <c r="AP371">
        <v>57</v>
      </c>
      <c r="AQ371">
        <v>1570</v>
      </c>
      <c r="AR371">
        <v>1.910828025477707</v>
      </c>
      <c r="AS371">
        <f t="shared" si="25"/>
        <v>0.62520881636860948</v>
      </c>
      <c r="AT371">
        <f t="shared" si="26"/>
        <v>5.0266788836036198E-2</v>
      </c>
      <c r="AU371">
        <f t="shared" si="27"/>
        <v>5.02667888360362</v>
      </c>
      <c r="AV371">
        <f t="shared" si="28"/>
        <v>3</v>
      </c>
      <c r="AW371">
        <f t="shared" si="29"/>
        <v>9.3923170846247697E-2</v>
      </c>
    </row>
    <row r="372" spans="1:49" x14ac:dyDescent="0.3">
      <c r="A372" t="s">
        <v>435</v>
      </c>
      <c r="B372" t="s">
        <v>182</v>
      </c>
      <c r="C372">
        <v>3</v>
      </c>
      <c r="D372" t="s">
        <v>24</v>
      </c>
      <c r="E372">
        <v>21</v>
      </c>
      <c r="F372">
        <v>26</v>
      </c>
      <c r="G372">
        <v>25</v>
      </c>
      <c r="H372">
        <v>28</v>
      </c>
      <c r="I372">
        <v>36</v>
      </c>
      <c r="J372">
        <v>33</v>
      </c>
      <c r="K372">
        <v>45</v>
      </c>
      <c r="L372">
        <v>41</v>
      </c>
      <c r="M372">
        <v>53</v>
      </c>
      <c r="N372">
        <v>71</v>
      </c>
      <c r="O372">
        <v>75</v>
      </c>
      <c r="P372">
        <v>70</v>
      </c>
      <c r="Q372">
        <v>71</v>
      </c>
      <c r="R372">
        <v>85</v>
      </c>
      <c r="S372">
        <v>99</v>
      </c>
      <c r="T372">
        <v>77</v>
      </c>
      <c r="U372">
        <v>75</v>
      </c>
      <c r="V372">
        <v>82</v>
      </c>
      <c r="W372">
        <v>80</v>
      </c>
      <c r="X372">
        <v>33</v>
      </c>
      <c r="Y372">
        <v>24</v>
      </c>
      <c r="Z372">
        <v>26</v>
      </c>
      <c r="AA372">
        <v>31</v>
      </c>
      <c r="AB372">
        <v>27</v>
      </c>
      <c r="AC372">
        <v>52</v>
      </c>
      <c r="AD372">
        <v>39</v>
      </c>
      <c r="AE372">
        <v>45</v>
      </c>
      <c r="AF372">
        <v>44</v>
      </c>
      <c r="AG372">
        <v>76</v>
      </c>
      <c r="AH372">
        <v>67</v>
      </c>
      <c r="AI372">
        <v>65</v>
      </c>
      <c r="AJ372">
        <v>84</v>
      </c>
      <c r="AK372">
        <v>70</v>
      </c>
      <c r="AL372">
        <v>78</v>
      </c>
      <c r="AM372">
        <v>83</v>
      </c>
      <c r="AN372">
        <v>74</v>
      </c>
      <c r="AO372">
        <v>71</v>
      </c>
      <c r="AP372">
        <v>83</v>
      </c>
      <c r="AQ372">
        <v>2165</v>
      </c>
      <c r="AR372">
        <v>1.38568129330254</v>
      </c>
      <c r="AS372">
        <f t="shared" si="25"/>
        <v>0.44450239907540617</v>
      </c>
      <c r="AT372">
        <f t="shared" si="26"/>
        <v>3.5737992885662657E-2</v>
      </c>
      <c r="AU372">
        <f t="shared" si="27"/>
        <v>3.5737992885662657</v>
      </c>
      <c r="AV372">
        <f t="shared" si="28"/>
        <v>3</v>
      </c>
      <c r="AW372">
        <f t="shared" si="29"/>
        <v>9.3923170846247697E-2</v>
      </c>
    </row>
    <row r="373" spans="1:49" x14ac:dyDescent="0.3">
      <c r="A373" t="s">
        <v>436</v>
      </c>
      <c r="B373" t="s">
        <v>145</v>
      </c>
      <c r="C373">
        <v>2</v>
      </c>
      <c r="D373" t="s">
        <v>12</v>
      </c>
      <c r="E373">
        <v>137</v>
      </c>
      <c r="F373">
        <v>119</v>
      </c>
      <c r="G373">
        <v>118</v>
      </c>
      <c r="H373">
        <v>113</v>
      </c>
      <c r="I373">
        <v>122</v>
      </c>
      <c r="J373">
        <v>91</v>
      </c>
      <c r="K373">
        <v>82</v>
      </c>
      <c r="L373">
        <v>68</v>
      </c>
      <c r="M373">
        <v>83</v>
      </c>
      <c r="N373">
        <v>72</v>
      </c>
      <c r="O373">
        <v>106</v>
      </c>
      <c r="P373">
        <v>98</v>
      </c>
      <c r="Q373">
        <v>92</v>
      </c>
      <c r="R373">
        <v>98</v>
      </c>
      <c r="S373">
        <v>71</v>
      </c>
      <c r="T373">
        <v>78</v>
      </c>
      <c r="U373">
        <v>79</v>
      </c>
      <c r="V373">
        <v>79</v>
      </c>
      <c r="W373">
        <v>138</v>
      </c>
      <c r="X373">
        <v>140</v>
      </c>
      <c r="Y373">
        <v>106</v>
      </c>
      <c r="Z373">
        <v>99</v>
      </c>
      <c r="AA373">
        <v>121</v>
      </c>
      <c r="AB373">
        <v>100</v>
      </c>
      <c r="AC373">
        <v>101</v>
      </c>
      <c r="AD373">
        <v>102</v>
      </c>
      <c r="AE373">
        <v>76</v>
      </c>
      <c r="AF373">
        <v>87</v>
      </c>
      <c r="AG373">
        <v>82</v>
      </c>
      <c r="AH373">
        <v>89</v>
      </c>
      <c r="AI373">
        <v>86</v>
      </c>
      <c r="AJ373">
        <v>86</v>
      </c>
      <c r="AK373">
        <v>93</v>
      </c>
      <c r="AL373">
        <v>73</v>
      </c>
      <c r="AM373">
        <v>89</v>
      </c>
      <c r="AN373">
        <v>73</v>
      </c>
      <c r="AO373">
        <v>90</v>
      </c>
      <c r="AP373">
        <v>128</v>
      </c>
      <c r="AQ373">
        <v>3665</v>
      </c>
      <c r="AR373">
        <v>0.54570259208731242</v>
      </c>
      <c r="AS373">
        <f t="shared" si="25"/>
        <v>0.15546024685542212</v>
      </c>
      <c r="AT373">
        <f t="shared" si="26"/>
        <v>1.2499003847175939E-2</v>
      </c>
      <c r="AU373">
        <f t="shared" si="27"/>
        <v>1.2499003847175938</v>
      </c>
      <c r="AV373">
        <f t="shared" si="28"/>
        <v>3</v>
      </c>
      <c r="AW373">
        <f t="shared" si="29"/>
        <v>9.3923170846247697E-2</v>
      </c>
    </row>
    <row r="374" spans="1:49" x14ac:dyDescent="0.3">
      <c r="A374" t="s">
        <v>437</v>
      </c>
      <c r="B374" t="s">
        <v>145</v>
      </c>
      <c r="C374">
        <v>1</v>
      </c>
      <c r="D374" t="s">
        <v>12</v>
      </c>
      <c r="E374">
        <v>49</v>
      </c>
      <c r="F374">
        <v>43</v>
      </c>
      <c r="G374">
        <v>39</v>
      </c>
      <c r="H374">
        <v>46</v>
      </c>
      <c r="I374">
        <v>38</v>
      </c>
      <c r="J374">
        <v>45</v>
      </c>
      <c r="K374">
        <v>50</v>
      </c>
      <c r="L374">
        <v>43</v>
      </c>
      <c r="M374">
        <v>52</v>
      </c>
      <c r="N374">
        <v>63</v>
      </c>
      <c r="O374">
        <v>54</v>
      </c>
      <c r="P374">
        <v>60</v>
      </c>
      <c r="Q374">
        <v>59</v>
      </c>
      <c r="R374">
        <v>69</v>
      </c>
      <c r="S374">
        <v>72</v>
      </c>
      <c r="T374">
        <v>76</v>
      </c>
      <c r="U374">
        <v>63</v>
      </c>
      <c r="V374">
        <v>74</v>
      </c>
      <c r="W374">
        <v>72</v>
      </c>
      <c r="X374">
        <v>31</v>
      </c>
      <c r="Y374">
        <v>36</v>
      </c>
      <c r="Z374">
        <v>24</v>
      </c>
      <c r="AA374">
        <v>36</v>
      </c>
      <c r="AB374">
        <v>40</v>
      </c>
      <c r="AC374">
        <v>33</v>
      </c>
      <c r="AD374">
        <v>51</v>
      </c>
      <c r="AE374">
        <v>40</v>
      </c>
      <c r="AF374">
        <v>38</v>
      </c>
      <c r="AG374">
        <v>58</v>
      </c>
      <c r="AH374">
        <v>54</v>
      </c>
      <c r="AI374">
        <v>43</v>
      </c>
      <c r="AJ374">
        <v>48</v>
      </c>
      <c r="AK374">
        <v>67</v>
      </c>
      <c r="AL374">
        <v>73</v>
      </c>
      <c r="AM374">
        <v>74</v>
      </c>
      <c r="AN374">
        <v>69</v>
      </c>
      <c r="AO374">
        <v>74</v>
      </c>
      <c r="AP374">
        <v>78</v>
      </c>
      <c r="AQ374">
        <v>2034</v>
      </c>
      <c r="AR374">
        <v>0.49164208456243857</v>
      </c>
      <c r="AS374">
        <f t="shared" si="25"/>
        <v>0.13685767345387298</v>
      </c>
      <c r="AT374">
        <f t="shared" si="26"/>
        <v>1.1003356945691387E-2</v>
      </c>
      <c r="AU374">
        <f t="shared" si="27"/>
        <v>1.1003356945691387</v>
      </c>
      <c r="AV374">
        <f t="shared" si="28"/>
        <v>3</v>
      </c>
      <c r="AW374">
        <f t="shared" si="29"/>
        <v>9.3923170846247697E-2</v>
      </c>
    </row>
    <row r="375" spans="1:49" x14ac:dyDescent="0.3">
      <c r="A375" t="s">
        <v>438</v>
      </c>
      <c r="B375" t="s">
        <v>214</v>
      </c>
      <c r="C375">
        <v>1</v>
      </c>
      <c r="D375" t="s">
        <v>12</v>
      </c>
      <c r="E375">
        <v>8</v>
      </c>
      <c r="F375">
        <v>4</v>
      </c>
      <c r="G375">
        <v>3</v>
      </c>
      <c r="H375">
        <v>11</v>
      </c>
      <c r="I375">
        <v>2</v>
      </c>
      <c r="J375">
        <v>3</v>
      </c>
      <c r="K375">
        <v>9</v>
      </c>
      <c r="L375">
        <v>6</v>
      </c>
      <c r="M375">
        <v>5</v>
      </c>
      <c r="N375">
        <v>17</v>
      </c>
      <c r="O375">
        <v>11</v>
      </c>
      <c r="P375">
        <v>16</v>
      </c>
      <c r="Q375">
        <v>11</v>
      </c>
      <c r="R375">
        <v>12</v>
      </c>
      <c r="S375">
        <v>19</v>
      </c>
      <c r="T375">
        <v>13</v>
      </c>
      <c r="U375">
        <v>12</v>
      </c>
      <c r="V375">
        <v>16</v>
      </c>
      <c r="W375">
        <v>29</v>
      </c>
      <c r="X375">
        <v>6</v>
      </c>
      <c r="Y375">
        <v>8</v>
      </c>
      <c r="Z375">
        <v>9</v>
      </c>
      <c r="AA375">
        <v>5</v>
      </c>
      <c r="AB375">
        <v>8</v>
      </c>
      <c r="AC375">
        <v>10</v>
      </c>
      <c r="AD375">
        <v>6</v>
      </c>
      <c r="AE375">
        <v>6</v>
      </c>
      <c r="AF375">
        <v>9</v>
      </c>
      <c r="AG375">
        <v>9</v>
      </c>
      <c r="AH375">
        <v>11</v>
      </c>
      <c r="AI375">
        <v>10</v>
      </c>
      <c r="AJ375">
        <v>17</v>
      </c>
      <c r="AK375">
        <v>21</v>
      </c>
      <c r="AL375">
        <v>10</v>
      </c>
      <c r="AM375">
        <v>16</v>
      </c>
      <c r="AN375">
        <v>10</v>
      </c>
      <c r="AO375">
        <v>21</v>
      </c>
      <c r="AP375">
        <v>20</v>
      </c>
      <c r="AQ375">
        <v>419</v>
      </c>
      <c r="AR375">
        <v>2.3866348448687358</v>
      </c>
      <c r="AS375">
        <f t="shared" si="25"/>
        <v>0.78893704771395334</v>
      </c>
      <c r="AT375">
        <f t="shared" si="26"/>
        <v>6.343053863620185E-2</v>
      </c>
      <c r="AU375">
        <f t="shared" si="27"/>
        <v>6.3430538636201845</v>
      </c>
      <c r="AV375">
        <f t="shared" si="28"/>
        <v>3</v>
      </c>
      <c r="AW375">
        <f t="shared" si="29"/>
        <v>9.3923170846247697E-2</v>
      </c>
    </row>
    <row r="376" spans="1:49" x14ac:dyDescent="0.3">
      <c r="A376" t="s">
        <v>439</v>
      </c>
      <c r="B376" t="s">
        <v>77</v>
      </c>
      <c r="C376">
        <v>1</v>
      </c>
      <c r="D376" t="s">
        <v>24</v>
      </c>
      <c r="E376">
        <v>58</v>
      </c>
      <c r="F376">
        <v>46</v>
      </c>
      <c r="G376">
        <v>50</v>
      </c>
      <c r="H376">
        <v>35</v>
      </c>
      <c r="I376">
        <v>36</v>
      </c>
      <c r="J376">
        <v>42</v>
      </c>
      <c r="K376">
        <v>33</v>
      </c>
      <c r="L376">
        <v>42</v>
      </c>
      <c r="M376">
        <v>43</v>
      </c>
      <c r="N376">
        <v>50</v>
      </c>
      <c r="O376">
        <v>57</v>
      </c>
      <c r="P376">
        <v>45</v>
      </c>
      <c r="Q376">
        <v>58</v>
      </c>
      <c r="R376">
        <v>57</v>
      </c>
      <c r="S376">
        <v>58</v>
      </c>
      <c r="T376">
        <v>49</v>
      </c>
      <c r="U376">
        <v>56</v>
      </c>
      <c r="V376">
        <v>63</v>
      </c>
      <c r="W376">
        <v>69</v>
      </c>
      <c r="X376">
        <v>56</v>
      </c>
      <c r="Y376">
        <v>47</v>
      </c>
      <c r="Z376">
        <v>27</v>
      </c>
      <c r="AA376">
        <v>34</v>
      </c>
      <c r="AB376">
        <v>38</v>
      </c>
      <c r="AC376">
        <v>33</v>
      </c>
      <c r="AD376">
        <v>31</v>
      </c>
      <c r="AE376">
        <v>47</v>
      </c>
      <c r="AF376">
        <v>45</v>
      </c>
      <c r="AG376">
        <v>55</v>
      </c>
      <c r="AH376">
        <v>31</v>
      </c>
      <c r="AI376">
        <v>55</v>
      </c>
      <c r="AJ376">
        <v>55</v>
      </c>
      <c r="AK376">
        <v>54</v>
      </c>
      <c r="AL376">
        <v>57</v>
      </c>
      <c r="AM376">
        <v>70</v>
      </c>
      <c r="AN376">
        <v>55</v>
      </c>
      <c r="AO376">
        <v>70</v>
      </c>
      <c r="AP376">
        <v>59</v>
      </c>
      <c r="AQ376">
        <v>1866</v>
      </c>
      <c r="AR376">
        <v>0.53590568060021437</v>
      </c>
      <c r="AS376">
        <f t="shared" si="25"/>
        <v>0.15208906568470582</v>
      </c>
      <c r="AT376">
        <f t="shared" si="26"/>
        <v>1.2227960881050347E-2</v>
      </c>
      <c r="AU376">
        <f t="shared" si="27"/>
        <v>1.2227960881050346</v>
      </c>
      <c r="AV376">
        <f t="shared" si="28"/>
        <v>3</v>
      </c>
      <c r="AW376">
        <f t="shared" si="29"/>
        <v>9.3923170846247697E-2</v>
      </c>
    </row>
    <row r="377" spans="1:49" x14ac:dyDescent="0.3">
      <c r="A377" t="s">
        <v>440</v>
      </c>
      <c r="B377" t="s">
        <v>237</v>
      </c>
      <c r="C377">
        <v>1</v>
      </c>
      <c r="D377" t="s">
        <v>12</v>
      </c>
      <c r="E377">
        <v>28</v>
      </c>
      <c r="F377">
        <v>27</v>
      </c>
      <c r="G377">
        <v>30</v>
      </c>
      <c r="H377">
        <v>23</v>
      </c>
      <c r="I377">
        <v>41</v>
      </c>
      <c r="J377">
        <v>37</v>
      </c>
      <c r="K377">
        <v>49</v>
      </c>
      <c r="L377">
        <v>58</v>
      </c>
      <c r="M377">
        <v>69</v>
      </c>
      <c r="N377">
        <v>71</v>
      </c>
      <c r="O377">
        <v>77</v>
      </c>
      <c r="P377">
        <v>81</v>
      </c>
      <c r="Q377">
        <v>77</v>
      </c>
      <c r="R377">
        <v>121</v>
      </c>
      <c r="S377">
        <v>96</v>
      </c>
      <c r="T377">
        <v>87</v>
      </c>
      <c r="U377">
        <v>96</v>
      </c>
      <c r="V377">
        <v>100</v>
      </c>
      <c r="W377">
        <v>105</v>
      </c>
      <c r="X377">
        <v>28</v>
      </c>
      <c r="Y377">
        <v>32</v>
      </c>
      <c r="Z377">
        <v>32</v>
      </c>
      <c r="AA377">
        <v>25</v>
      </c>
      <c r="AB377">
        <v>39</v>
      </c>
      <c r="AC377">
        <v>50</v>
      </c>
      <c r="AD377">
        <v>51</v>
      </c>
      <c r="AE377">
        <v>40</v>
      </c>
      <c r="AF377">
        <v>65</v>
      </c>
      <c r="AG377">
        <v>66</v>
      </c>
      <c r="AH377">
        <v>74</v>
      </c>
      <c r="AI377">
        <v>76</v>
      </c>
      <c r="AJ377">
        <v>76</v>
      </c>
      <c r="AK377">
        <v>90</v>
      </c>
      <c r="AL377">
        <v>93</v>
      </c>
      <c r="AM377">
        <v>89</v>
      </c>
      <c r="AN377">
        <v>74</v>
      </c>
      <c r="AO377">
        <v>94</v>
      </c>
      <c r="AP377">
        <v>97</v>
      </c>
      <c r="AQ377">
        <v>2464</v>
      </c>
      <c r="AR377">
        <v>0.4058441558441559</v>
      </c>
      <c r="AS377">
        <f t="shared" si="25"/>
        <v>0.10733404632276683</v>
      </c>
      <c r="AT377">
        <f t="shared" si="26"/>
        <v>8.6296573243504534E-3</v>
      </c>
      <c r="AU377">
        <f t="shared" si="27"/>
        <v>0.86296573243504537</v>
      </c>
      <c r="AV377">
        <f t="shared" si="28"/>
        <v>3</v>
      </c>
      <c r="AW377">
        <f t="shared" si="29"/>
        <v>9.3923170846247697E-2</v>
      </c>
    </row>
    <row r="378" spans="1:49" x14ac:dyDescent="0.3">
      <c r="A378" t="s">
        <v>441</v>
      </c>
      <c r="B378" t="s">
        <v>31</v>
      </c>
      <c r="C378">
        <v>2</v>
      </c>
      <c r="D378" t="s">
        <v>24</v>
      </c>
      <c r="E378">
        <v>70</v>
      </c>
      <c r="F378">
        <v>62</v>
      </c>
      <c r="G378">
        <v>67</v>
      </c>
      <c r="H378">
        <v>49</v>
      </c>
      <c r="I378">
        <v>71</v>
      </c>
      <c r="J378">
        <v>58</v>
      </c>
      <c r="K378">
        <v>78</v>
      </c>
      <c r="L378">
        <v>67</v>
      </c>
      <c r="M378">
        <v>88</v>
      </c>
      <c r="N378">
        <v>70</v>
      </c>
      <c r="O378">
        <v>94</v>
      </c>
      <c r="P378">
        <v>95</v>
      </c>
      <c r="Q378">
        <v>97</v>
      </c>
      <c r="R378">
        <v>114</v>
      </c>
      <c r="S378">
        <v>110</v>
      </c>
      <c r="T378">
        <v>117</v>
      </c>
      <c r="U378">
        <v>129</v>
      </c>
      <c r="V378">
        <v>97</v>
      </c>
      <c r="W378">
        <v>124</v>
      </c>
      <c r="X378">
        <v>53</v>
      </c>
      <c r="Y378">
        <v>59</v>
      </c>
      <c r="Z378">
        <v>56</v>
      </c>
      <c r="AA378">
        <v>58</v>
      </c>
      <c r="AB378">
        <v>60</v>
      </c>
      <c r="AC378">
        <v>65</v>
      </c>
      <c r="AD378">
        <v>67</v>
      </c>
      <c r="AE378">
        <v>81</v>
      </c>
      <c r="AF378">
        <v>92</v>
      </c>
      <c r="AG378">
        <v>93</v>
      </c>
      <c r="AH378">
        <v>81</v>
      </c>
      <c r="AI378">
        <v>79</v>
      </c>
      <c r="AJ378">
        <v>85</v>
      </c>
      <c r="AK378">
        <v>83</v>
      </c>
      <c r="AL378">
        <v>109</v>
      </c>
      <c r="AM378">
        <v>109</v>
      </c>
      <c r="AN378">
        <v>98</v>
      </c>
      <c r="AO378">
        <v>103</v>
      </c>
      <c r="AP378">
        <v>130</v>
      </c>
      <c r="AQ378">
        <v>3218</v>
      </c>
      <c r="AR378">
        <v>0.62150403977625845</v>
      </c>
      <c r="AS378">
        <f t="shared" si="25"/>
        <v>0.18154401963407207</v>
      </c>
      <c r="AT378">
        <f t="shared" si="26"/>
        <v>1.4596139178579395E-2</v>
      </c>
      <c r="AU378">
        <f t="shared" si="27"/>
        <v>1.4596139178579395</v>
      </c>
      <c r="AV378">
        <f t="shared" si="28"/>
        <v>3</v>
      </c>
      <c r="AW378">
        <f t="shared" si="29"/>
        <v>9.3923170846247697E-2</v>
      </c>
    </row>
    <row r="379" spans="1:49" x14ac:dyDescent="0.3">
      <c r="A379" t="s">
        <v>442</v>
      </c>
      <c r="B379" t="s">
        <v>124</v>
      </c>
      <c r="C379">
        <v>1</v>
      </c>
      <c r="D379" t="s">
        <v>12</v>
      </c>
      <c r="E379">
        <v>34</v>
      </c>
      <c r="F379">
        <v>25</v>
      </c>
      <c r="G379">
        <v>24</v>
      </c>
      <c r="H379">
        <v>18</v>
      </c>
      <c r="I379">
        <v>32</v>
      </c>
      <c r="J379">
        <v>36</v>
      </c>
      <c r="K379">
        <v>39</v>
      </c>
      <c r="L379">
        <v>36</v>
      </c>
      <c r="M379">
        <v>37</v>
      </c>
      <c r="N379">
        <v>39</v>
      </c>
      <c r="O379">
        <v>54</v>
      </c>
      <c r="P379">
        <v>36</v>
      </c>
      <c r="Q379">
        <v>40</v>
      </c>
      <c r="R379">
        <v>52</v>
      </c>
      <c r="S379">
        <v>50</v>
      </c>
      <c r="T379">
        <v>62</v>
      </c>
      <c r="U379">
        <v>61</v>
      </c>
      <c r="V379">
        <v>65</v>
      </c>
      <c r="W379">
        <v>74</v>
      </c>
      <c r="X379">
        <v>34</v>
      </c>
      <c r="Y379">
        <v>36</v>
      </c>
      <c r="Z379">
        <v>18</v>
      </c>
      <c r="AA379">
        <v>26</v>
      </c>
      <c r="AB379">
        <v>27</v>
      </c>
      <c r="AC379">
        <v>29</v>
      </c>
      <c r="AD379">
        <v>38</v>
      </c>
      <c r="AE379">
        <v>33</v>
      </c>
      <c r="AF379">
        <v>28</v>
      </c>
      <c r="AG379">
        <v>38</v>
      </c>
      <c r="AH379">
        <v>33</v>
      </c>
      <c r="AI379">
        <v>48</v>
      </c>
      <c r="AJ379">
        <v>40</v>
      </c>
      <c r="AK379">
        <v>53</v>
      </c>
      <c r="AL379">
        <v>59</v>
      </c>
      <c r="AM379">
        <v>47</v>
      </c>
      <c r="AN379">
        <v>46</v>
      </c>
      <c r="AO379">
        <v>75</v>
      </c>
      <c r="AP379">
        <v>86</v>
      </c>
      <c r="AQ379">
        <v>1608</v>
      </c>
      <c r="AR379">
        <v>0.62189054726368154</v>
      </c>
      <c r="AS379">
        <f t="shared" si="25"/>
        <v>0.18167701938258032</v>
      </c>
      <c r="AT379">
        <f t="shared" si="26"/>
        <v>1.4606832358359459E-2</v>
      </c>
      <c r="AU379">
        <f t="shared" si="27"/>
        <v>1.4606832358359458</v>
      </c>
      <c r="AV379">
        <f t="shared" si="28"/>
        <v>3</v>
      </c>
      <c r="AW379">
        <f t="shared" si="29"/>
        <v>9.3923170846247697E-2</v>
      </c>
    </row>
    <row r="380" spans="1:49" x14ac:dyDescent="0.3">
      <c r="A380" t="s">
        <v>443</v>
      </c>
      <c r="B380" t="s">
        <v>23</v>
      </c>
      <c r="C380">
        <v>2</v>
      </c>
      <c r="D380" t="s">
        <v>24</v>
      </c>
      <c r="E380">
        <v>45</v>
      </c>
      <c r="F380">
        <v>41</v>
      </c>
      <c r="G380">
        <v>45</v>
      </c>
      <c r="H380">
        <v>57</v>
      </c>
      <c r="I380">
        <v>35</v>
      </c>
      <c r="J380">
        <v>53</v>
      </c>
      <c r="K380">
        <v>44</v>
      </c>
      <c r="L380">
        <v>65</v>
      </c>
      <c r="M380">
        <v>66</v>
      </c>
      <c r="N380">
        <v>75</v>
      </c>
      <c r="O380">
        <v>85</v>
      </c>
      <c r="P380">
        <v>96</v>
      </c>
      <c r="Q380">
        <v>92</v>
      </c>
      <c r="R380">
        <v>90</v>
      </c>
      <c r="S380">
        <v>105</v>
      </c>
      <c r="T380">
        <v>104</v>
      </c>
      <c r="U380">
        <v>107</v>
      </c>
      <c r="V380">
        <v>110</v>
      </c>
      <c r="W380">
        <v>149</v>
      </c>
      <c r="X380">
        <v>54</v>
      </c>
      <c r="Y380">
        <v>62</v>
      </c>
      <c r="Z380">
        <v>50</v>
      </c>
      <c r="AA380">
        <v>40</v>
      </c>
      <c r="AB380">
        <v>44</v>
      </c>
      <c r="AC380">
        <v>41</v>
      </c>
      <c r="AD380">
        <v>61</v>
      </c>
      <c r="AE380">
        <v>60</v>
      </c>
      <c r="AF380">
        <v>55</v>
      </c>
      <c r="AG380">
        <v>76</v>
      </c>
      <c r="AH380">
        <v>93</v>
      </c>
      <c r="AI380">
        <v>80</v>
      </c>
      <c r="AJ380">
        <v>87</v>
      </c>
      <c r="AK380">
        <v>85</v>
      </c>
      <c r="AL380">
        <v>107</v>
      </c>
      <c r="AM380">
        <v>122</v>
      </c>
      <c r="AN380">
        <v>97</v>
      </c>
      <c r="AO380">
        <v>114</v>
      </c>
      <c r="AP380">
        <v>130</v>
      </c>
      <c r="AQ380">
        <v>2922</v>
      </c>
      <c r="AR380">
        <v>0.68446269678302529</v>
      </c>
      <c r="AS380">
        <f t="shared" si="25"/>
        <v>0.20320850433563462</v>
      </c>
      <c r="AT380">
        <f t="shared" si="26"/>
        <v>1.6337963748585024E-2</v>
      </c>
      <c r="AU380">
        <f t="shared" si="27"/>
        <v>1.6337963748585025</v>
      </c>
      <c r="AV380">
        <f t="shared" si="28"/>
        <v>3</v>
      </c>
      <c r="AW380">
        <f t="shared" si="29"/>
        <v>9.3923170846247697E-2</v>
      </c>
    </row>
    <row r="381" spans="1:49" x14ac:dyDescent="0.3">
      <c r="A381" t="s">
        <v>444</v>
      </c>
      <c r="B381" t="s">
        <v>23</v>
      </c>
      <c r="C381">
        <v>1</v>
      </c>
      <c r="D381" t="s">
        <v>24</v>
      </c>
      <c r="E381">
        <v>33</v>
      </c>
      <c r="F381">
        <v>25</v>
      </c>
      <c r="G381">
        <v>32</v>
      </c>
      <c r="H381">
        <v>37</v>
      </c>
      <c r="I381">
        <v>32</v>
      </c>
      <c r="J381">
        <v>40</v>
      </c>
      <c r="K381">
        <v>35</v>
      </c>
      <c r="L381">
        <v>37</v>
      </c>
      <c r="M381">
        <v>40</v>
      </c>
      <c r="N381">
        <v>52</v>
      </c>
      <c r="O381">
        <v>45</v>
      </c>
      <c r="P381">
        <v>44</v>
      </c>
      <c r="Q381">
        <v>55</v>
      </c>
      <c r="R381">
        <v>47</v>
      </c>
      <c r="S381">
        <v>46</v>
      </c>
      <c r="T381">
        <v>72</v>
      </c>
      <c r="U381">
        <v>67</v>
      </c>
      <c r="V381">
        <v>71</v>
      </c>
      <c r="W381">
        <v>86</v>
      </c>
      <c r="X381">
        <v>32</v>
      </c>
      <c r="Y381">
        <v>31</v>
      </c>
      <c r="Z381">
        <v>38</v>
      </c>
      <c r="AA381">
        <v>35</v>
      </c>
      <c r="AB381">
        <v>32</v>
      </c>
      <c r="AC381">
        <v>34</v>
      </c>
      <c r="AD381">
        <v>31</v>
      </c>
      <c r="AE381">
        <v>35</v>
      </c>
      <c r="AF381">
        <v>23</v>
      </c>
      <c r="AG381">
        <v>55</v>
      </c>
      <c r="AH381">
        <v>47</v>
      </c>
      <c r="AI381">
        <v>51</v>
      </c>
      <c r="AJ381">
        <v>43</v>
      </c>
      <c r="AK381">
        <v>55</v>
      </c>
      <c r="AL381">
        <v>43</v>
      </c>
      <c r="AM381">
        <v>59</v>
      </c>
      <c r="AN381">
        <v>50</v>
      </c>
      <c r="AO381">
        <v>60</v>
      </c>
      <c r="AP381">
        <v>75</v>
      </c>
      <c r="AQ381">
        <v>1725</v>
      </c>
      <c r="AR381">
        <v>0.57971014492753625</v>
      </c>
      <c r="AS381">
        <f t="shared" si="25"/>
        <v>0.16716246769798904</v>
      </c>
      <c r="AT381">
        <f t="shared" si="26"/>
        <v>1.3439862402918319E-2</v>
      </c>
      <c r="AU381">
        <f t="shared" si="27"/>
        <v>1.3439862402918319</v>
      </c>
      <c r="AV381">
        <f t="shared" si="28"/>
        <v>3</v>
      </c>
      <c r="AW381">
        <f t="shared" si="29"/>
        <v>9.3923170846247697E-2</v>
      </c>
    </row>
    <row r="382" spans="1:49" x14ac:dyDescent="0.3">
      <c r="A382" t="s">
        <v>445</v>
      </c>
      <c r="B382" t="s">
        <v>33</v>
      </c>
      <c r="C382">
        <v>2</v>
      </c>
      <c r="D382" t="s">
        <v>17</v>
      </c>
      <c r="E382">
        <v>18</v>
      </c>
      <c r="F382">
        <v>36</v>
      </c>
      <c r="G382">
        <v>20</v>
      </c>
      <c r="H382">
        <v>27</v>
      </c>
      <c r="I382">
        <v>17</v>
      </c>
      <c r="J382">
        <v>32</v>
      </c>
      <c r="K382">
        <v>37</v>
      </c>
      <c r="L382">
        <v>31</v>
      </c>
      <c r="M382">
        <v>34</v>
      </c>
      <c r="N382">
        <v>47</v>
      </c>
      <c r="O382">
        <v>38</v>
      </c>
      <c r="P382">
        <v>60</v>
      </c>
      <c r="Q382">
        <v>45</v>
      </c>
      <c r="R382">
        <v>57</v>
      </c>
      <c r="S382">
        <v>55</v>
      </c>
      <c r="T382">
        <v>41</v>
      </c>
      <c r="U382">
        <v>42</v>
      </c>
      <c r="V382">
        <v>49</v>
      </c>
      <c r="W382">
        <v>34</v>
      </c>
      <c r="X382">
        <v>22</v>
      </c>
      <c r="Y382">
        <v>18</v>
      </c>
      <c r="Z382">
        <v>32</v>
      </c>
      <c r="AA382">
        <v>23</v>
      </c>
      <c r="AB382">
        <v>29</v>
      </c>
      <c r="AC382">
        <v>28</v>
      </c>
      <c r="AD382">
        <v>24</v>
      </c>
      <c r="AE382">
        <v>31</v>
      </c>
      <c r="AF382">
        <v>44</v>
      </c>
      <c r="AG382">
        <v>47</v>
      </c>
      <c r="AH382">
        <v>48</v>
      </c>
      <c r="AI382">
        <v>35</v>
      </c>
      <c r="AJ382">
        <v>36</v>
      </c>
      <c r="AK382">
        <v>35</v>
      </c>
      <c r="AL382">
        <v>37</v>
      </c>
      <c r="AM382">
        <v>39</v>
      </c>
      <c r="AN382">
        <v>31</v>
      </c>
      <c r="AO382">
        <v>35</v>
      </c>
      <c r="AP382">
        <v>35</v>
      </c>
      <c r="AQ382">
        <v>1349</v>
      </c>
      <c r="AR382">
        <v>1.4825796886582649</v>
      </c>
      <c r="AS382">
        <f t="shared" si="25"/>
        <v>0.4778457692105797</v>
      </c>
      <c r="AT382">
        <f t="shared" si="26"/>
        <v>3.8418799844530609E-2</v>
      </c>
      <c r="AU382">
        <f t="shared" si="27"/>
        <v>3.8418799844530609</v>
      </c>
      <c r="AV382">
        <f t="shared" si="28"/>
        <v>3</v>
      </c>
      <c r="AW382">
        <f t="shared" si="29"/>
        <v>9.3923170846247697E-2</v>
      </c>
    </row>
    <row r="383" spans="1:49" x14ac:dyDescent="0.3">
      <c r="A383" t="s">
        <v>446</v>
      </c>
      <c r="B383" t="s">
        <v>46</v>
      </c>
      <c r="C383">
        <v>1</v>
      </c>
      <c r="D383" t="s">
        <v>12</v>
      </c>
      <c r="E383">
        <v>22</v>
      </c>
      <c r="F383">
        <v>29</v>
      </c>
      <c r="G383">
        <v>22</v>
      </c>
      <c r="H383">
        <v>25</v>
      </c>
      <c r="I383">
        <v>16</v>
      </c>
      <c r="J383">
        <v>29</v>
      </c>
      <c r="K383">
        <v>17</v>
      </c>
      <c r="L383">
        <v>23</v>
      </c>
      <c r="M383">
        <v>27</v>
      </c>
      <c r="N383">
        <v>38</v>
      </c>
      <c r="O383">
        <v>38</v>
      </c>
      <c r="P383">
        <v>34</v>
      </c>
      <c r="Q383">
        <v>61</v>
      </c>
      <c r="R383">
        <v>37</v>
      </c>
      <c r="S383">
        <v>55</v>
      </c>
      <c r="T383">
        <v>45</v>
      </c>
      <c r="U383">
        <v>57</v>
      </c>
      <c r="V383">
        <v>68</v>
      </c>
      <c r="W383">
        <v>63</v>
      </c>
      <c r="X383">
        <v>34</v>
      </c>
      <c r="Y383">
        <v>23</v>
      </c>
      <c r="Z383">
        <v>21</v>
      </c>
      <c r="AA383">
        <v>20</v>
      </c>
      <c r="AB383">
        <v>19</v>
      </c>
      <c r="AC383">
        <v>21</v>
      </c>
      <c r="AD383">
        <v>20</v>
      </c>
      <c r="AE383">
        <v>22</v>
      </c>
      <c r="AF383">
        <v>27</v>
      </c>
      <c r="AG383">
        <v>28</v>
      </c>
      <c r="AH383">
        <v>28</v>
      </c>
      <c r="AI383">
        <v>37</v>
      </c>
      <c r="AJ383">
        <v>38</v>
      </c>
      <c r="AK383">
        <v>33</v>
      </c>
      <c r="AL383">
        <v>41</v>
      </c>
      <c r="AM383">
        <v>37</v>
      </c>
      <c r="AN383">
        <v>43</v>
      </c>
      <c r="AO383">
        <v>40</v>
      </c>
      <c r="AP383">
        <v>44</v>
      </c>
      <c r="AQ383">
        <v>1282</v>
      </c>
      <c r="AR383">
        <v>0.78003120124804992</v>
      </c>
      <c r="AS383">
        <f t="shared" si="25"/>
        <v>0.23609425033735135</v>
      </c>
      <c r="AT383">
        <f t="shared" si="26"/>
        <v>1.8981977727123046E-2</v>
      </c>
      <c r="AU383">
        <f t="shared" si="27"/>
        <v>1.8981977727123047</v>
      </c>
      <c r="AV383">
        <f t="shared" si="28"/>
        <v>3</v>
      </c>
      <c r="AW383">
        <f t="shared" si="29"/>
        <v>9.3923170846247697E-2</v>
      </c>
    </row>
    <row r="384" spans="1:49" x14ac:dyDescent="0.3">
      <c r="A384" t="s">
        <v>447</v>
      </c>
      <c r="B384" t="s">
        <v>105</v>
      </c>
      <c r="C384">
        <v>1</v>
      </c>
      <c r="D384" t="s">
        <v>12</v>
      </c>
      <c r="E384">
        <v>32</v>
      </c>
      <c r="F384">
        <v>28</v>
      </c>
      <c r="G384">
        <v>24</v>
      </c>
      <c r="H384">
        <v>27</v>
      </c>
      <c r="I384">
        <v>19</v>
      </c>
      <c r="J384">
        <v>28</v>
      </c>
      <c r="K384">
        <v>32</v>
      </c>
      <c r="L384">
        <v>28</v>
      </c>
      <c r="M384">
        <v>32</v>
      </c>
      <c r="N384">
        <v>46</v>
      </c>
      <c r="O384">
        <v>51</v>
      </c>
      <c r="P384">
        <v>48</v>
      </c>
      <c r="Q384">
        <v>54</v>
      </c>
      <c r="R384">
        <v>60</v>
      </c>
      <c r="S384">
        <v>52</v>
      </c>
      <c r="T384">
        <v>67</v>
      </c>
      <c r="U384">
        <v>70</v>
      </c>
      <c r="V384">
        <v>74</v>
      </c>
      <c r="W384">
        <v>83</v>
      </c>
      <c r="X384">
        <v>37</v>
      </c>
      <c r="Y384">
        <v>34</v>
      </c>
      <c r="Z384">
        <v>18</v>
      </c>
      <c r="AA384">
        <v>26</v>
      </c>
      <c r="AB384">
        <v>18</v>
      </c>
      <c r="AC384">
        <v>29</v>
      </c>
      <c r="AD384">
        <v>24</v>
      </c>
      <c r="AE384">
        <v>23</v>
      </c>
      <c r="AF384">
        <v>28</v>
      </c>
      <c r="AG384">
        <v>45</v>
      </c>
      <c r="AH384">
        <v>48</v>
      </c>
      <c r="AI384">
        <v>32</v>
      </c>
      <c r="AJ384">
        <v>64</v>
      </c>
      <c r="AK384">
        <v>59</v>
      </c>
      <c r="AL384">
        <v>65</v>
      </c>
      <c r="AM384">
        <v>77</v>
      </c>
      <c r="AN384">
        <v>48</v>
      </c>
      <c r="AO384">
        <v>60</v>
      </c>
      <c r="AP384">
        <v>80</v>
      </c>
      <c r="AQ384">
        <v>1670</v>
      </c>
      <c r="AR384">
        <v>0.59880239520958078</v>
      </c>
      <c r="AS384">
        <f t="shared" si="25"/>
        <v>0.17373223560312875</v>
      </c>
      <c r="AT384">
        <f t="shared" si="26"/>
        <v>1.3968071742491551E-2</v>
      </c>
      <c r="AU384">
        <f t="shared" si="27"/>
        <v>1.396807174249155</v>
      </c>
      <c r="AV384">
        <f t="shared" si="28"/>
        <v>3</v>
      </c>
      <c r="AW384">
        <f t="shared" si="29"/>
        <v>9.3923170846247697E-2</v>
      </c>
    </row>
    <row r="385" spans="1:49" x14ac:dyDescent="0.3">
      <c r="A385" t="s">
        <v>448</v>
      </c>
      <c r="B385" t="s">
        <v>105</v>
      </c>
      <c r="C385">
        <v>1</v>
      </c>
      <c r="D385" t="s">
        <v>12</v>
      </c>
      <c r="E385">
        <v>96</v>
      </c>
      <c r="F385">
        <v>93</v>
      </c>
      <c r="G385">
        <v>93</v>
      </c>
      <c r="H385">
        <v>71</v>
      </c>
      <c r="I385">
        <v>84</v>
      </c>
      <c r="J385">
        <v>58</v>
      </c>
      <c r="K385">
        <v>64</v>
      </c>
      <c r="L385">
        <v>66</v>
      </c>
      <c r="M385">
        <v>59</v>
      </c>
      <c r="N385">
        <v>74</v>
      </c>
      <c r="O385">
        <v>73</v>
      </c>
      <c r="P385">
        <v>81</v>
      </c>
      <c r="Q385">
        <v>97</v>
      </c>
      <c r="R385">
        <v>97</v>
      </c>
      <c r="S385">
        <v>95</v>
      </c>
      <c r="T385">
        <v>88</v>
      </c>
      <c r="U385">
        <v>92</v>
      </c>
      <c r="V385">
        <v>92</v>
      </c>
      <c r="W385">
        <v>92</v>
      </c>
      <c r="X385">
        <v>77</v>
      </c>
      <c r="Y385">
        <v>105</v>
      </c>
      <c r="Z385">
        <v>89</v>
      </c>
      <c r="AA385">
        <v>92</v>
      </c>
      <c r="AB385">
        <v>73</v>
      </c>
      <c r="AC385">
        <v>61</v>
      </c>
      <c r="AD385">
        <v>66</v>
      </c>
      <c r="AE385">
        <v>94</v>
      </c>
      <c r="AF385">
        <v>56</v>
      </c>
      <c r="AG385">
        <v>78</v>
      </c>
      <c r="AH385">
        <v>75</v>
      </c>
      <c r="AI385">
        <v>90</v>
      </c>
      <c r="AJ385">
        <v>86</v>
      </c>
      <c r="AK385">
        <v>89</v>
      </c>
      <c r="AL385">
        <v>96</v>
      </c>
      <c r="AM385">
        <v>86</v>
      </c>
      <c r="AN385">
        <v>87</v>
      </c>
      <c r="AO385">
        <v>87</v>
      </c>
      <c r="AP385">
        <v>108</v>
      </c>
      <c r="AQ385">
        <v>3160</v>
      </c>
      <c r="AR385">
        <v>0.31645569620253161</v>
      </c>
      <c r="AS385">
        <f t="shared" si="25"/>
        <v>7.6574894071567007E-2</v>
      </c>
      <c r="AT385">
        <f t="shared" si="26"/>
        <v>6.1566214833539872E-3</v>
      </c>
      <c r="AU385">
        <f t="shared" si="27"/>
        <v>0.61566214833539867</v>
      </c>
      <c r="AV385">
        <f t="shared" si="28"/>
        <v>3</v>
      </c>
      <c r="AW385">
        <f t="shared" si="29"/>
        <v>9.3923170846247697E-2</v>
      </c>
    </row>
    <row r="386" spans="1:49" x14ac:dyDescent="0.3">
      <c r="A386" t="s">
        <v>449</v>
      </c>
      <c r="B386" t="s">
        <v>105</v>
      </c>
      <c r="C386">
        <v>2</v>
      </c>
      <c r="D386" t="s">
        <v>12</v>
      </c>
      <c r="E386">
        <v>34</v>
      </c>
      <c r="F386">
        <v>44</v>
      </c>
      <c r="G386">
        <v>29</v>
      </c>
      <c r="H386">
        <v>25</v>
      </c>
      <c r="I386">
        <v>25</v>
      </c>
      <c r="J386">
        <v>36</v>
      </c>
      <c r="K386">
        <v>32</v>
      </c>
      <c r="L386">
        <v>25</v>
      </c>
      <c r="M386">
        <v>21</v>
      </c>
      <c r="N386">
        <v>33</v>
      </c>
      <c r="O386">
        <v>35</v>
      </c>
      <c r="P386">
        <v>31</v>
      </c>
      <c r="Q386">
        <v>41</v>
      </c>
      <c r="R386">
        <v>29</v>
      </c>
      <c r="S386">
        <v>46</v>
      </c>
      <c r="T386">
        <v>40</v>
      </c>
      <c r="U386">
        <v>35</v>
      </c>
      <c r="V386">
        <v>41</v>
      </c>
      <c r="W386">
        <v>51</v>
      </c>
      <c r="X386">
        <v>39</v>
      </c>
      <c r="Y386">
        <v>42</v>
      </c>
      <c r="Z386">
        <v>31</v>
      </c>
      <c r="AA386">
        <v>29</v>
      </c>
      <c r="AB386">
        <v>28</v>
      </c>
      <c r="AC386">
        <v>34</v>
      </c>
      <c r="AD386">
        <v>36</v>
      </c>
      <c r="AE386">
        <v>36</v>
      </c>
      <c r="AF386">
        <v>38</v>
      </c>
      <c r="AG386">
        <v>32</v>
      </c>
      <c r="AH386">
        <v>35</v>
      </c>
      <c r="AI386">
        <v>35</v>
      </c>
      <c r="AJ386">
        <v>34</v>
      </c>
      <c r="AK386">
        <v>41</v>
      </c>
      <c r="AL386">
        <v>39</v>
      </c>
      <c r="AM386">
        <v>39</v>
      </c>
      <c r="AN386">
        <v>37</v>
      </c>
      <c r="AO386">
        <v>50</v>
      </c>
      <c r="AP386">
        <v>57</v>
      </c>
      <c r="AQ386">
        <v>1365</v>
      </c>
      <c r="AR386">
        <v>1.4652014652014651</v>
      </c>
      <c r="AS386">
        <f t="shared" si="25"/>
        <v>0.47186580912058429</v>
      </c>
      <c r="AT386">
        <f t="shared" si="26"/>
        <v>3.7938011053294973E-2</v>
      </c>
      <c r="AU386">
        <f t="shared" si="27"/>
        <v>3.7938011053294973</v>
      </c>
      <c r="AV386">
        <f t="shared" si="28"/>
        <v>3</v>
      </c>
      <c r="AW386">
        <f t="shared" si="29"/>
        <v>9.3923170846247697E-2</v>
      </c>
    </row>
    <row r="387" spans="1:49" x14ac:dyDescent="0.3">
      <c r="A387" t="s">
        <v>450</v>
      </c>
      <c r="B387" t="s">
        <v>54</v>
      </c>
      <c r="C387">
        <v>2</v>
      </c>
      <c r="D387" t="s">
        <v>17</v>
      </c>
      <c r="E387">
        <v>47</v>
      </c>
      <c r="F387">
        <v>41</v>
      </c>
      <c r="G387">
        <v>38</v>
      </c>
      <c r="H387">
        <v>45</v>
      </c>
      <c r="I387">
        <v>40</v>
      </c>
      <c r="J387">
        <v>51</v>
      </c>
      <c r="K387">
        <v>57</v>
      </c>
      <c r="L387">
        <v>61</v>
      </c>
      <c r="M387">
        <v>86</v>
      </c>
      <c r="N387">
        <v>89</v>
      </c>
      <c r="O387">
        <v>81</v>
      </c>
      <c r="P387">
        <v>95</v>
      </c>
      <c r="Q387">
        <v>102</v>
      </c>
      <c r="R387">
        <v>99</v>
      </c>
      <c r="S387">
        <v>107</v>
      </c>
      <c r="T387">
        <v>106</v>
      </c>
      <c r="U387">
        <v>113</v>
      </c>
      <c r="V387">
        <v>122</v>
      </c>
      <c r="W387">
        <v>144</v>
      </c>
      <c r="X387">
        <v>47</v>
      </c>
      <c r="Y387">
        <v>43</v>
      </c>
      <c r="Z387">
        <v>26</v>
      </c>
      <c r="AA387">
        <v>51</v>
      </c>
      <c r="AB387">
        <v>51</v>
      </c>
      <c r="AC387">
        <v>50</v>
      </c>
      <c r="AD387">
        <v>54</v>
      </c>
      <c r="AE387">
        <v>58</v>
      </c>
      <c r="AF387">
        <v>66</v>
      </c>
      <c r="AG387">
        <v>69</v>
      </c>
      <c r="AH387">
        <v>84</v>
      </c>
      <c r="AI387">
        <v>81</v>
      </c>
      <c r="AJ387">
        <v>76</v>
      </c>
      <c r="AK387">
        <v>106</v>
      </c>
      <c r="AL387">
        <v>117</v>
      </c>
      <c r="AM387">
        <v>110</v>
      </c>
      <c r="AN387">
        <v>99</v>
      </c>
      <c r="AO387">
        <v>120</v>
      </c>
      <c r="AP387">
        <v>120</v>
      </c>
      <c r="AQ387">
        <v>2952</v>
      </c>
      <c r="AR387">
        <v>0.6775067750677507</v>
      </c>
      <c r="AS387">
        <f t="shared" ref="AS387:AS450" si="30">(AR387-AW387)/(AV387-AW387)</f>
        <v>0.20081492628377692</v>
      </c>
      <c r="AT387">
        <f t="shared" ref="AT387:AT450" si="31">AS387*0.0804</f>
        <v>1.6145520073215666E-2</v>
      </c>
      <c r="AU387">
        <f t="shared" ref="AU387:AU450" si="32">AT387*100</f>
        <v>1.6145520073215667</v>
      </c>
      <c r="AV387">
        <f t="shared" ref="AV387:AV450" si="33">MAX(AR:AR)</f>
        <v>3</v>
      </c>
      <c r="AW387">
        <f t="shared" ref="AW387:AW450" si="34">MIN(AR:AR)</f>
        <v>9.3923170846247697E-2</v>
      </c>
    </row>
    <row r="388" spans="1:49" x14ac:dyDescent="0.3">
      <c r="A388" t="s">
        <v>451</v>
      </c>
      <c r="B388" t="s">
        <v>54</v>
      </c>
      <c r="C388">
        <v>1</v>
      </c>
      <c r="D388" t="s">
        <v>17</v>
      </c>
      <c r="E388">
        <v>66</v>
      </c>
      <c r="F388">
        <v>62</v>
      </c>
      <c r="G388">
        <v>57</v>
      </c>
      <c r="H388">
        <v>66</v>
      </c>
      <c r="I388">
        <v>71</v>
      </c>
      <c r="J388">
        <v>67</v>
      </c>
      <c r="K388">
        <v>85</v>
      </c>
      <c r="L388">
        <v>59</v>
      </c>
      <c r="M388">
        <v>63</v>
      </c>
      <c r="N388">
        <v>76</v>
      </c>
      <c r="O388">
        <v>66</v>
      </c>
      <c r="P388">
        <v>60</v>
      </c>
      <c r="Q388">
        <v>68</v>
      </c>
      <c r="R388">
        <v>74</v>
      </c>
      <c r="S388">
        <v>66</v>
      </c>
      <c r="T388">
        <v>58</v>
      </c>
      <c r="U388">
        <v>74</v>
      </c>
      <c r="V388">
        <v>78</v>
      </c>
      <c r="W388">
        <v>94</v>
      </c>
      <c r="X388">
        <v>77</v>
      </c>
      <c r="Y388">
        <v>55</v>
      </c>
      <c r="Z388">
        <v>60</v>
      </c>
      <c r="AA388">
        <v>67</v>
      </c>
      <c r="AB388">
        <v>85</v>
      </c>
      <c r="AC388">
        <v>84</v>
      </c>
      <c r="AD388">
        <v>70</v>
      </c>
      <c r="AE388">
        <v>63</v>
      </c>
      <c r="AF388">
        <v>69</v>
      </c>
      <c r="AG388">
        <v>74</v>
      </c>
      <c r="AH388">
        <v>62</v>
      </c>
      <c r="AI388">
        <v>64</v>
      </c>
      <c r="AJ388">
        <v>62</v>
      </c>
      <c r="AK388">
        <v>71</v>
      </c>
      <c r="AL388">
        <v>74</v>
      </c>
      <c r="AM388">
        <v>80</v>
      </c>
      <c r="AN388">
        <v>77</v>
      </c>
      <c r="AO388">
        <v>67</v>
      </c>
      <c r="AP388">
        <v>83</v>
      </c>
      <c r="AQ388">
        <v>2654</v>
      </c>
      <c r="AR388">
        <v>0.37678975131876408</v>
      </c>
      <c r="AS388">
        <f t="shared" si="30"/>
        <v>9.7336236136223192E-2</v>
      </c>
      <c r="AT388">
        <f t="shared" si="31"/>
        <v>7.8258333853523446E-3</v>
      </c>
      <c r="AU388">
        <f t="shared" si="32"/>
        <v>0.78258333853523443</v>
      </c>
      <c r="AV388">
        <f t="shared" si="33"/>
        <v>3</v>
      </c>
      <c r="AW388">
        <f t="shared" si="34"/>
        <v>9.3923170846247697E-2</v>
      </c>
    </row>
    <row r="389" spans="1:49" x14ac:dyDescent="0.3">
      <c r="A389" t="s">
        <v>452</v>
      </c>
      <c r="B389" t="s">
        <v>54</v>
      </c>
      <c r="C389">
        <v>2</v>
      </c>
      <c r="D389" t="s">
        <v>17</v>
      </c>
      <c r="E389">
        <v>70</v>
      </c>
      <c r="F389">
        <v>85</v>
      </c>
      <c r="G389">
        <v>79</v>
      </c>
      <c r="H389">
        <v>71</v>
      </c>
      <c r="I389">
        <v>83</v>
      </c>
      <c r="J389">
        <v>76</v>
      </c>
      <c r="K389">
        <v>86</v>
      </c>
      <c r="L389">
        <v>97</v>
      </c>
      <c r="M389">
        <v>92</v>
      </c>
      <c r="N389">
        <v>120</v>
      </c>
      <c r="O389">
        <v>126</v>
      </c>
      <c r="P389">
        <v>121</v>
      </c>
      <c r="Q389">
        <v>123</v>
      </c>
      <c r="R389">
        <v>123</v>
      </c>
      <c r="S389">
        <v>138</v>
      </c>
      <c r="T389">
        <v>148</v>
      </c>
      <c r="U389">
        <v>144</v>
      </c>
      <c r="V389">
        <v>162</v>
      </c>
      <c r="W389">
        <v>152</v>
      </c>
      <c r="X389">
        <v>70</v>
      </c>
      <c r="Y389">
        <v>79</v>
      </c>
      <c r="Z389">
        <v>58</v>
      </c>
      <c r="AA389">
        <v>66</v>
      </c>
      <c r="AB389">
        <v>92</v>
      </c>
      <c r="AC389">
        <v>80</v>
      </c>
      <c r="AD389">
        <v>92</v>
      </c>
      <c r="AE389">
        <v>90</v>
      </c>
      <c r="AF389">
        <v>82</v>
      </c>
      <c r="AG389">
        <v>105</v>
      </c>
      <c r="AH389">
        <v>114</v>
      </c>
      <c r="AI389">
        <v>126</v>
      </c>
      <c r="AJ389">
        <v>131</v>
      </c>
      <c r="AK389">
        <v>151</v>
      </c>
      <c r="AL389">
        <v>136</v>
      </c>
      <c r="AM389">
        <v>161</v>
      </c>
      <c r="AN389">
        <v>156</v>
      </c>
      <c r="AO389">
        <v>162</v>
      </c>
      <c r="AP389">
        <v>163</v>
      </c>
      <c r="AQ389">
        <v>4210</v>
      </c>
      <c r="AR389">
        <v>0.47505938242280282</v>
      </c>
      <c r="AS389">
        <f t="shared" si="30"/>
        <v>0.13115145744014681</v>
      </c>
      <c r="AT389">
        <f t="shared" si="31"/>
        <v>1.0544577178187802E-2</v>
      </c>
      <c r="AU389">
        <f t="shared" si="32"/>
        <v>1.0544577178187802</v>
      </c>
      <c r="AV389">
        <f t="shared" si="33"/>
        <v>3</v>
      </c>
      <c r="AW389">
        <f t="shared" si="34"/>
        <v>9.3923170846247697E-2</v>
      </c>
    </row>
    <row r="390" spans="1:49" x14ac:dyDescent="0.3">
      <c r="A390" t="s">
        <v>453</v>
      </c>
      <c r="B390" t="s">
        <v>91</v>
      </c>
      <c r="C390">
        <v>2</v>
      </c>
      <c r="D390" t="s">
        <v>24</v>
      </c>
      <c r="E390">
        <v>101</v>
      </c>
      <c r="F390">
        <v>96</v>
      </c>
      <c r="G390">
        <v>108</v>
      </c>
      <c r="H390">
        <v>117</v>
      </c>
      <c r="I390">
        <v>107</v>
      </c>
      <c r="J390">
        <v>116</v>
      </c>
      <c r="K390">
        <v>160</v>
      </c>
      <c r="L390">
        <v>173</v>
      </c>
      <c r="M390">
        <v>219</v>
      </c>
      <c r="N390">
        <v>245</v>
      </c>
      <c r="O390">
        <v>294</v>
      </c>
      <c r="P390">
        <v>305</v>
      </c>
      <c r="Q390">
        <v>267</v>
      </c>
      <c r="R390">
        <v>320</v>
      </c>
      <c r="S390">
        <v>341</v>
      </c>
      <c r="T390">
        <v>337</v>
      </c>
      <c r="U390">
        <v>329</v>
      </c>
      <c r="V390">
        <v>335</v>
      </c>
      <c r="W390">
        <v>294</v>
      </c>
      <c r="X390">
        <v>85</v>
      </c>
      <c r="Y390">
        <v>81</v>
      </c>
      <c r="Z390">
        <v>116</v>
      </c>
      <c r="AA390">
        <v>104</v>
      </c>
      <c r="AB390">
        <v>104</v>
      </c>
      <c r="AC390">
        <v>134</v>
      </c>
      <c r="AD390">
        <v>139</v>
      </c>
      <c r="AE390">
        <v>175</v>
      </c>
      <c r="AF390">
        <v>193</v>
      </c>
      <c r="AG390">
        <v>247</v>
      </c>
      <c r="AH390">
        <v>259</v>
      </c>
      <c r="AI390">
        <v>263</v>
      </c>
      <c r="AJ390">
        <v>330</v>
      </c>
      <c r="AK390">
        <v>334</v>
      </c>
      <c r="AL390">
        <v>336</v>
      </c>
      <c r="AM390">
        <v>307</v>
      </c>
      <c r="AN390">
        <v>279</v>
      </c>
      <c r="AO390">
        <v>305</v>
      </c>
      <c r="AP390">
        <v>320</v>
      </c>
      <c r="AQ390">
        <v>8375</v>
      </c>
      <c r="AR390">
        <v>0.2388059701492537</v>
      </c>
      <c r="AS390">
        <f t="shared" si="30"/>
        <v>4.9855116647138265E-2</v>
      </c>
      <c r="AT390">
        <f t="shared" si="31"/>
        <v>4.0083513784299162E-3</v>
      </c>
      <c r="AU390">
        <f t="shared" si="32"/>
        <v>0.40083513784299163</v>
      </c>
      <c r="AV390">
        <f t="shared" si="33"/>
        <v>3</v>
      </c>
      <c r="AW390">
        <f t="shared" si="34"/>
        <v>9.3923170846247697E-2</v>
      </c>
    </row>
    <row r="391" spans="1:49" x14ac:dyDescent="0.3">
      <c r="A391" t="s">
        <v>454</v>
      </c>
      <c r="B391" t="s">
        <v>26</v>
      </c>
      <c r="C391">
        <v>1</v>
      </c>
      <c r="D391" t="s">
        <v>17</v>
      </c>
      <c r="E391">
        <v>24</v>
      </c>
      <c r="F391">
        <v>37</v>
      </c>
      <c r="G391">
        <v>27</v>
      </c>
      <c r="H391">
        <v>34</v>
      </c>
      <c r="I391">
        <v>28</v>
      </c>
      <c r="J391">
        <v>35</v>
      </c>
      <c r="K391">
        <v>46</v>
      </c>
      <c r="L391">
        <v>53</v>
      </c>
      <c r="M391">
        <v>73</v>
      </c>
      <c r="N391">
        <v>78</v>
      </c>
      <c r="O391">
        <v>74</v>
      </c>
      <c r="P391">
        <v>78</v>
      </c>
      <c r="Q391">
        <v>89</v>
      </c>
      <c r="R391">
        <v>88</v>
      </c>
      <c r="S391">
        <v>97</v>
      </c>
      <c r="T391">
        <v>99</v>
      </c>
      <c r="U391">
        <v>107</v>
      </c>
      <c r="V391">
        <v>109</v>
      </c>
      <c r="W391">
        <v>125</v>
      </c>
      <c r="X391">
        <v>29</v>
      </c>
      <c r="Y391">
        <v>25</v>
      </c>
      <c r="Z391">
        <v>24</v>
      </c>
      <c r="AA391">
        <v>32</v>
      </c>
      <c r="AB391">
        <v>36</v>
      </c>
      <c r="AC391">
        <v>46</v>
      </c>
      <c r="AD391">
        <v>45</v>
      </c>
      <c r="AE391">
        <v>48</v>
      </c>
      <c r="AF391">
        <v>52</v>
      </c>
      <c r="AG391">
        <v>65</v>
      </c>
      <c r="AH391">
        <v>79</v>
      </c>
      <c r="AI391">
        <v>76</v>
      </c>
      <c r="AJ391">
        <v>69</v>
      </c>
      <c r="AK391">
        <v>99</v>
      </c>
      <c r="AL391">
        <v>96</v>
      </c>
      <c r="AM391">
        <v>112</v>
      </c>
      <c r="AN391">
        <v>88</v>
      </c>
      <c r="AO391">
        <v>110</v>
      </c>
      <c r="AP391">
        <v>105</v>
      </c>
      <c r="AQ391">
        <v>2537</v>
      </c>
      <c r="AR391">
        <v>0.39416633819471808</v>
      </c>
      <c r="AS391">
        <f t="shared" si="30"/>
        <v>0.10331563306807033</v>
      </c>
      <c r="AT391">
        <f t="shared" si="31"/>
        <v>8.3065768986728544E-3</v>
      </c>
      <c r="AU391">
        <f t="shared" si="32"/>
        <v>0.8306576898672855</v>
      </c>
      <c r="AV391">
        <f t="shared" si="33"/>
        <v>3</v>
      </c>
      <c r="AW391">
        <f t="shared" si="34"/>
        <v>9.3923170846247697E-2</v>
      </c>
    </row>
    <row r="392" spans="1:49" x14ac:dyDescent="0.3">
      <c r="A392" t="s">
        <v>455</v>
      </c>
      <c r="B392" t="s">
        <v>145</v>
      </c>
      <c r="C392">
        <v>1</v>
      </c>
      <c r="D392" t="s">
        <v>12</v>
      </c>
      <c r="E392">
        <v>79</v>
      </c>
      <c r="F392">
        <v>82</v>
      </c>
      <c r="G392">
        <v>85</v>
      </c>
      <c r="H392">
        <v>74</v>
      </c>
      <c r="I392">
        <v>95</v>
      </c>
      <c r="J392">
        <v>91</v>
      </c>
      <c r="K392">
        <v>82</v>
      </c>
      <c r="L392">
        <v>93</v>
      </c>
      <c r="M392">
        <v>115</v>
      </c>
      <c r="N392">
        <v>116</v>
      </c>
      <c r="O392">
        <v>125</v>
      </c>
      <c r="P392">
        <v>115</v>
      </c>
      <c r="Q392">
        <v>101</v>
      </c>
      <c r="R392">
        <v>121</v>
      </c>
      <c r="S392">
        <v>129</v>
      </c>
      <c r="T392">
        <v>135</v>
      </c>
      <c r="U392">
        <v>129</v>
      </c>
      <c r="V392">
        <v>121</v>
      </c>
      <c r="W392">
        <v>142</v>
      </c>
      <c r="X392">
        <v>74</v>
      </c>
      <c r="Y392">
        <v>69</v>
      </c>
      <c r="Z392">
        <v>62</v>
      </c>
      <c r="AA392">
        <v>72</v>
      </c>
      <c r="AB392">
        <v>74</v>
      </c>
      <c r="AC392">
        <v>78</v>
      </c>
      <c r="AD392">
        <v>101</v>
      </c>
      <c r="AE392">
        <v>72</v>
      </c>
      <c r="AF392">
        <v>87</v>
      </c>
      <c r="AG392">
        <v>102</v>
      </c>
      <c r="AH392">
        <v>133</v>
      </c>
      <c r="AI392">
        <v>118</v>
      </c>
      <c r="AJ392">
        <v>117</v>
      </c>
      <c r="AK392">
        <v>115</v>
      </c>
      <c r="AL392">
        <v>137</v>
      </c>
      <c r="AM392">
        <v>124</v>
      </c>
      <c r="AN392">
        <v>106</v>
      </c>
      <c r="AO392">
        <v>133</v>
      </c>
      <c r="AP392">
        <v>136</v>
      </c>
      <c r="AQ392">
        <v>3940</v>
      </c>
      <c r="AR392">
        <v>0.25380710659898481</v>
      </c>
      <c r="AS392">
        <f t="shared" si="30"/>
        <v>5.5017105586742256E-2</v>
      </c>
      <c r="AT392">
        <f t="shared" si="31"/>
        <v>4.4233752891740773E-3</v>
      </c>
      <c r="AU392">
        <f t="shared" si="32"/>
        <v>0.44233752891740774</v>
      </c>
      <c r="AV392">
        <f t="shared" si="33"/>
        <v>3</v>
      </c>
      <c r="AW392">
        <f t="shared" si="34"/>
        <v>9.3923170846247697E-2</v>
      </c>
    </row>
    <row r="393" spans="1:49" x14ac:dyDescent="0.3">
      <c r="A393" t="s">
        <v>456</v>
      </c>
      <c r="B393" t="s">
        <v>145</v>
      </c>
      <c r="C393">
        <v>1</v>
      </c>
      <c r="D393" t="s">
        <v>12</v>
      </c>
      <c r="E393">
        <v>88</v>
      </c>
      <c r="F393">
        <v>98</v>
      </c>
      <c r="G393">
        <v>81</v>
      </c>
      <c r="H393">
        <v>96</v>
      </c>
      <c r="I393">
        <v>120</v>
      </c>
      <c r="J393">
        <v>129</v>
      </c>
      <c r="K393">
        <v>126</v>
      </c>
      <c r="L393">
        <v>147</v>
      </c>
      <c r="M393">
        <v>146</v>
      </c>
      <c r="N393">
        <v>155</v>
      </c>
      <c r="O393">
        <v>151</v>
      </c>
      <c r="P393">
        <v>166</v>
      </c>
      <c r="Q393">
        <v>135</v>
      </c>
      <c r="R393">
        <v>188</v>
      </c>
      <c r="S393">
        <v>164</v>
      </c>
      <c r="T393">
        <v>159</v>
      </c>
      <c r="U393">
        <v>139</v>
      </c>
      <c r="V393">
        <v>148</v>
      </c>
      <c r="W393">
        <v>156</v>
      </c>
      <c r="X393">
        <v>74</v>
      </c>
      <c r="Y393">
        <v>82</v>
      </c>
      <c r="Z393">
        <v>78</v>
      </c>
      <c r="AA393">
        <v>103</v>
      </c>
      <c r="AB393">
        <v>79</v>
      </c>
      <c r="AC393">
        <v>120</v>
      </c>
      <c r="AD393">
        <v>134</v>
      </c>
      <c r="AE393">
        <v>127</v>
      </c>
      <c r="AF393">
        <v>125</v>
      </c>
      <c r="AG393">
        <v>156</v>
      </c>
      <c r="AH393">
        <v>144</v>
      </c>
      <c r="AI393">
        <v>123</v>
      </c>
      <c r="AJ393">
        <v>125</v>
      </c>
      <c r="AK393">
        <v>131</v>
      </c>
      <c r="AL393">
        <v>122</v>
      </c>
      <c r="AM393">
        <v>132</v>
      </c>
      <c r="AN393">
        <v>130</v>
      </c>
      <c r="AO393">
        <v>140</v>
      </c>
      <c r="AP393">
        <v>142</v>
      </c>
      <c r="AQ393">
        <v>4859</v>
      </c>
      <c r="AR393">
        <v>0.2058036633052068</v>
      </c>
      <c r="AS393">
        <f t="shared" si="30"/>
        <v>3.8498807511410021E-2</v>
      </c>
      <c r="AT393">
        <f t="shared" si="31"/>
        <v>3.0953041239173656E-3</v>
      </c>
      <c r="AU393">
        <f t="shared" si="32"/>
        <v>0.30953041239173656</v>
      </c>
      <c r="AV393">
        <f t="shared" si="33"/>
        <v>3</v>
      </c>
      <c r="AW393">
        <f t="shared" si="34"/>
        <v>9.3923170846247697E-2</v>
      </c>
    </row>
    <row r="394" spans="1:49" x14ac:dyDescent="0.3">
      <c r="A394" t="s">
        <v>457</v>
      </c>
      <c r="B394" t="s">
        <v>121</v>
      </c>
      <c r="C394">
        <v>2</v>
      </c>
      <c r="D394" t="s">
        <v>12</v>
      </c>
      <c r="E394">
        <v>46</v>
      </c>
      <c r="F394">
        <v>57</v>
      </c>
      <c r="G394">
        <v>52</v>
      </c>
      <c r="H394">
        <v>48</v>
      </c>
      <c r="I394">
        <v>49</v>
      </c>
      <c r="J394">
        <v>43</v>
      </c>
      <c r="K394">
        <v>50</v>
      </c>
      <c r="L394">
        <v>94</v>
      </c>
      <c r="M394">
        <v>91</v>
      </c>
      <c r="N394">
        <v>72</v>
      </c>
      <c r="O394">
        <v>98</v>
      </c>
      <c r="P394">
        <v>79</v>
      </c>
      <c r="Q394">
        <v>68</v>
      </c>
      <c r="R394">
        <v>96</v>
      </c>
      <c r="S394">
        <v>84</v>
      </c>
      <c r="T394">
        <v>72</v>
      </c>
      <c r="U394">
        <v>80</v>
      </c>
      <c r="V394">
        <v>86</v>
      </c>
      <c r="W394">
        <v>97</v>
      </c>
      <c r="X394">
        <v>47</v>
      </c>
      <c r="Y394">
        <v>50</v>
      </c>
      <c r="Z394">
        <v>38</v>
      </c>
      <c r="AA394">
        <v>37</v>
      </c>
      <c r="AB394">
        <v>63</v>
      </c>
      <c r="AC394">
        <v>68</v>
      </c>
      <c r="AD394">
        <v>49</v>
      </c>
      <c r="AE394">
        <v>86</v>
      </c>
      <c r="AF394">
        <v>71</v>
      </c>
      <c r="AG394">
        <v>89</v>
      </c>
      <c r="AH394">
        <v>86</v>
      </c>
      <c r="AI394">
        <v>100</v>
      </c>
      <c r="AJ394">
        <v>60</v>
      </c>
      <c r="AK394">
        <v>88</v>
      </c>
      <c r="AL394">
        <v>94</v>
      </c>
      <c r="AM394">
        <v>93</v>
      </c>
      <c r="AN394">
        <v>57</v>
      </c>
      <c r="AO394">
        <v>94</v>
      </c>
      <c r="AP394">
        <v>76</v>
      </c>
      <c r="AQ394">
        <v>2708</v>
      </c>
      <c r="AR394">
        <v>0.73855243722304287</v>
      </c>
      <c r="AS394">
        <f t="shared" si="30"/>
        <v>0.22182113697403891</v>
      </c>
      <c r="AT394">
        <f t="shared" si="31"/>
        <v>1.7834419412712729E-2</v>
      </c>
      <c r="AU394">
        <f t="shared" si="32"/>
        <v>1.783441941271273</v>
      </c>
      <c r="AV394">
        <f t="shared" si="33"/>
        <v>3</v>
      </c>
      <c r="AW394">
        <f t="shared" si="34"/>
        <v>9.3923170846247697E-2</v>
      </c>
    </row>
    <row r="395" spans="1:49" x14ac:dyDescent="0.3">
      <c r="A395" t="s">
        <v>458</v>
      </c>
      <c r="B395" t="s">
        <v>121</v>
      </c>
      <c r="C395">
        <v>2</v>
      </c>
      <c r="D395" t="s">
        <v>12</v>
      </c>
      <c r="E395">
        <v>56</v>
      </c>
      <c r="F395">
        <v>42</v>
      </c>
      <c r="G395">
        <v>42</v>
      </c>
      <c r="H395">
        <v>35</v>
      </c>
      <c r="I395">
        <v>39</v>
      </c>
      <c r="J395">
        <v>32</v>
      </c>
      <c r="K395">
        <v>42</v>
      </c>
      <c r="L395">
        <v>30</v>
      </c>
      <c r="M395">
        <v>33</v>
      </c>
      <c r="N395">
        <v>29</v>
      </c>
      <c r="O395">
        <v>38</v>
      </c>
      <c r="P395">
        <v>38</v>
      </c>
      <c r="Q395">
        <v>37</v>
      </c>
      <c r="R395">
        <v>39</v>
      </c>
      <c r="S395">
        <v>41</v>
      </c>
      <c r="T395">
        <v>52</v>
      </c>
      <c r="U395">
        <v>51</v>
      </c>
      <c r="V395">
        <v>39</v>
      </c>
      <c r="W395">
        <v>58</v>
      </c>
      <c r="X395">
        <v>43</v>
      </c>
      <c r="Y395">
        <v>48</v>
      </c>
      <c r="Z395">
        <v>29</v>
      </c>
      <c r="AA395">
        <v>30</v>
      </c>
      <c r="AB395">
        <v>28</v>
      </c>
      <c r="AC395">
        <v>29</v>
      </c>
      <c r="AD395">
        <v>29</v>
      </c>
      <c r="AE395">
        <v>21</v>
      </c>
      <c r="AF395">
        <v>25</v>
      </c>
      <c r="AG395">
        <v>39</v>
      </c>
      <c r="AH395">
        <v>27</v>
      </c>
      <c r="AI395">
        <v>38</v>
      </c>
      <c r="AJ395">
        <v>35</v>
      </c>
      <c r="AK395">
        <v>46</v>
      </c>
      <c r="AL395">
        <v>36</v>
      </c>
      <c r="AM395">
        <v>45</v>
      </c>
      <c r="AN395">
        <v>46</v>
      </c>
      <c r="AO395">
        <v>47</v>
      </c>
      <c r="AP395">
        <v>50</v>
      </c>
      <c r="AQ395">
        <v>1464</v>
      </c>
      <c r="AR395">
        <v>1.3661202185792349</v>
      </c>
      <c r="AS395">
        <f t="shared" si="30"/>
        <v>0.43777130562079808</v>
      </c>
      <c r="AT395">
        <f t="shared" si="31"/>
        <v>3.5196812971912163E-2</v>
      </c>
      <c r="AU395">
        <f t="shared" si="32"/>
        <v>3.5196812971912164</v>
      </c>
      <c r="AV395">
        <f t="shared" si="33"/>
        <v>3</v>
      </c>
      <c r="AW395">
        <f t="shared" si="34"/>
        <v>9.3923170846247697E-2</v>
      </c>
    </row>
    <row r="396" spans="1:49" x14ac:dyDescent="0.3">
      <c r="A396" t="s">
        <v>459</v>
      </c>
      <c r="B396" t="s">
        <v>50</v>
      </c>
      <c r="C396">
        <v>1</v>
      </c>
      <c r="D396" t="s">
        <v>12</v>
      </c>
      <c r="E396">
        <v>125</v>
      </c>
      <c r="F396">
        <v>152</v>
      </c>
      <c r="G396">
        <v>89</v>
      </c>
      <c r="H396">
        <v>98</v>
      </c>
      <c r="I396">
        <v>99</v>
      </c>
      <c r="J396">
        <v>99</v>
      </c>
      <c r="K396">
        <v>102</v>
      </c>
      <c r="L396">
        <v>88</v>
      </c>
      <c r="M396">
        <v>97</v>
      </c>
      <c r="N396">
        <v>108</v>
      </c>
      <c r="O396">
        <v>122</v>
      </c>
      <c r="P396">
        <v>125</v>
      </c>
      <c r="Q396">
        <v>110</v>
      </c>
      <c r="R396">
        <v>104</v>
      </c>
      <c r="S396">
        <v>113</v>
      </c>
      <c r="T396">
        <v>139</v>
      </c>
      <c r="U396">
        <v>120</v>
      </c>
      <c r="V396">
        <v>116</v>
      </c>
      <c r="W396">
        <v>164</v>
      </c>
      <c r="X396">
        <v>123</v>
      </c>
      <c r="Y396">
        <v>112</v>
      </c>
      <c r="Z396">
        <v>97</v>
      </c>
      <c r="AA396">
        <v>119</v>
      </c>
      <c r="AB396">
        <v>113</v>
      </c>
      <c r="AC396">
        <v>107</v>
      </c>
      <c r="AD396">
        <v>89</v>
      </c>
      <c r="AE396">
        <v>100</v>
      </c>
      <c r="AF396">
        <v>81</v>
      </c>
      <c r="AG396">
        <v>112</v>
      </c>
      <c r="AH396">
        <v>116</v>
      </c>
      <c r="AI396">
        <v>103</v>
      </c>
      <c r="AJ396">
        <v>98</v>
      </c>
      <c r="AK396">
        <v>118</v>
      </c>
      <c r="AL396">
        <v>127</v>
      </c>
      <c r="AM396">
        <v>101</v>
      </c>
      <c r="AN396">
        <v>116</v>
      </c>
      <c r="AO396">
        <v>124</v>
      </c>
      <c r="AP396">
        <v>143</v>
      </c>
      <c r="AQ396">
        <v>4269</v>
      </c>
      <c r="AR396">
        <v>0.23424689622862491</v>
      </c>
      <c r="AS396">
        <f t="shared" si="30"/>
        <v>4.8286309561622762E-2</v>
      </c>
      <c r="AT396">
        <f t="shared" si="31"/>
        <v>3.8822192887544701E-3</v>
      </c>
      <c r="AU396">
        <f t="shared" si="32"/>
        <v>0.38822192887544699</v>
      </c>
      <c r="AV396">
        <f t="shared" si="33"/>
        <v>3</v>
      </c>
      <c r="AW396">
        <f t="shared" si="34"/>
        <v>9.3923170846247697E-2</v>
      </c>
    </row>
    <row r="397" spans="1:49" x14ac:dyDescent="0.3">
      <c r="A397" t="s">
        <v>460</v>
      </c>
      <c r="B397" t="s">
        <v>145</v>
      </c>
      <c r="C397">
        <v>1</v>
      </c>
      <c r="D397" t="s">
        <v>12</v>
      </c>
      <c r="E397">
        <v>87</v>
      </c>
      <c r="F397">
        <v>78</v>
      </c>
      <c r="G397">
        <v>88</v>
      </c>
      <c r="H397">
        <v>79</v>
      </c>
      <c r="I397">
        <v>80</v>
      </c>
      <c r="J397">
        <v>69</v>
      </c>
      <c r="K397">
        <v>99</v>
      </c>
      <c r="L397">
        <v>94</v>
      </c>
      <c r="M397">
        <v>101</v>
      </c>
      <c r="N397">
        <v>104</v>
      </c>
      <c r="O397">
        <v>97</v>
      </c>
      <c r="P397">
        <v>122</v>
      </c>
      <c r="Q397">
        <v>105</v>
      </c>
      <c r="R397">
        <v>108</v>
      </c>
      <c r="S397">
        <v>89</v>
      </c>
      <c r="T397">
        <v>108</v>
      </c>
      <c r="U397">
        <v>91</v>
      </c>
      <c r="V397">
        <v>91</v>
      </c>
      <c r="W397">
        <v>136</v>
      </c>
      <c r="X397">
        <v>77</v>
      </c>
      <c r="Y397">
        <v>88</v>
      </c>
      <c r="Z397">
        <v>72</v>
      </c>
      <c r="AA397">
        <v>77</v>
      </c>
      <c r="AB397">
        <v>76</v>
      </c>
      <c r="AC397">
        <v>101</v>
      </c>
      <c r="AD397">
        <v>81</v>
      </c>
      <c r="AE397">
        <v>99</v>
      </c>
      <c r="AF397">
        <v>93</v>
      </c>
      <c r="AG397">
        <v>110</v>
      </c>
      <c r="AH397">
        <v>115</v>
      </c>
      <c r="AI397">
        <v>109</v>
      </c>
      <c r="AJ397">
        <v>105</v>
      </c>
      <c r="AK397">
        <v>101</v>
      </c>
      <c r="AL397">
        <v>94</v>
      </c>
      <c r="AM397">
        <v>84</v>
      </c>
      <c r="AN397">
        <v>86</v>
      </c>
      <c r="AO397">
        <v>103</v>
      </c>
      <c r="AP397">
        <v>126</v>
      </c>
      <c r="AQ397">
        <v>3623</v>
      </c>
      <c r="AR397">
        <v>0.27601435274634278</v>
      </c>
      <c r="AS397">
        <f t="shared" si="30"/>
        <v>6.2658763895488592E-2</v>
      </c>
      <c r="AT397">
        <f t="shared" si="31"/>
        <v>5.037764617197283E-3</v>
      </c>
      <c r="AU397">
        <f t="shared" si="32"/>
        <v>0.50377646171972834</v>
      </c>
      <c r="AV397">
        <f t="shared" si="33"/>
        <v>3</v>
      </c>
      <c r="AW397">
        <f t="shared" si="34"/>
        <v>9.3923170846247697E-2</v>
      </c>
    </row>
    <row r="398" spans="1:49" x14ac:dyDescent="0.3">
      <c r="A398" t="s">
        <v>461</v>
      </c>
      <c r="B398" t="s">
        <v>145</v>
      </c>
      <c r="C398">
        <v>2</v>
      </c>
      <c r="D398" t="s">
        <v>12</v>
      </c>
      <c r="E398">
        <v>46</v>
      </c>
      <c r="F398">
        <v>39</v>
      </c>
      <c r="G398">
        <v>44</v>
      </c>
      <c r="H398">
        <v>34</v>
      </c>
      <c r="I398">
        <v>46</v>
      </c>
      <c r="J398">
        <v>43</v>
      </c>
      <c r="K398">
        <v>44</v>
      </c>
      <c r="L398">
        <v>38</v>
      </c>
      <c r="M398">
        <v>37</v>
      </c>
      <c r="N398">
        <v>62</v>
      </c>
      <c r="O398">
        <v>61</v>
      </c>
      <c r="P398">
        <v>76</v>
      </c>
      <c r="Q398">
        <v>58</v>
      </c>
      <c r="R398">
        <v>56</v>
      </c>
      <c r="S398">
        <v>67</v>
      </c>
      <c r="T398">
        <v>72</v>
      </c>
      <c r="U398">
        <v>67</v>
      </c>
      <c r="V398">
        <v>65</v>
      </c>
      <c r="W398">
        <v>78</v>
      </c>
      <c r="X398">
        <v>43</v>
      </c>
      <c r="Y398">
        <v>34</v>
      </c>
      <c r="Z398">
        <v>52</v>
      </c>
      <c r="AA398">
        <v>47</v>
      </c>
      <c r="AB398">
        <v>36</v>
      </c>
      <c r="AC398">
        <v>35</v>
      </c>
      <c r="AD398">
        <v>44</v>
      </c>
      <c r="AE398">
        <v>47</v>
      </c>
      <c r="AF398">
        <v>45</v>
      </c>
      <c r="AG398">
        <v>42</v>
      </c>
      <c r="AH398">
        <v>65</v>
      </c>
      <c r="AI398">
        <v>61</v>
      </c>
      <c r="AJ398">
        <v>65</v>
      </c>
      <c r="AK398">
        <v>74</v>
      </c>
      <c r="AL398">
        <v>67</v>
      </c>
      <c r="AM398">
        <v>80</v>
      </c>
      <c r="AN398">
        <v>60</v>
      </c>
      <c r="AO398">
        <v>85</v>
      </c>
      <c r="AP398">
        <v>80</v>
      </c>
      <c r="AQ398">
        <v>2095</v>
      </c>
      <c r="AR398">
        <v>0.95465393794749398</v>
      </c>
      <c r="AS398">
        <f t="shared" si="30"/>
        <v>0.29618307350528322</v>
      </c>
      <c r="AT398">
        <f t="shared" si="31"/>
        <v>2.3813119109824771E-2</v>
      </c>
      <c r="AU398">
        <f t="shared" si="32"/>
        <v>2.3813119109824772</v>
      </c>
      <c r="AV398">
        <f t="shared" si="33"/>
        <v>3</v>
      </c>
      <c r="AW398">
        <f t="shared" si="34"/>
        <v>9.3923170846247697E-2</v>
      </c>
    </row>
    <row r="399" spans="1:49" x14ac:dyDescent="0.3">
      <c r="A399" t="s">
        <v>462</v>
      </c>
      <c r="B399" t="s">
        <v>121</v>
      </c>
      <c r="C399">
        <v>1</v>
      </c>
      <c r="D399" t="s">
        <v>12</v>
      </c>
      <c r="E399">
        <v>45</v>
      </c>
      <c r="F399">
        <v>41</v>
      </c>
      <c r="G399">
        <v>43</v>
      </c>
      <c r="H399">
        <v>48</v>
      </c>
      <c r="I399">
        <v>58</v>
      </c>
      <c r="J399">
        <v>52</v>
      </c>
      <c r="K399">
        <v>55</v>
      </c>
      <c r="L399">
        <v>65</v>
      </c>
      <c r="M399">
        <v>71</v>
      </c>
      <c r="N399">
        <v>76</v>
      </c>
      <c r="O399">
        <v>88</v>
      </c>
      <c r="P399">
        <v>72</v>
      </c>
      <c r="Q399">
        <v>83</v>
      </c>
      <c r="R399">
        <v>88</v>
      </c>
      <c r="S399">
        <v>84</v>
      </c>
      <c r="T399">
        <v>84</v>
      </c>
      <c r="U399">
        <v>78</v>
      </c>
      <c r="V399">
        <v>80</v>
      </c>
      <c r="W399">
        <v>92</v>
      </c>
      <c r="X399">
        <v>51</v>
      </c>
      <c r="Y399">
        <v>40</v>
      </c>
      <c r="Z399">
        <v>31</v>
      </c>
      <c r="AA399">
        <v>41</v>
      </c>
      <c r="AB399">
        <v>46</v>
      </c>
      <c r="AC399">
        <v>45</v>
      </c>
      <c r="AD399">
        <v>55</v>
      </c>
      <c r="AE399">
        <v>54</v>
      </c>
      <c r="AF399">
        <v>59</v>
      </c>
      <c r="AG399">
        <v>71</v>
      </c>
      <c r="AH399">
        <v>67</v>
      </c>
      <c r="AI399">
        <v>63</v>
      </c>
      <c r="AJ399">
        <v>73</v>
      </c>
      <c r="AK399">
        <v>80</v>
      </c>
      <c r="AL399">
        <v>67</v>
      </c>
      <c r="AM399">
        <v>83</v>
      </c>
      <c r="AN399">
        <v>83</v>
      </c>
      <c r="AO399">
        <v>75</v>
      </c>
      <c r="AP399">
        <v>102</v>
      </c>
      <c r="AQ399">
        <v>2489</v>
      </c>
      <c r="AR399">
        <v>0.40176777822418641</v>
      </c>
      <c r="AS399">
        <f t="shared" si="30"/>
        <v>0.10593133818405719</v>
      </c>
      <c r="AT399">
        <f t="shared" si="31"/>
        <v>8.5168795899981976E-3</v>
      </c>
      <c r="AU399">
        <f t="shared" si="32"/>
        <v>0.85168795899981975</v>
      </c>
      <c r="AV399">
        <f t="shared" si="33"/>
        <v>3</v>
      </c>
      <c r="AW399">
        <f t="shared" si="34"/>
        <v>9.3923170846247697E-2</v>
      </c>
    </row>
    <row r="400" spans="1:49" x14ac:dyDescent="0.3">
      <c r="A400" t="s">
        <v>463</v>
      </c>
      <c r="B400" t="s">
        <v>121</v>
      </c>
      <c r="C400">
        <v>1</v>
      </c>
      <c r="D400" t="s">
        <v>12</v>
      </c>
      <c r="E400">
        <v>19</v>
      </c>
      <c r="F400">
        <v>18</v>
      </c>
      <c r="G400">
        <v>15</v>
      </c>
      <c r="H400">
        <v>15</v>
      </c>
      <c r="I400">
        <v>17</v>
      </c>
      <c r="J400">
        <v>17</v>
      </c>
      <c r="K400">
        <v>12</v>
      </c>
      <c r="L400">
        <v>14</v>
      </c>
      <c r="M400">
        <v>19</v>
      </c>
      <c r="N400">
        <v>20</v>
      </c>
      <c r="O400">
        <v>25</v>
      </c>
      <c r="P400">
        <v>25</v>
      </c>
      <c r="Q400">
        <v>28</v>
      </c>
      <c r="R400">
        <v>30</v>
      </c>
      <c r="S400">
        <v>34</v>
      </c>
      <c r="T400">
        <v>41</v>
      </c>
      <c r="U400">
        <v>33</v>
      </c>
      <c r="V400">
        <v>38</v>
      </c>
      <c r="W400">
        <v>68</v>
      </c>
      <c r="X400">
        <v>29</v>
      </c>
      <c r="Y400">
        <v>15</v>
      </c>
      <c r="Z400">
        <v>16</v>
      </c>
      <c r="AA400">
        <v>23</v>
      </c>
      <c r="AB400">
        <v>10</v>
      </c>
      <c r="AC400">
        <v>9</v>
      </c>
      <c r="AD400">
        <v>9</v>
      </c>
      <c r="AE400">
        <v>11</v>
      </c>
      <c r="AF400">
        <v>24</v>
      </c>
      <c r="AG400">
        <v>23</v>
      </c>
      <c r="AH400">
        <v>25</v>
      </c>
      <c r="AI400">
        <v>31</v>
      </c>
      <c r="AJ400">
        <v>22</v>
      </c>
      <c r="AK400">
        <v>32</v>
      </c>
      <c r="AL400">
        <v>27</v>
      </c>
      <c r="AM400">
        <v>38</v>
      </c>
      <c r="AN400">
        <v>28</v>
      </c>
      <c r="AO400">
        <v>42</v>
      </c>
      <c r="AP400">
        <v>56</v>
      </c>
      <c r="AQ400">
        <v>958</v>
      </c>
      <c r="AR400">
        <v>1.0438413361169101</v>
      </c>
      <c r="AS400">
        <f t="shared" si="30"/>
        <v>0.3268730391919053</v>
      </c>
      <c r="AT400">
        <f t="shared" si="31"/>
        <v>2.6280592351029187E-2</v>
      </c>
      <c r="AU400">
        <f t="shared" si="32"/>
        <v>2.6280592351029188</v>
      </c>
      <c r="AV400">
        <f t="shared" si="33"/>
        <v>3</v>
      </c>
      <c r="AW400">
        <f t="shared" si="34"/>
        <v>9.3923170846247697E-2</v>
      </c>
    </row>
    <row r="401" spans="1:49" x14ac:dyDescent="0.3">
      <c r="A401" t="s">
        <v>464</v>
      </c>
      <c r="B401" t="s">
        <v>121</v>
      </c>
      <c r="C401">
        <v>2</v>
      </c>
      <c r="D401" t="s">
        <v>12</v>
      </c>
      <c r="E401">
        <v>46</v>
      </c>
      <c r="F401">
        <v>44</v>
      </c>
      <c r="G401">
        <v>33</v>
      </c>
      <c r="H401">
        <v>41</v>
      </c>
      <c r="I401">
        <v>56</v>
      </c>
      <c r="J401">
        <v>62</v>
      </c>
      <c r="K401">
        <v>53</v>
      </c>
      <c r="L401">
        <v>56</v>
      </c>
      <c r="M401">
        <v>56</v>
      </c>
      <c r="N401">
        <v>59</v>
      </c>
      <c r="O401">
        <v>66</v>
      </c>
      <c r="P401">
        <v>80</v>
      </c>
      <c r="Q401">
        <v>78</v>
      </c>
      <c r="R401">
        <v>84</v>
      </c>
      <c r="S401">
        <v>101</v>
      </c>
      <c r="T401">
        <v>89</v>
      </c>
      <c r="U401">
        <v>93</v>
      </c>
      <c r="V401">
        <v>96</v>
      </c>
      <c r="W401">
        <v>122</v>
      </c>
      <c r="X401">
        <v>50</v>
      </c>
      <c r="Y401">
        <v>44</v>
      </c>
      <c r="Z401">
        <v>52</v>
      </c>
      <c r="AA401">
        <v>43</v>
      </c>
      <c r="AB401">
        <v>43</v>
      </c>
      <c r="AC401">
        <v>48</v>
      </c>
      <c r="AD401">
        <v>41</v>
      </c>
      <c r="AE401">
        <v>53</v>
      </c>
      <c r="AF401">
        <v>52</v>
      </c>
      <c r="AG401">
        <v>60</v>
      </c>
      <c r="AH401">
        <v>57</v>
      </c>
      <c r="AI401">
        <v>64</v>
      </c>
      <c r="AJ401">
        <v>70</v>
      </c>
      <c r="AK401">
        <v>86</v>
      </c>
      <c r="AL401">
        <v>74</v>
      </c>
      <c r="AM401">
        <v>119</v>
      </c>
      <c r="AN401">
        <v>70</v>
      </c>
      <c r="AO401">
        <v>84</v>
      </c>
      <c r="AP401">
        <v>109</v>
      </c>
      <c r="AQ401">
        <v>2534</v>
      </c>
      <c r="AR401">
        <v>0.78926598263614833</v>
      </c>
      <c r="AS401">
        <f t="shared" si="30"/>
        <v>0.23927199887292175</v>
      </c>
      <c r="AT401">
        <f t="shared" si="31"/>
        <v>1.9237468709382907E-2</v>
      </c>
      <c r="AU401">
        <f t="shared" si="32"/>
        <v>1.9237468709382908</v>
      </c>
      <c r="AV401">
        <f t="shared" si="33"/>
        <v>3</v>
      </c>
      <c r="AW401">
        <f t="shared" si="34"/>
        <v>9.3923170846247697E-2</v>
      </c>
    </row>
    <row r="402" spans="1:49" x14ac:dyDescent="0.3">
      <c r="A402" t="s">
        <v>465</v>
      </c>
      <c r="B402" t="s">
        <v>64</v>
      </c>
      <c r="C402">
        <v>2</v>
      </c>
      <c r="D402" t="s">
        <v>24</v>
      </c>
      <c r="E402">
        <v>18</v>
      </c>
      <c r="F402">
        <v>30</v>
      </c>
      <c r="G402">
        <v>23</v>
      </c>
      <c r="H402">
        <v>27</v>
      </c>
      <c r="I402">
        <v>34</v>
      </c>
      <c r="J402">
        <v>38</v>
      </c>
      <c r="K402">
        <v>29</v>
      </c>
      <c r="L402">
        <v>34</v>
      </c>
      <c r="M402">
        <v>48</v>
      </c>
      <c r="N402">
        <v>58</v>
      </c>
      <c r="O402">
        <v>63</v>
      </c>
      <c r="P402">
        <v>72</v>
      </c>
      <c r="Q402">
        <v>68</v>
      </c>
      <c r="R402">
        <v>93</v>
      </c>
      <c r="S402">
        <v>90</v>
      </c>
      <c r="T402">
        <v>79</v>
      </c>
      <c r="U402">
        <v>104</v>
      </c>
      <c r="V402">
        <v>108</v>
      </c>
      <c r="W402">
        <v>86</v>
      </c>
      <c r="X402">
        <v>37</v>
      </c>
      <c r="Y402">
        <v>15</v>
      </c>
      <c r="Z402">
        <v>25</v>
      </c>
      <c r="AA402">
        <v>45</v>
      </c>
      <c r="AB402">
        <v>24</v>
      </c>
      <c r="AC402">
        <v>37</v>
      </c>
      <c r="AD402">
        <v>33</v>
      </c>
      <c r="AE402">
        <v>46</v>
      </c>
      <c r="AF402">
        <v>40</v>
      </c>
      <c r="AG402">
        <v>54</v>
      </c>
      <c r="AH402">
        <v>65</v>
      </c>
      <c r="AI402">
        <v>45</v>
      </c>
      <c r="AJ402">
        <v>73</v>
      </c>
      <c r="AK402">
        <v>79</v>
      </c>
      <c r="AL402">
        <v>82</v>
      </c>
      <c r="AM402">
        <v>76</v>
      </c>
      <c r="AN402">
        <v>94</v>
      </c>
      <c r="AO402">
        <v>82</v>
      </c>
      <c r="AP402">
        <v>101</v>
      </c>
      <c r="AQ402">
        <v>2155</v>
      </c>
      <c r="AR402">
        <v>0.92807424593967525</v>
      </c>
      <c r="AS402">
        <f t="shared" si="30"/>
        <v>0.2870368280443335</v>
      </c>
      <c r="AT402">
        <f t="shared" si="31"/>
        <v>2.3077760974764414E-2</v>
      </c>
      <c r="AU402">
        <f t="shared" si="32"/>
        <v>2.3077760974764416</v>
      </c>
      <c r="AV402">
        <f t="shared" si="33"/>
        <v>3</v>
      </c>
      <c r="AW402">
        <f t="shared" si="34"/>
        <v>9.3923170846247697E-2</v>
      </c>
    </row>
    <row r="403" spans="1:49" x14ac:dyDescent="0.3">
      <c r="A403" t="s">
        <v>466</v>
      </c>
      <c r="B403" t="s">
        <v>97</v>
      </c>
      <c r="C403">
        <v>1</v>
      </c>
      <c r="D403" t="s">
        <v>24</v>
      </c>
      <c r="E403">
        <v>38</v>
      </c>
      <c r="F403">
        <v>33</v>
      </c>
      <c r="G403">
        <v>14</v>
      </c>
      <c r="H403">
        <v>24</v>
      </c>
      <c r="I403">
        <v>35</v>
      </c>
      <c r="J403">
        <v>33</v>
      </c>
      <c r="K403">
        <v>22</v>
      </c>
      <c r="L403">
        <v>24</v>
      </c>
      <c r="M403">
        <v>47</v>
      </c>
      <c r="N403">
        <v>48</v>
      </c>
      <c r="O403">
        <v>48</v>
      </c>
      <c r="P403">
        <v>65</v>
      </c>
      <c r="Q403">
        <v>59</v>
      </c>
      <c r="R403">
        <v>61</v>
      </c>
      <c r="S403">
        <v>67</v>
      </c>
      <c r="T403">
        <v>66</v>
      </c>
      <c r="U403">
        <v>53</v>
      </c>
      <c r="V403">
        <v>74</v>
      </c>
      <c r="W403">
        <v>68</v>
      </c>
      <c r="X403">
        <v>39</v>
      </c>
      <c r="Y403">
        <v>40</v>
      </c>
      <c r="Z403">
        <v>34</v>
      </c>
      <c r="AA403">
        <v>29</v>
      </c>
      <c r="AB403">
        <v>27</v>
      </c>
      <c r="AC403">
        <v>27</v>
      </c>
      <c r="AD403">
        <v>35</v>
      </c>
      <c r="AE403">
        <v>26</v>
      </c>
      <c r="AF403">
        <v>32</v>
      </c>
      <c r="AG403">
        <v>41</v>
      </c>
      <c r="AH403">
        <v>44</v>
      </c>
      <c r="AI403">
        <v>37</v>
      </c>
      <c r="AJ403">
        <v>50</v>
      </c>
      <c r="AK403">
        <v>54</v>
      </c>
      <c r="AL403">
        <v>50</v>
      </c>
      <c r="AM403">
        <v>65</v>
      </c>
      <c r="AN403">
        <v>49</v>
      </c>
      <c r="AO403">
        <v>42</v>
      </c>
      <c r="AP403">
        <v>70</v>
      </c>
      <c r="AQ403">
        <v>1670</v>
      </c>
      <c r="AR403">
        <v>0.59880239520958078</v>
      </c>
      <c r="AS403">
        <f t="shared" si="30"/>
        <v>0.17373223560312875</v>
      </c>
      <c r="AT403">
        <f t="shared" si="31"/>
        <v>1.3968071742491551E-2</v>
      </c>
      <c r="AU403">
        <f t="shared" si="32"/>
        <v>1.396807174249155</v>
      </c>
      <c r="AV403">
        <f t="shared" si="33"/>
        <v>3</v>
      </c>
      <c r="AW403">
        <f t="shared" si="34"/>
        <v>9.3923170846247697E-2</v>
      </c>
    </row>
    <row r="404" spans="1:49" x14ac:dyDescent="0.3">
      <c r="A404" t="s">
        <v>467</v>
      </c>
      <c r="B404" t="s">
        <v>97</v>
      </c>
      <c r="C404">
        <v>1</v>
      </c>
      <c r="D404" t="s">
        <v>24</v>
      </c>
      <c r="E404">
        <v>42</v>
      </c>
      <c r="F404">
        <v>36</v>
      </c>
      <c r="G404">
        <v>41</v>
      </c>
      <c r="H404">
        <v>48</v>
      </c>
      <c r="I404">
        <v>41</v>
      </c>
      <c r="J404">
        <v>45</v>
      </c>
      <c r="K404">
        <v>51</v>
      </c>
      <c r="L404">
        <v>74</v>
      </c>
      <c r="M404">
        <v>69</v>
      </c>
      <c r="N404">
        <v>77</v>
      </c>
      <c r="O404">
        <v>93</v>
      </c>
      <c r="P404">
        <v>78</v>
      </c>
      <c r="Q404">
        <v>105</v>
      </c>
      <c r="R404">
        <v>95</v>
      </c>
      <c r="S404">
        <v>97</v>
      </c>
      <c r="T404">
        <v>105</v>
      </c>
      <c r="U404">
        <v>85</v>
      </c>
      <c r="V404">
        <v>101</v>
      </c>
      <c r="W404">
        <v>120</v>
      </c>
      <c r="X404">
        <v>48</v>
      </c>
      <c r="Y404">
        <v>50</v>
      </c>
      <c r="Z404">
        <v>44</v>
      </c>
      <c r="AA404">
        <v>38</v>
      </c>
      <c r="AB404">
        <v>48</v>
      </c>
      <c r="AC404">
        <v>56</v>
      </c>
      <c r="AD404">
        <v>52</v>
      </c>
      <c r="AE404">
        <v>61</v>
      </c>
      <c r="AF404">
        <v>61</v>
      </c>
      <c r="AG404">
        <v>85</v>
      </c>
      <c r="AH404">
        <v>90</v>
      </c>
      <c r="AI404">
        <v>115</v>
      </c>
      <c r="AJ404">
        <v>86</v>
      </c>
      <c r="AK404">
        <v>87</v>
      </c>
      <c r="AL404">
        <v>79</v>
      </c>
      <c r="AM404">
        <v>104</v>
      </c>
      <c r="AN404">
        <v>110</v>
      </c>
      <c r="AO404">
        <v>97</v>
      </c>
      <c r="AP404">
        <v>106</v>
      </c>
      <c r="AQ404">
        <v>2820</v>
      </c>
      <c r="AR404">
        <v>0.3546099290780142</v>
      </c>
      <c r="AS404">
        <f t="shared" si="30"/>
        <v>8.9704014572690532E-2</v>
      </c>
      <c r="AT404">
        <f t="shared" si="31"/>
        <v>7.2122027716443188E-3</v>
      </c>
      <c r="AU404">
        <f t="shared" si="32"/>
        <v>0.72122027716443182</v>
      </c>
      <c r="AV404">
        <f t="shared" si="33"/>
        <v>3</v>
      </c>
      <c r="AW404">
        <f t="shared" si="34"/>
        <v>9.3923170846247697E-2</v>
      </c>
    </row>
    <row r="405" spans="1:49" x14ac:dyDescent="0.3">
      <c r="A405" t="s">
        <v>468</v>
      </c>
      <c r="B405" t="s">
        <v>97</v>
      </c>
      <c r="C405">
        <v>1</v>
      </c>
      <c r="D405" t="s">
        <v>24</v>
      </c>
      <c r="E405">
        <v>24</v>
      </c>
      <c r="F405">
        <v>24</v>
      </c>
      <c r="G405">
        <v>18</v>
      </c>
      <c r="H405">
        <v>29</v>
      </c>
      <c r="I405">
        <v>46</v>
      </c>
      <c r="J405">
        <v>35</v>
      </c>
      <c r="K405">
        <v>34</v>
      </c>
      <c r="L405">
        <v>42</v>
      </c>
      <c r="M405">
        <v>47</v>
      </c>
      <c r="N405">
        <v>54</v>
      </c>
      <c r="O405">
        <v>43</v>
      </c>
      <c r="P405">
        <v>62</v>
      </c>
      <c r="Q405">
        <v>69</v>
      </c>
      <c r="R405">
        <v>81</v>
      </c>
      <c r="S405">
        <v>83</v>
      </c>
      <c r="T405">
        <v>68</v>
      </c>
      <c r="U405">
        <v>68</v>
      </c>
      <c r="V405">
        <v>72</v>
      </c>
      <c r="W405">
        <v>67</v>
      </c>
      <c r="X405">
        <v>23</v>
      </c>
      <c r="Y405">
        <v>25</v>
      </c>
      <c r="Z405">
        <v>21</v>
      </c>
      <c r="AA405">
        <v>35</v>
      </c>
      <c r="AB405">
        <v>31</v>
      </c>
      <c r="AC405">
        <v>33</v>
      </c>
      <c r="AD405">
        <v>51</v>
      </c>
      <c r="AE405">
        <v>41</v>
      </c>
      <c r="AF405">
        <v>50</v>
      </c>
      <c r="AG405">
        <v>45</v>
      </c>
      <c r="AH405">
        <v>71</v>
      </c>
      <c r="AI405">
        <v>59</v>
      </c>
      <c r="AJ405">
        <v>68</v>
      </c>
      <c r="AK405">
        <v>66</v>
      </c>
      <c r="AL405">
        <v>66</v>
      </c>
      <c r="AM405">
        <v>79</v>
      </c>
      <c r="AN405">
        <v>61</v>
      </c>
      <c r="AO405">
        <v>65</v>
      </c>
      <c r="AP405">
        <v>76</v>
      </c>
      <c r="AQ405">
        <v>1932</v>
      </c>
      <c r="AR405">
        <v>0.51759834368530022</v>
      </c>
      <c r="AS405">
        <f t="shared" si="30"/>
        <v>0.14578939159100843</v>
      </c>
      <c r="AT405">
        <f t="shared" si="31"/>
        <v>1.1721467083917077E-2</v>
      </c>
      <c r="AU405">
        <f t="shared" si="32"/>
        <v>1.1721467083917076</v>
      </c>
      <c r="AV405">
        <f t="shared" si="33"/>
        <v>3</v>
      </c>
      <c r="AW405">
        <f t="shared" si="34"/>
        <v>9.3923170846247697E-2</v>
      </c>
    </row>
    <row r="406" spans="1:49" x14ac:dyDescent="0.3">
      <c r="A406" t="s">
        <v>469</v>
      </c>
      <c r="B406" t="s">
        <v>145</v>
      </c>
      <c r="C406">
        <v>1</v>
      </c>
      <c r="D406" t="s">
        <v>12</v>
      </c>
      <c r="E406">
        <v>36</v>
      </c>
      <c r="F406">
        <v>42</v>
      </c>
      <c r="G406">
        <v>26</v>
      </c>
      <c r="H406">
        <v>34</v>
      </c>
      <c r="I406">
        <v>26</v>
      </c>
      <c r="J406">
        <v>35</v>
      </c>
      <c r="K406">
        <v>34</v>
      </c>
      <c r="L406">
        <v>34</v>
      </c>
      <c r="M406">
        <v>34</v>
      </c>
      <c r="N406">
        <v>35</v>
      </c>
      <c r="O406">
        <v>39</v>
      </c>
      <c r="P406">
        <v>42</v>
      </c>
      <c r="Q406">
        <v>53</v>
      </c>
      <c r="R406">
        <v>55</v>
      </c>
      <c r="S406">
        <v>51</v>
      </c>
      <c r="T406">
        <v>56</v>
      </c>
      <c r="U406">
        <v>53</v>
      </c>
      <c r="V406">
        <v>71</v>
      </c>
      <c r="W406">
        <v>91</v>
      </c>
      <c r="X406">
        <v>32</v>
      </c>
      <c r="Y406">
        <v>38</v>
      </c>
      <c r="Z406">
        <v>24</v>
      </c>
      <c r="AA406">
        <v>36</v>
      </c>
      <c r="AB406">
        <v>37</v>
      </c>
      <c r="AC406">
        <v>35</v>
      </c>
      <c r="AD406">
        <v>20</v>
      </c>
      <c r="AE406">
        <v>33</v>
      </c>
      <c r="AF406">
        <v>38</v>
      </c>
      <c r="AG406">
        <v>37</v>
      </c>
      <c r="AH406">
        <v>40</v>
      </c>
      <c r="AI406">
        <v>42</v>
      </c>
      <c r="AJ406">
        <v>34</v>
      </c>
      <c r="AK406">
        <v>47</v>
      </c>
      <c r="AL406">
        <v>51</v>
      </c>
      <c r="AM406">
        <v>47</v>
      </c>
      <c r="AN406">
        <v>53</v>
      </c>
      <c r="AO406">
        <v>49</v>
      </c>
      <c r="AP406">
        <v>54</v>
      </c>
      <c r="AQ406">
        <v>1594</v>
      </c>
      <c r="AR406">
        <v>0.62735257214554574</v>
      </c>
      <c r="AS406">
        <f t="shared" si="30"/>
        <v>0.18355653778590303</v>
      </c>
      <c r="AT406">
        <f t="shared" si="31"/>
        <v>1.4757945637986603E-2</v>
      </c>
      <c r="AU406">
        <f t="shared" si="32"/>
        <v>1.4757945637986603</v>
      </c>
      <c r="AV406">
        <f t="shared" si="33"/>
        <v>3</v>
      </c>
      <c r="AW406">
        <f t="shared" si="34"/>
        <v>9.3923170846247697E-2</v>
      </c>
    </row>
    <row r="407" spans="1:49" x14ac:dyDescent="0.3">
      <c r="A407" t="s">
        <v>470</v>
      </c>
      <c r="B407" t="s">
        <v>124</v>
      </c>
      <c r="C407">
        <v>1</v>
      </c>
      <c r="D407" t="s">
        <v>12</v>
      </c>
      <c r="E407">
        <v>73</v>
      </c>
      <c r="F407">
        <v>59</v>
      </c>
      <c r="G407">
        <v>39</v>
      </c>
      <c r="H407">
        <v>28</v>
      </c>
      <c r="I407">
        <v>37</v>
      </c>
      <c r="J407">
        <v>23</v>
      </c>
      <c r="K407">
        <v>27</v>
      </c>
      <c r="L407">
        <v>23</v>
      </c>
      <c r="M407">
        <v>27</v>
      </c>
      <c r="N407">
        <v>41</v>
      </c>
      <c r="O407">
        <v>29</v>
      </c>
      <c r="P407">
        <v>40</v>
      </c>
      <c r="Q407">
        <v>34</v>
      </c>
      <c r="R407">
        <v>34</v>
      </c>
      <c r="S407">
        <v>34</v>
      </c>
      <c r="T407">
        <v>35</v>
      </c>
      <c r="U407">
        <v>22</v>
      </c>
      <c r="V407">
        <v>36</v>
      </c>
      <c r="W407">
        <v>41</v>
      </c>
      <c r="X407">
        <v>69</v>
      </c>
      <c r="Y407">
        <v>58</v>
      </c>
      <c r="Z407">
        <v>31</v>
      </c>
      <c r="AA407">
        <v>29</v>
      </c>
      <c r="AB407">
        <v>31</v>
      </c>
      <c r="AC407">
        <v>18</v>
      </c>
      <c r="AD407">
        <v>27</v>
      </c>
      <c r="AE407">
        <v>21</v>
      </c>
      <c r="AF407">
        <v>24</v>
      </c>
      <c r="AG407">
        <v>37</v>
      </c>
      <c r="AH407">
        <v>26</v>
      </c>
      <c r="AI407">
        <v>31</v>
      </c>
      <c r="AJ407">
        <v>37</v>
      </c>
      <c r="AK407">
        <v>33</v>
      </c>
      <c r="AL407">
        <v>29</v>
      </c>
      <c r="AM407">
        <v>39</v>
      </c>
      <c r="AN407">
        <v>41</v>
      </c>
      <c r="AO407">
        <v>26</v>
      </c>
      <c r="AP407">
        <v>35</v>
      </c>
      <c r="AQ407">
        <v>1324</v>
      </c>
      <c r="AR407">
        <v>0.75528700906344415</v>
      </c>
      <c r="AS407">
        <f t="shared" si="30"/>
        <v>0.22757961234279728</v>
      </c>
      <c r="AT407">
        <f t="shared" si="31"/>
        <v>1.8297400832360901E-2</v>
      </c>
      <c r="AU407">
        <f t="shared" si="32"/>
        <v>1.8297400832360902</v>
      </c>
      <c r="AV407">
        <f t="shared" si="33"/>
        <v>3</v>
      </c>
      <c r="AW407">
        <f t="shared" si="34"/>
        <v>9.3923170846247697E-2</v>
      </c>
    </row>
    <row r="408" spans="1:49" x14ac:dyDescent="0.3">
      <c r="A408" t="s">
        <v>471</v>
      </c>
      <c r="B408" t="s">
        <v>214</v>
      </c>
      <c r="C408">
        <v>2</v>
      </c>
      <c r="D408" t="s">
        <v>12</v>
      </c>
      <c r="E408">
        <v>5</v>
      </c>
      <c r="F408">
        <v>8</v>
      </c>
      <c r="G408">
        <v>4</v>
      </c>
      <c r="H408">
        <v>5</v>
      </c>
      <c r="I408">
        <v>3</v>
      </c>
      <c r="J408">
        <v>5</v>
      </c>
      <c r="K408">
        <v>5</v>
      </c>
      <c r="L408">
        <v>11</v>
      </c>
      <c r="M408">
        <v>14</v>
      </c>
      <c r="N408">
        <v>10</v>
      </c>
      <c r="O408">
        <v>9</v>
      </c>
      <c r="P408">
        <v>2</v>
      </c>
      <c r="Q408">
        <v>7</v>
      </c>
      <c r="R408">
        <v>9</v>
      </c>
      <c r="S408">
        <v>8</v>
      </c>
      <c r="T408">
        <v>6</v>
      </c>
      <c r="U408">
        <v>5</v>
      </c>
      <c r="V408">
        <v>10</v>
      </c>
      <c r="W408">
        <v>15</v>
      </c>
      <c r="X408">
        <v>9</v>
      </c>
      <c r="Y408">
        <v>5</v>
      </c>
      <c r="Z408">
        <v>3</v>
      </c>
      <c r="AA408">
        <v>3</v>
      </c>
      <c r="AB408">
        <v>4</v>
      </c>
      <c r="AC408">
        <v>5</v>
      </c>
      <c r="AD408">
        <v>9</v>
      </c>
      <c r="AE408">
        <v>9</v>
      </c>
      <c r="AF408">
        <v>11</v>
      </c>
      <c r="AG408">
        <v>7</v>
      </c>
      <c r="AH408">
        <v>9</v>
      </c>
      <c r="AI408">
        <v>14</v>
      </c>
      <c r="AJ408">
        <v>9</v>
      </c>
      <c r="AK408">
        <v>11</v>
      </c>
      <c r="AL408">
        <v>10</v>
      </c>
      <c r="AM408">
        <v>11</v>
      </c>
      <c r="AN408">
        <v>13</v>
      </c>
      <c r="AO408">
        <v>7</v>
      </c>
      <c r="AP408">
        <v>10</v>
      </c>
      <c r="AQ408">
        <v>300</v>
      </c>
      <c r="AR408">
        <v>3</v>
      </c>
      <c r="AS408">
        <f t="shared" si="30"/>
        <v>1</v>
      </c>
      <c r="AT408">
        <f t="shared" si="31"/>
        <v>8.0399999999999999E-2</v>
      </c>
      <c r="AU408">
        <f t="shared" si="32"/>
        <v>8.0399999999999991</v>
      </c>
      <c r="AV408">
        <f t="shared" si="33"/>
        <v>3</v>
      </c>
      <c r="AW408">
        <f t="shared" si="34"/>
        <v>9.3923170846247697E-2</v>
      </c>
    </row>
    <row r="409" spans="1:49" x14ac:dyDescent="0.3">
      <c r="A409" t="s">
        <v>472</v>
      </c>
      <c r="B409" t="s">
        <v>121</v>
      </c>
      <c r="C409">
        <v>2</v>
      </c>
      <c r="D409" t="s">
        <v>12</v>
      </c>
      <c r="E409">
        <v>90</v>
      </c>
      <c r="F409">
        <v>80</v>
      </c>
      <c r="G409">
        <v>74</v>
      </c>
      <c r="H409">
        <v>83</v>
      </c>
      <c r="I409">
        <v>77</v>
      </c>
      <c r="J409">
        <v>81</v>
      </c>
      <c r="K409">
        <v>85</v>
      </c>
      <c r="L409">
        <v>111</v>
      </c>
      <c r="M409">
        <v>104</v>
      </c>
      <c r="N409">
        <v>128</v>
      </c>
      <c r="O409">
        <v>137</v>
      </c>
      <c r="P409">
        <v>156</v>
      </c>
      <c r="Q409">
        <v>161</v>
      </c>
      <c r="R409">
        <v>191</v>
      </c>
      <c r="S409">
        <v>176</v>
      </c>
      <c r="T409">
        <v>163</v>
      </c>
      <c r="U409">
        <v>156</v>
      </c>
      <c r="V409">
        <v>185</v>
      </c>
      <c r="W409">
        <v>191</v>
      </c>
      <c r="X409">
        <v>71</v>
      </c>
      <c r="Y409">
        <v>75</v>
      </c>
      <c r="Z409">
        <v>56</v>
      </c>
      <c r="AA409">
        <v>69</v>
      </c>
      <c r="AB409">
        <v>75</v>
      </c>
      <c r="AC409">
        <v>97</v>
      </c>
      <c r="AD409">
        <v>87</v>
      </c>
      <c r="AE409">
        <v>89</v>
      </c>
      <c r="AF409">
        <v>92</v>
      </c>
      <c r="AG409">
        <v>132</v>
      </c>
      <c r="AH409">
        <v>135</v>
      </c>
      <c r="AI409">
        <v>140</v>
      </c>
      <c r="AJ409">
        <v>120</v>
      </c>
      <c r="AK409">
        <v>136</v>
      </c>
      <c r="AL409">
        <v>131</v>
      </c>
      <c r="AM409">
        <v>138</v>
      </c>
      <c r="AN409">
        <v>151</v>
      </c>
      <c r="AO409">
        <v>122</v>
      </c>
      <c r="AP409">
        <v>180</v>
      </c>
      <c r="AQ409">
        <v>4525</v>
      </c>
      <c r="AR409">
        <v>0.44198895027624308</v>
      </c>
      <c r="AS409">
        <f t="shared" si="30"/>
        <v>0.11977170594328433</v>
      </c>
      <c r="AT409">
        <f t="shared" si="31"/>
        <v>9.6296451578400596E-3</v>
      </c>
      <c r="AU409">
        <f t="shared" si="32"/>
        <v>0.96296451578400599</v>
      </c>
      <c r="AV409">
        <f t="shared" si="33"/>
        <v>3</v>
      </c>
      <c r="AW409">
        <f t="shared" si="34"/>
        <v>9.3923170846247697E-2</v>
      </c>
    </row>
    <row r="410" spans="1:49" x14ac:dyDescent="0.3">
      <c r="A410" t="s">
        <v>473</v>
      </c>
      <c r="B410" t="s">
        <v>74</v>
      </c>
      <c r="C410">
        <v>1</v>
      </c>
      <c r="D410" t="s">
        <v>17</v>
      </c>
      <c r="E410">
        <v>45</v>
      </c>
      <c r="F410">
        <v>38</v>
      </c>
      <c r="G410">
        <v>27</v>
      </c>
      <c r="H410">
        <v>35</v>
      </c>
      <c r="I410">
        <v>31</v>
      </c>
      <c r="J410">
        <v>31</v>
      </c>
      <c r="K410">
        <v>36</v>
      </c>
      <c r="L410">
        <v>31</v>
      </c>
      <c r="M410">
        <v>42</v>
      </c>
      <c r="N410">
        <v>68</v>
      </c>
      <c r="O410">
        <v>50</v>
      </c>
      <c r="P410">
        <v>42</v>
      </c>
      <c r="Q410">
        <v>45</v>
      </c>
      <c r="R410">
        <v>55</v>
      </c>
      <c r="S410">
        <v>53</v>
      </c>
      <c r="T410">
        <v>43</v>
      </c>
      <c r="U410">
        <v>54</v>
      </c>
      <c r="V410">
        <v>41</v>
      </c>
      <c r="W410">
        <v>39</v>
      </c>
      <c r="X410">
        <v>40</v>
      </c>
      <c r="Y410">
        <v>36</v>
      </c>
      <c r="Z410">
        <v>43</v>
      </c>
      <c r="AA410">
        <v>32</v>
      </c>
      <c r="AB410">
        <v>43</v>
      </c>
      <c r="AC410">
        <v>43</v>
      </c>
      <c r="AD410">
        <v>36</v>
      </c>
      <c r="AE410">
        <v>38</v>
      </c>
      <c r="AF410">
        <v>39</v>
      </c>
      <c r="AG410">
        <v>52</v>
      </c>
      <c r="AH410">
        <v>46</v>
      </c>
      <c r="AI410">
        <v>58</v>
      </c>
      <c r="AJ410">
        <v>38</v>
      </c>
      <c r="AK410">
        <v>32</v>
      </c>
      <c r="AL410">
        <v>43</v>
      </c>
      <c r="AM410">
        <v>44</v>
      </c>
      <c r="AN410">
        <v>31</v>
      </c>
      <c r="AO410">
        <v>44</v>
      </c>
      <c r="AP410">
        <v>44</v>
      </c>
      <c r="AQ410">
        <v>1588</v>
      </c>
      <c r="AR410">
        <v>0.62972292191435764</v>
      </c>
      <c r="AS410">
        <f t="shared" si="30"/>
        <v>0.18437219060864762</v>
      </c>
      <c r="AT410">
        <f t="shared" si="31"/>
        <v>1.4823524124935268E-2</v>
      </c>
      <c r="AU410">
        <f t="shared" si="32"/>
        <v>1.4823524124935268</v>
      </c>
      <c r="AV410">
        <f t="shared" si="33"/>
        <v>3</v>
      </c>
      <c r="AW410">
        <f t="shared" si="34"/>
        <v>9.3923170846247697E-2</v>
      </c>
    </row>
    <row r="411" spans="1:49" x14ac:dyDescent="0.3">
      <c r="A411" t="s">
        <v>474</v>
      </c>
      <c r="B411" t="s">
        <v>74</v>
      </c>
      <c r="C411">
        <v>2</v>
      </c>
      <c r="D411" t="s">
        <v>17</v>
      </c>
      <c r="E411">
        <v>63</v>
      </c>
      <c r="F411">
        <v>77</v>
      </c>
      <c r="G411">
        <v>63</v>
      </c>
      <c r="H411">
        <v>70</v>
      </c>
      <c r="I411">
        <v>66</v>
      </c>
      <c r="J411">
        <v>49</v>
      </c>
      <c r="K411">
        <v>73</v>
      </c>
      <c r="L411">
        <v>73</v>
      </c>
      <c r="M411">
        <v>73</v>
      </c>
      <c r="N411">
        <v>54</v>
      </c>
      <c r="O411">
        <v>77</v>
      </c>
      <c r="P411">
        <v>64</v>
      </c>
      <c r="Q411">
        <v>67</v>
      </c>
      <c r="R411">
        <v>69</v>
      </c>
      <c r="S411">
        <v>80</v>
      </c>
      <c r="T411">
        <v>54</v>
      </c>
      <c r="U411">
        <v>51</v>
      </c>
      <c r="V411">
        <v>72</v>
      </c>
      <c r="W411">
        <v>93</v>
      </c>
      <c r="X411">
        <v>86</v>
      </c>
      <c r="Y411">
        <v>71</v>
      </c>
      <c r="Z411">
        <v>59</v>
      </c>
      <c r="AA411">
        <v>60</v>
      </c>
      <c r="AB411">
        <v>57</v>
      </c>
      <c r="AC411">
        <v>57</v>
      </c>
      <c r="AD411">
        <v>52</v>
      </c>
      <c r="AE411">
        <v>73</v>
      </c>
      <c r="AF411">
        <v>55</v>
      </c>
      <c r="AG411">
        <v>69</v>
      </c>
      <c r="AH411">
        <v>56</v>
      </c>
      <c r="AI411">
        <v>64</v>
      </c>
      <c r="AJ411">
        <v>77</v>
      </c>
      <c r="AK411">
        <v>80</v>
      </c>
      <c r="AL411">
        <v>57</v>
      </c>
      <c r="AM411">
        <v>76</v>
      </c>
      <c r="AN411">
        <v>77</v>
      </c>
      <c r="AO411">
        <v>75</v>
      </c>
      <c r="AP411">
        <v>72</v>
      </c>
      <c r="AQ411">
        <v>2561</v>
      </c>
      <c r="AR411">
        <v>0.78094494338149167</v>
      </c>
      <c r="AS411">
        <f t="shared" si="30"/>
        <v>0.23640867496793064</v>
      </c>
      <c r="AT411">
        <f t="shared" si="31"/>
        <v>1.9007257467421622E-2</v>
      </c>
      <c r="AU411">
        <f t="shared" si="32"/>
        <v>1.9007257467421621</v>
      </c>
      <c r="AV411">
        <f t="shared" si="33"/>
        <v>3</v>
      </c>
      <c r="AW411">
        <f t="shared" si="34"/>
        <v>9.3923170846247697E-2</v>
      </c>
    </row>
    <row r="412" spans="1:49" x14ac:dyDescent="0.3">
      <c r="A412" t="s">
        <v>475</v>
      </c>
      <c r="B412" t="s">
        <v>74</v>
      </c>
      <c r="C412">
        <v>1</v>
      </c>
      <c r="D412" t="s">
        <v>17</v>
      </c>
      <c r="E412">
        <v>88</v>
      </c>
      <c r="F412">
        <v>86</v>
      </c>
      <c r="G412">
        <v>87</v>
      </c>
      <c r="H412">
        <v>71</v>
      </c>
      <c r="I412">
        <v>61</v>
      </c>
      <c r="J412">
        <v>58</v>
      </c>
      <c r="K412">
        <v>71</v>
      </c>
      <c r="L412">
        <v>70</v>
      </c>
      <c r="M412">
        <v>64</v>
      </c>
      <c r="N412">
        <v>64</v>
      </c>
      <c r="O412">
        <v>77</v>
      </c>
      <c r="P412">
        <v>70</v>
      </c>
      <c r="Q412">
        <v>47</v>
      </c>
      <c r="R412">
        <v>59</v>
      </c>
      <c r="S412">
        <v>71</v>
      </c>
      <c r="T412">
        <v>62</v>
      </c>
      <c r="U412">
        <v>63</v>
      </c>
      <c r="V412">
        <v>70</v>
      </c>
      <c r="W412">
        <v>69</v>
      </c>
      <c r="X412">
        <v>72</v>
      </c>
      <c r="Y412">
        <v>90</v>
      </c>
      <c r="Z412">
        <v>67</v>
      </c>
      <c r="AA412">
        <v>58</v>
      </c>
      <c r="AB412">
        <v>64</v>
      </c>
      <c r="AC412">
        <v>64</v>
      </c>
      <c r="AD412">
        <v>64</v>
      </c>
      <c r="AE412">
        <v>50</v>
      </c>
      <c r="AF412">
        <v>60</v>
      </c>
      <c r="AG412">
        <v>51</v>
      </c>
      <c r="AH412">
        <v>61</v>
      </c>
      <c r="AI412">
        <v>65</v>
      </c>
      <c r="AJ412">
        <v>54</v>
      </c>
      <c r="AK412">
        <v>62</v>
      </c>
      <c r="AL412">
        <v>66</v>
      </c>
      <c r="AM412">
        <v>69</v>
      </c>
      <c r="AN412">
        <v>64</v>
      </c>
      <c r="AO412">
        <v>69</v>
      </c>
      <c r="AP412">
        <v>68</v>
      </c>
      <c r="AQ412">
        <v>2526</v>
      </c>
      <c r="AR412">
        <v>0.39588281868566899</v>
      </c>
      <c r="AS412">
        <f t="shared" si="30"/>
        <v>0.10390628520559511</v>
      </c>
      <c r="AT412">
        <f t="shared" si="31"/>
        <v>8.3540653305298473E-3</v>
      </c>
      <c r="AU412">
        <f t="shared" si="32"/>
        <v>0.83540653305298473</v>
      </c>
      <c r="AV412">
        <f t="shared" si="33"/>
        <v>3</v>
      </c>
      <c r="AW412">
        <f t="shared" si="34"/>
        <v>9.3923170846247697E-2</v>
      </c>
    </row>
    <row r="413" spans="1:49" x14ac:dyDescent="0.3">
      <c r="A413" t="s">
        <v>476</v>
      </c>
      <c r="B413" t="s">
        <v>74</v>
      </c>
      <c r="C413">
        <v>2</v>
      </c>
      <c r="D413" t="s">
        <v>17</v>
      </c>
      <c r="E413">
        <v>29</v>
      </c>
      <c r="F413">
        <v>18</v>
      </c>
      <c r="G413">
        <v>24</v>
      </c>
      <c r="H413">
        <v>14</v>
      </c>
      <c r="I413">
        <v>27</v>
      </c>
      <c r="J413">
        <v>31</v>
      </c>
      <c r="K413">
        <v>28</v>
      </c>
      <c r="L413">
        <v>40</v>
      </c>
      <c r="M413">
        <v>39</v>
      </c>
      <c r="N413">
        <v>50</v>
      </c>
      <c r="O413">
        <v>50</v>
      </c>
      <c r="P413">
        <v>53</v>
      </c>
      <c r="Q413">
        <v>65</v>
      </c>
      <c r="R413">
        <v>78</v>
      </c>
      <c r="S413">
        <v>83</v>
      </c>
      <c r="T413">
        <v>81</v>
      </c>
      <c r="U413">
        <v>84</v>
      </c>
      <c r="V413">
        <v>72</v>
      </c>
      <c r="W413">
        <v>93</v>
      </c>
      <c r="X413">
        <v>22</v>
      </c>
      <c r="Y413">
        <v>15</v>
      </c>
      <c r="Z413">
        <v>21</v>
      </c>
      <c r="AA413">
        <v>31</v>
      </c>
      <c r="AB413">
        <v>21</v>
      </c>
      <c r="AC413">
        <v>26</v>
      </c>
      <c r="AD413">
        <v>37</v>
      </c>
      <c r="AE413">
        <v>31</v>
      </c>
      <c r="AF413">
        <v>48</v>
      </c>
      <c r="AG413">
        <v>43</v>
      </c>
      <c r="AH413">
        <v>57</v>
      </c>
      <c r="AI413">
        <v>71</v>
      </c>
      <c r="AJ413">
        <v>55</v>
      </c>
      <c r="AK413">
        <v>67</v>
      </c>
      <c r="AL413">
        <v>76</v>
      </c>
      <c r="AM413">
        <v>86</v>
      </c>
      <c r="AN413">
        <v>73</v>
      </c>
      <c r="AO413">
        <v>79</v>
      </c>
      <c r="AP413">
        <v>77</v>
      </c>
      <c r="AQ413">
        <v>1895</v>
      </c>
      <c r="AR413">
        <v>1.0554089709762531</v>
      </c>
      <c r="AS413">
        <f t="shared" si="30"/>
        <v>0.33085353782955196</v>
      </c>
      <c r="AT413">
        <f t="shared" si="31"/>
        <v>2.6600624441495978E-2</v>
      </c>
      <c r="AU413">
        <f t="shared" si="32"/>
        <v>2.6600624441495979</v>
      </c>
      <c r="AV413">
        <f t="shared" si="33"/>
        <v>3</v>
      </c>
      <c r="AW413">
        <f t="shared" si="34"/>
        <v>9.3923170846247697E-2</v>
      </c>
    </row>
    <row r="414" spans="1:49" x14ac:dyDescent="0.3">
      <c r="A414" t="s">
        <v>477</v>
      </c>
      <c r="B414" t="s">
        <v>23</v>
      </c>
      <c r="C414">
        <v>1</v>
      </c>
      <c r="D414" t="s">
        <v>24</v>
      </c>
      <c r="E414">
        <v>58</v>
      </c>
      <c r="F414">
        <v>45</v>
      </c>
      <c r="G414">
        <v>42</v>
      </c>
      <c r="H414">
        <v>60</v>
      </c>
      <c r="I414">
        <v>47</v>
      </c>
      <c r="J414">
        <v>44</v>
      </c>
      <c r="K414">
        <v>60</v>
      </c>
      <c r="L414">
        <v>59</v>
      </c>
      <c r="M414">
        <v>73</v>
      </c>
      <c r="N414">
        <v>78</v>
      </c>
      <c r="O414">
        <v>119</v>
      </c>
      <c r="P414">
        <v>88</v>
      </c>
      <c r="Q414">
        <v>113</v>
      </c>
      <c r="R414">
        <v>119</v>
      </c>
      <c r="S414">
        <v>159</v>
      </c>
      <c r="T414">
        <v>145</v>
      </c>
      <c r="U414">
        <v>142</v>
      </c>
      <c r="V414">
        <v>163</v>
      </c>
      <c r="W414">
        <v>160</v>
      </c>
      <c r="X414">
        <v>54</v>
      </c>
      <c r="Y414">
        <v>58</v>
      </c>
      <c r="Z414">
        <v>40</v>
      </c>
      <c r="AA414">
        <v>37</v>
      </c>
      <c r="AB414">
        <v>54</v>
      </c>
      <c r="AC414">
        <v>36</v>
      </c>
      <c r="AD414">
        <v>53</v>
      </c>
      <c r="AE414">
        <v>69</v>
      </c>
      <c r="AF414">
        <v>68</v>
      </c>
      <c r="AG414">
        <v>67</v>
      </c>
      <c r="AH414">
        <v>97</v>
      </c>
      <c r="AI414">
        <v>108</v>
      </c>
      <c r="AJ414">
        <v>101</v>
      </c>
      <c r="AK414">
        <v>140</v>
      </c>
      <c r="AL414">
        <v>110</v>
      </c>
      <c r="AM414">
        <v>132</v>
      </c>
      <c r="AN414">
        <v>127</v>
      </c>
      <c r="AO414">
        <v>142</v>
      </c>
      <c r="AP414">
        <v>158</v>
      </c>
      <c r="AQ414">
        <v>3425</v>
      </c>
      <c r="AR414">
        <v>0.29197080291970801</v>
      </c>
      <c r="AS414">
        <f t="shared" si="30"/>
        <v>6.8149482521125113E-2</v>
      </c>
      <c r="AT414">
        <f t="shared" si="31"/>
        <v>5.4792183946984589E-3</v>
      </c>
      <c r="AU414">
        <f t="shared" si="32"/>
        <v>0.54792183946984585</v>
      </c>
      <c r="AV414">
        <f t="shared" si="33"/>
        <v>3</v>
      </c>
      <c r="AW414">
        <f t="shared" si="34"/>
        <v>9.3923170846247697E-2</v>
      </c>
    </row>
    <row r="415" spans="1:49" x14ac:dyDescent="0.3">
      <c r="A415" t="s">
        <v>478</v>
      </c>
      <c r="B415" t="s">
        <v>286</v>
      </c>
      <c r="C415">
        <v>1</v>
      </c>
      <c r="D415" t="s">
        <v>24</v>
      </c>
      <c r="E415">
        <v>69</v>
      </c>
      <c r="F415">
        <v>64</v>
      </c>
      <c r="G415">
        <v>52</v>
      </c>
      <c r="H415">
        <v>72</v>
      </c>
      <c r="I415">
        <v>62</v>
      </c>
      <c r="J415">
        <v>69</v>
      </c>
      <c r="K415">
        <v>72</v>
      </c>
      <c r="L415">
        <v>82</v>
      </c>
      <c r="M415">
        <v>103</v>
      </c>
      <c r="N415">
        <v>133</v>
      </c>
      <c r="O415">
        <v>128</v>
      </c>
      <c r="P415">
        <v>129</v>
      </c>
      <c r="Q415">
        <v>137</v>
      </c>
      <c r="R415">
        <v>168</v>
      </c>
      <c r="S415">
        <v>124</v>
      </c>
      <c r="T415">
        <v>161</v>
      </c>
      <c r="U415">
        <v>134</v>
      </c>
      <c r="V415">
        <v>161</v>
      </c>
      <c r="W415">
        <v>203</v>
      </c>
      <c r="X415">
        <v>70</v>
      </c>
      <c r="Y415">
        <v>52</v>
      </c>
      <c r="Z415">
        <v>51</v>
      </c>
      <c r="AA415">
        <v>58</v>
      </c>
      <c r="AB415">
        <v>54</v>
      </c>
      <c r="AC415">
        <v>75</v>
      </c>
      <c r="AD415">
        <v>70</v>
      </c>
      <c r="AE415">
        <v>81</v>
      </c>
      <c r="AF415">
        <v>116</v>
      </c>
      <c r="AG415">
        <v>102</v>
      </c>
      <c r="AH415">
        <v>133</v>
      </c>
      <c r="AI415">
        <v>142</v>
      </c>
      <c r="AJ415">
        <v>137</v>
      </c>
      <c r="AK415">
        <v>156</v>
      </c>
      <c r="AL415">
        <v>146</v>
      </c>
      <c r="AM415">
        <v>159</v>
      </c>
      <c r="AN415">
        <v>146</v>
      </c>
      <c r="AO415">
        <v>132</v>
      </c>
      <c r="AP415">
        <v>193</v>
      </c>
      <c r="AQ415">
        <v>4196</v>
      </c>
      <c r="AR415">
        <v>0.2383222116301239</v>
      </c>
      <c r="AS415">
        <f t="shared" si="30"/>
        <v>4.9688652184025406E-2</v>
      </c>
      <c r="AT415">
        <f t="shared" si="31"/>
        <v>3.9949676355956424E-3</v>
      </c>
      <c r="AU415">
        <f t="shared" si="32"/>
        <v>0.39949676355956426</v>
      </c>
      <c r="AV415">
        <f t="shared" si="33"/>
        <v>3</v>
      </c>
      <c r="AW415">
        <f t="shared" si="34"/>
        <v>9.3923170846247697E-2</v>
      </c>
    </row>
    <row r="416" spans="1:49" x14ac:dyDescent="0.3">
      <c r="A416" t="s">
        <v>479</v>
      </c>
      <c r="B416" t="s">
        <v>164</v>
      </c>
      <c r="C416">
        <v>1</v>
      </c>
      <c r="D416" t="s">
        <v>24</v>
      </c>
      <c r="E416">
        <v>108</v>
      </c>
      <c r="F416">
        <v>105</v>
      </c>
      <c r="G416">
        <v>106</v>
      </c>
      <c r="H416">
        <v>112</v>
      </c>
      <c r="I416">
        <v>97</v>
      </c>
      <c r="J416">
        <v>125</v>
      </c>
      <c r="K416">
        <v>120</v>
      </c>
      <c r="L416">
        <v>169</v>
      </c>
      <c r="M416">
        <v>139</v>
      </c>
      <c r="N416">
        <v>154</v>
      </c>
      <c r="O416">
        <v>190</v>
      </c>
      <c r="P416">
        <v>167</v>
      </c>
      <c r="Q416">
        <v>162</v>
      </c>
      <c r="R416">
        <v>190</v>
      </c>
      <c r="S416">
        <v>143</v>
      </c>
      <c r="T416">
        <v>163</v>
      </c>
      <c r="U416">
        <v>164</v>
      </c>
      <c r="V416">
        <v>150</v>
      </c>
      <c r="W416">
        <v>174</v>
      </c>
      <c r="X416">
        <v>95</v>
      </c>
      <c r="Y416">
        <v>100</v>
      </c>
      <c r="Z416">
        <v>102</v>
      </c>
      <c r="AA416">
        <v>97</v>
      </c>
      <c r="AB416">
        <v>105</v>
      </c>
      <c r="AC416">
        <v>96</v>
      </c>
      <c r="AD416">
        <v>111</v>
      </c>
      <c r="AE416">
        <v>114</v>
      </c>
      <c r="AF416">
        <v>152</v>
      </c>
      <c r="AG416">
        <v>146</v>
      </c>
      <c r="AH416">
        <v>146</v>
      </c>
      <c r="AI416">
        <v>164</v>
      </c>
      <c r="AJ416">
        <v>171</v>
      </c>
      <c r="AK416">
        <v>135</v>
      </c>
      <c r="AL416">
        <v>151</v>
      </c>
      <c r="AM416">
        <v>190</v>
      </c>
      <c r="AN416">
        <v>171</v>
      </c>
      <c r="AO416">
        <v>176</v>
      </c>
      <c r="AP416">
        <v>164</v>
      </c>
      <c r="AQ416">
        <v>5324</v>
      </c>
      <c r="AR416">
        <v>0.18782870022539441</v>
      </c>
      <c r="AS416">
        <f t="shared" si="30"/>
        <v>3.2313505423217578E-2</v>
      </c>
      <c r="AT416">
        <f t="shared" si="31"/>
        <v>2.5980058360266932E-3</v>
      </c>
      <c r="AU416">
        <f t="shared" si="32"/>
        <v>0.25980058360266933</v>
      </c>
      <c r="AV416">
        <f t="shared" si="33"/>
        <v>3</v>
      </c>
      <c r="AW416">
        <f t="shared" si="34"/>
        <v>9.3923170846247697E-2</v>
      </c>
    </row>
    <row r="417" spans="1:49" x14ac:dyDescent="0.3">
      <c r="A417" t="s">
        <v>480</v>
      </c>
      <c r="B417" t="s">
        <v>70</v>
      </c>
      <c r="C417">
        <v>1</v>
      </c>
      <c r="D417" t="s">
        <v>12</v>
      </c>
      <c r="E417">
        <v>18</v>
      </c>
      <c r="F417">
        <v>35</v>
      </c>
      <c r="G417">
        <v>11</v>
      </c>
      <c r="H417">
        <v>27</v>
      </c>
      <c r="I417">
        <v>26</v>
      </c>
      <c r="J417">
        <v>37</v>
      </c>
      <c r="K417">
        <v>52</v>
      </c>
      <c r="L417">
        <v>53</v>
      </c>
      <c r="M417">
        <v>60</v>
      </c>
      <c r="N417">
        <v>72</v>
      </c>
      <c r="O417">
        <v>67</v>
      </c>
      <c r="P417">
        <v>84</v>
      </c>
      <c r="Q417">
        <v>81</v>
      </c>
      <c r="R417">
        <v>92</v>
      </c>
      <c r="S417">
        <v>82</v>
      </c>
      <c r="T417">
        <v>81</v>
      </c>
      <c r="U417">
        <v>116</v>
      </c>
      <c r="V417">
        <v>116</v>
      </c>
      <c r="W417">
        <v>113</v>
      </c>
      <c r="X417">
        <v>22</v>
      </c>
      <c r="Y417">
        <v>30</v>
      </c>
      <c r="Z417">
        <v>18</v>
      </c>
      <c r="AA417">
        <v>30</v>
      </c>
      <c r="AB417">
        <v>29</v>
      </c>
      <c r="AC417">
        <v>31</v>
      </c>
      <c r="AD417">
        <v>56</v>
      </c>
      <c r="AE417">
        <v>38</v>
      </c>
      <c r="AF417">
        <v>57</v>
      </c>
      <c r="AG417">
        <v>73</v>
      </c>
      <c r="AH417">
        <v>67</v>
      </c>
      <c r="AI417">
        <v>74</v>
      </c>
      <c r="AJ417">
        <v>75</v>
      </c>
      <c r="AK417">
        <v>77</v>
      </c>
      <c r="AL417">
        <v>107</v>
      </c>
      <c r="AM417">
        <v>86</v>
      </c>
      <c r="AN417">
        <v>99</v>
      </c>
      <c r="AO417">
        <v>91</v>
      </c>
      <c r="AP417">
        <v>96</v>
      </c>
      <c r="AQ417">
        <v>2379</v>
      </c>
      <c r="AR417">
        <v>0.4203446826397646</v>
      </c>
      <c r="AS417">
        <f t="shared" si="30"/>
        <v>0.11232377221374792</v>
      </c>
      <c r="AT417">
        <f t="shared" si="31"/>
        <v>9.0308312859853322E-3</v>
      </c>
      <c r="AU417">
        <f t="shared" si="32"/>
        <v>0.90308312859853324</v>
      </c>
      <c r="AV417">
        <f t="shared" si="33"/>
        <v>3</v>
      </c>
      <c r="AW417">
        <f t="shared" si="34"/>
        <v>9.3923170846247697E-2</v>
      </c>
    </row>
    <row r="418" spans="1:49" x14ac:dyDescent="0.3">
      <c r="A418" t="s">
        <v>481</v>
      </c>
      <c r="B418" t="s">
        <v>70</v>
      </c>
      <c r="C418">
        <v>2</v>
      </c>
      <c r="D418" t="s">
        <v>12</v>
      </c>
      <c r="E418">
        <v>23</v>
      </c>
      <c r="F418">
        <v>36</v>
      </c>
      <c r="G418">
        <v>25</v>
      </c>
      <c r="H418">
        <v>32</v>
      </c>
      <c r="I418">
        <v>40</v>
      </c>
      <c r="J418">
        <v>52</v>
      </c>
      <c r="K418">
        <v>66</v>
      </c>
      <c r="L418">
        <v>70</v>
      </c>
      <c r="M418">
        <v>76</v>
      </c>
      <c r="N418">
        <v>139</v>
      </c>
      <c r="O418">
        <v>161</v>
      </c>
      <c r="P418">
        <v>165</v>
      </c>
      <c r="Q418">
        <v>205</v>
      </c>
      <c r="R418">
        <v>232</v>
      </c>
      <c r="S418">
        <v>215</v>
      </c>
      <c r="T418">
        <v>235</v>
      </c>
      <c r="U418">
        <v>211</v>
      </c>
      <c r="V418">
        <v>210</v>
      </c>
      <c r="W418">
        <v>207</v>
      </c>
      <c r="X418">
        <v>14</v>
      </c>
      <c r="Y418">
        <v>26</v>
      </c>
      <c r="Z418">
        <v>23</v>
      </c>
      <c r="AA418">
        <v>25</v>
      </c>
      <c r="AB418">
        <v>24</v>
      </c>
      <c r="AC418">
        <v>32</v>
      </c>
      <c r="AD418">
        <v>66</v>
      </c>
      <c r="AE418">
        <v>78</v>
      </c>
      <c r="AF418">
        <v>94</v>
      </c>
      <c r="AG418">
        <v>115</v>
      </c>
      <c r="AH418">
        <v>155</v>
      </c>
      <c r="AI418">
        <v>159</v>
      </c>
      <c r="AJ418">
        <v>221</v>
      </c>
      <c r="AK418">
        <v>207</v>
      </c>
      <c r="AL418">
        <v>199</v>
      </c>
      <c r="AM418">
        <v>237</v>
      </c>
      <c r="AN418">
        <v>211</v>
      </c>
      <c r="AO418">
        <v>220</v>
      </c>
      <c r="AP418">
        <v>210</v>
      </c>
      <c r="AQ418">
        <v>4716</v>
      </c>
      <c r="AR418">
        <v>0.42408821034775229</v>
      </c>
      <c r="AS418">
        <f t="shared" si="30"/>
        <v>0.11361194452579165</v>
      </c>
      <c r="AT418">
        <f t="shared" si="31"/>
        <v>9.1344003398736492E-3</v>
      </c>
      <c r="AU418">
        <f t="shared" si="32"/>
        <v>0.91344003398736495</v>
      </c>
      <c r="AV418">
        <f t="shared" si="33"/>
        <v>3</v>
      </c>
      <c r="AW418">
        <f t="shared" si="34"/>
        <v>9.3923170846247697E-2</v>
      </c>
    </row>
    <row r="419" spans="1:49" x14ac:dyDescent="0.3">
      <c r="A419" t="s">
        <v>482</v>
      </c>
      <c r="B419" t="s">
        <v>105</v>
      </c>
      <c r="C419">
        <v>1</v>
      </c>
      <c r="D419" t="s">
        <v>12</v>
      </c>
      <c r="E419">
        <v>34</v>
      </c>
      <c r="F419">
        <v>26</v>
      </c>
      <c r="G419">
        <v>22</v>
      </c>
      <c r="H419">
        <v>23</v>
      </c>
      <c r="I419">
        <v>23</v>
      </c>
      <c r="J419">
        <v>25</v>
      </c>
      <c r="K419">
        <v>24</v>
      </c>
      <c r="L419">
        <v>33</v>
      </c>
      <c r="M419">
        <v>28</v>
      </c>
      <c r="N419">
        <v>36</v>
      </c>
      <c r="O419">
        <v>33</v>
      </c>
      <c r="P419">
        <v>36</v>
      </c>
      <c r="Q419">
        <v>30</v>
      </c>
      <c r="R419">
        <v>47</v>
      </c>
      <c r="S419">
        <v>34</v>
      </c>
      <c r="T419">
        <v>40</v>
      </c>
      <c r="U419">
        <v>36</v>
      </c>
      <c r="V419">
        <v>35</v>
      </c>
      <c r="W419">
        <v>55</v>
      </c>
      <c r="X419">
        <v>31</v>
      </c>
      <c r="Y419">
        <v>24</v>
      </c>
      <c r="Z419">
        <v>24</v>
      </c>
      <c r="AA419">
        <v>21</v>
      </c>
      <c r="AB419">
        <v>25</v>
      </c>
      <c r="AC419">
        <v>23</v>
      </c>
      <c r="AD419">
        <v>18</v>
      </c>
      <c r="AE419">
        <v>18</v>
      </c>
      <c r="AF419">
        <v>18</v>
      </c>
      <c r="AG419">
        <v>18</v>
      </c>
      <c r="AH419">
        <v>30</v>
      </c>
      <c r="AI419">
        <v>31</v>
      </c>
      <c r="AJ419">
        <v>25</v>
      </c>
      <c r="AK419">
        <v>40</v>
      </c>
      <c r="AL419">
        <v>44</v>
      </c>
      <c r="AM419">
        <v>24</v>
      </c>
      <c r="AN419">
        <v>32</v>
      </c>
      <c r="AO419">
        <v>42</v>
      </c>
      <c r="AP419">
        <v>45</v>
      </c>
      <c r="AQ419">
        <v>1153</v>
      </c>
      <c r="AR419">
        <v>0.86730268863833471</v>
      </c>
      <c r="AS419">
        <f t="shared" si="30"/>
        <v>0.26612493862293884</v>
      </c>
      <c r="AT419">
        <f t="shared" si="31"/>
        <v>2.1396445065284282E-2</v>
      </c>
      <c r="AU419">
        <f t="shared" si="32"/>
        <v>2.1396445065284282</v>
      </c>
      <c r="AV419">
        <f t="shared" si="33"/>
        <v>3</v>
      </c>
      <c r="AW419">
        <f t="shared" si="34"/>
        <v>9.3923170846247697E-2</v>
      </c>
    </row>
    <row r="420" spans="1:49" x14ac:dyDescent="0.3">
      <c r="A420" t="s">
        <v>483</v>
      </c>
      <c r="B420" t="s">
        <v>105</v>
      </c>
      <c r="C420">
        <v>4</v>
      </c>
      <c r="D420" t="s">
        <v>12</v>
      </c>
      <c r="E420">
        <v>44</v>
      </c>
      <c r="F420">
        <v>41</v>
      </c>
      <c r="G420">
        <v>35</v>
      </c>
      <c r="H420">
        <v>37</v>
      </c>
      <c r="I420">
        <v>39</v>
      </c>
      <c r="J420">
        <v>43</v>
      </c>
      <c r="K420">
        <v>37</v>
      </c>
      <c r="L420">
        <v>45</v>
      </c>
      <c r="M420">
        <v>47</v>
      </c>
      <c r="N420">
        <v>46</v>
      </c>
      <c r="O420">
        <v>64</v>
      </c>
      <c r="P420">
        <v>56</v>
      </c>
      <c r="Q420">
        <v>73</v>
      </c>
      <c r="R420">
        <v>59</v>
      </c>
      <c r="S420">
        <v>83</v>
      </c>
      <c r="T420">
        <v>85</v>
      </c>
      <c r="U420">
        <v>89</v>
      </c>
      <c r="V420">
        <v>85</v>
      </c>
      <c r="W420">
        <v>101</v>
      </c>
      <c r="X420">
        <v>38</v>
      </c>
      <c r="Y420">
        <v>45</v>
      </c>
      <c r="Z420">
        <v>28</v>
      </c>
      <c r="AA420">
        <v>36</v>
      </c>
      <c r="AB420">
        <v>42</v>
      </c>
      <c r="AC420">
        <v>40</v>
      </c>
      <c r="AD420">
        <v>29</v>
      </c>
      <c r="AE420">
        <v>48</v>
      </c>
      <c r="AF420">
        <v>34</v>
      </c>
      <c r="AG420">
        <v>44</v>
      </c>
      <c r="AH420">
        <v>50</v>
      </c>
      <c r="AI420">
        <v>69</v>
      </c>
      <c r="AJ420">
        <v>58</v>
      </c>
      <c r="AK420">
        <v>63</v>
      </c>
      <c r="AL420">
        <v>64</v>
      </c>
      <c r="AM420">
        <v>80</v>
      </c>
      <c r="AN420">
        <v>94</v>
      </c>
      <c r="AO420">
        <v>71</v>
      </c>
      <c r="AP420">
        <v>94</v>
      </c>
      <c r="AQ420">
        <v>2136</v>
      </c>
      <c r="AR420">
        <v>1.872659176029962</v>
      </c>
      <c r="AS420">
        <f t="shared" si="30"/>
        <v>0.61207466620959261</v>
      </c>
      <c r="AT420">
        <f t="shared" si="31"/>
        <v>4.9210803163251243E-2</v>
      </c>
      <c r="AU420">
        <f t="shared" si="32"/>
        <v>4.9210803163251242</v>
      </c>
      <c r="AV420">
        <f t="shared" si="33"/>
        <v>3</v>
      </c>
      <c r="AW420">
        <f t="shared" si="34"/>
        <v>9.3923170846247697E-2</v>
      </c>
    </row>
    <row r="421" spans="1:49" x14ac:dyDescent="0.3">
      <c r="A421" t="s">
        <v>484</v>
      </c>
      <c r="B421" t="s">
        <v>164</v>
      </c>
      <c r="C421">
        <v>3</v>
      </c>
      <c r="D421" t="s">
        <v>24</v>
      </c>
      <c r="E421">
        <v>35</v>
      </c>
      <c r="F421">
        <v>58</v>
      </c>
      <c r="G421">
        <v>41</v>
      </c>
      <c r="H421">
        <v>55</v>
      </c>
      <c r="I421">
        <v>61</v>
      </c>
      <c r="J421">
        <v>62</v>
      </c>
      <c r="K421">
        <v>60</v>
      </c>
      <c r="L421">
        <v>63</v>
      </c>
      <c r="M421">
        <v>84</v>
      </c>
      <c r="N421">
        <v>83</v>
      </c>
      <c r="O421">
        <v>104</v>
      </c>
      <c r="P421">
        <v>95</v>
      </c>
      <c r="Q421">
        <v>100</v>
      </c>
      <c r="R421">
        <v>102</v>
      </c>
      <c r="S421">
        <v>111</v>
      </c>
      <c r="T421">
        <v>100</v>
      </c>
      <c r="U421">
        <v>104</v>
      </c>
      <c r="V421">
        <v>98</v>
      </c>
      <c r="W421">
        <v>104</v>
      </c>
      <c r="X421">
        <v>43</v>
      </c>
      <c r="Y421">
        <v>50</v>
      </c>
      <c r="Z421">
        <v>43</v>
      </c>
      <c r="AA421">
        <v>61</v>
      </c>
      <c r="AB421">
        <v>39</v>
      </c>
      <c r="AC421">
        <v>58</v>
      </c>
      <c r="AD421">
        <v>68</v>
      </c>
      <c r="AE421">
        <v>69</v>
      </c>
      <c r="AF421">
        <v>63</v>
      </c>
      <c r="AG421">
        <v>90</v>
      </c>
      <c r="AH421">
        <v>73</v>
      </c>
      <c r="AI421">
        <v>71</v>
      </c>
      <c r="AJ421">
        <v>84</v>
      </c>
      <c r="AK421">
        <v>99</v>
      </c>
      <c r="AL421">
        <v>93</v>
      </c>
      <c r="AM421">
        <v>115</v>
      </c>
      <c r="AN421">
        <v>87</v>
      </c>
      <c r="AO421">
        <v>102</v>
      </c>
      <c r="AP421">
        <v>134</v>
      </c>
      <c r="AQ421">
        <v>2962</v>
      </c>
      <c r="AR421">
        <v>1.0128291694800811</v>
      </c>
      <c r="AS421">
        <f t="shared" si="30"/>
        <v>0.31620155028778718</v>
      </c>
      <c r="AT421">
        <f t="shared" si="31"/>
        <v>2.5422604643138089E-2</v>
      </c>
      <c r="AU421">
        <f t="shared" si="32"/>
        <v>2.5422604643138089</v>
      </c>
      <c r="AV421">
        <f t="shared" si="33"/>
        <v>3</v>
      </c>
      <c r="AW421">
        <f t="shared" si="34"/>
        <v>9.3923170846247697E-2</v>
      </c>
    </row>
    <row r="422" spans="1:49" x14ac:dyDescent="0.3">
      <c r="A422" t="s">
        <v>485</v>
      </c>
      <c r="B422" t="s">
        <v>124</v>
      </c>
      <c r="C422">
        <v>1</v>
      </c>
      <c r="D422" t="s">
        <v>12</v>
      </c>
      <c r="E422">
        <v>9</v>
      </c>
      <c r="F422">
        <v>13</v>
      </c>
      <c r="G422">
        <v>3</v>
      </c>
      <c r="H422">
        <v>10</v>
      </c>
      <c r="I422">
        <v>8</v>
      </c>
      <c r="J422">
        <v>11</v>
      </c>
      <c r="K422">
        <v>17</v>
      </c>
      <c r="L422">
        <v>15</v>
      </c>
      <c r="M422">
        <v>17</v>
      </c>
      <c r="N422">
        <v>19</v>
      </c>
      <c r="O422">
        <v>20</v>
      </c>
      <c r="P422">
        <v>20</v>
      </c>
      <c r="Q422">
        <v>22</v>
      </c>
      <c r="R422">
        <v>28</v>
      </c>
      <c r="S422">
        <v>21</v>
      </c>
      <c r="T422">
        <v>17</v>
      </c>
      <c r="U422">
        <v>23</v>
      </c>
      <c r="V422">
        <v>22</v>
      </c>
      <c r="W422">
        <v>31</v>
      </c>
      <c r="X422">
        <v>9</v>
      </c>
      <c r="Y422">
        <v>17</v>
      </c>
      <c r="Z422">
        <v>10</v>
      </c>
      <c r="AA422">
        <v>16</v>
      </c>
      <c r="AB422">
        <v>16</v>
      </c>
      <c r="AC422">
        <v>11</v>
      </c>
      <c r="AD422">
        <v>7</v>
      </c>
      <c r="AE422">
        <v>13</v>
      </c>
      <c r="AF422">
        <v>10</v>
      </c>
      <c r="AG422">
        <v>17</v>
      </c>
      <c r="AH422">
        <v>11</v>
      </c>
      <c r="AI422">
        <v>18</v>
      </c>
      <c r="AJ422">
        <v>14</v>
      </c>
      <c r="AK422">
        <v>22</v>
      </c>
      <c r="AL422">
        <v>19</v>
      </c>
      <c r="AM422">
        <v>18</v>
      </c>
      <c r="AN422">
        <v>17</v>
      </c>
      <c r="AO422">
        <v>29</v>
      </c>
      <c r="AP422">
        <v>45</v>
      </c>
      <c r="AQ422">
        <v>645</v>
      </c>
      <c r="AR422">
        <v>1.5503875968992249</v>
      </c>
      <c r="AS422">
        <f t="shared" si="30"/>
        <v>0.50117891290475569</v>
      </c>
      <c r="AT422">
        <f t="shared" si="31"/>
        <v>4.0294784597542356E-2</v>
      </c>
      <c r="AU422">
        <f t="shared" si="32"/>
        <v>4.0294784597542357</v>
      </c>
      <c r="AV422">
        <f t="shared" si="33"/>
        <v>3</v>
      </c>
      <c r="AW422">
        <f t="shared" si="34"/>
        <v>9.3923170846247697E-2</v>
      </c>
    </row>
    <row r="423" spans="1:49" x14ac:dyDescent="0.3">
      <c r="A423" t="s">
        <v>485</v>
      </c>
      <c r="B423" t="s">
        <v>182</v>
      </c>
      <c r="C423">
        <v>1</v>
      </c>
      <c r="D423" t="s">
        <v>24</v>
      </c>
      <c r="E423">
        <v>61</v>
      </c>
      <c r="F423">
        <v>66</v>
      </c>
      <c r="G423">
        <v>60</v>
      </c>
      <c r="H423">
        <v>59</v>
      </c>
      <c r="I423">
        <v>59</v>
      </c>
      <c r="J423">
        <v>57</v>
      </c>
      <c r="K423">
        <v>59</v>
      </c>
      <c r="L423">
        <v>72</v>
      </c>
      <c r="M423">
        <v>82</v>
      </c>
      <c r="N423">
        <v>81</v>
      </c>
      <c r="O423">
        <v>108</v>
      </c>
      <c r="P423">
        <v>80</v>
      </c>
      <c r="Q423">
        <v>100</v>
      </c>
      <c r="R423">
        <v>92</v>
      </c>
      <c r="S423">
        <v>122</v>
      </c>
      <c r="T423">
        <v>114</v>
      </c>
      <c r="U423">
        <v>109</v>
      </c>
      <c r="V423">
        <v>115</v>
      </c>
      <c r="W423">
        <v>113</v>
      </c>
      <c r="X423">
        <v>71</v>
      </c>
      <c r="Y423">
        <v>61</v>
      </c>
      <c r="Z423">
        <v>59</v>
      </c>
      <c r="AA423">
        <v>57</v>
      </c>
      <c r="AB423">
        <v>62</v>
      </c>
      <c r="AC423">
        <v>64</v>
      </c>
      <c r="AD423">
        <v>74</v>
      </c>
      <c r="AE423">
        <v>65</v>
      </c>
      <c r="AF423">
        <v>84</v>
      </c>
      <c r="AG423">
        <v>95</v>
      </c>
      <c r="AH423">
        <v>80</v>
      </c>
      <c r="AI423">
        <v>86</v>
      </c>
      <c r="AJ423">
        <v>95</v>
      </c>
      <c r="AK423">
        <v>109</v>
      </c>
      <c r="AL423">
        <v>102</v>
      </c>
      <c r="AM423">
        <v>118</v>
      </c>
      <c r="AN423">
        <v>104</v>
      </c>
      <c r="AO423">
        <v>109</v>
      </c>
      <c r="AP423">
        <v>118</v>
      </c>
      <c r="AQ423">
        <v>3222</v>
      </c>
      <c r="AR423">
        <v>0.3103662321539416</v>
      </c>
      <c r="AS423">
        <f t="shared" si="30"/>
        <v>7.4479469756731101E-2</v>
      </c>
      <c r="AT423">
        <f t="shared" si="31"/>
        <v>5.9881493684411802E-3</v>
      </c>
      <c r="AU423">
        <f t="shared" si="32"/>
        <v>0.59881493684411802</v>
      </c>
      <c r="AV423">
        <f t="shared" si="33"/>
        <v>3</v>
      </c>
      <c r="AW423">
        <f t="shared" si="34"/>
        <v>9.3923170846247697E-2</v>
      </c>
    </row>
    <row r="424" spans="1:49" x14ac:dyDescent="0.3">
      <c r="A424" t="s">
        <v>486</v>
      </c>
      <c r="B424" t="s">
        <v>198</v>
      </c>
      <c r="C424">
        <v>1</v>
      </c>
      <c r="D424" t="s">
        <v>12</v>
      </c>
      <c r="E424">
        <v>46</v>
      </c>
      <c r="F424">
        <v>35</v>
      </c>
      <c r="G424">
        <v>24</v>
      </c>
      <c r="H424">
        <v>37</v>
      </c>
      <c r="I424">
        <v>27</v>
      </c>
      <c r="J424">
        <v>31</v>
      </c>
      <c r="K424">
        <v>32</v>
      </c>
      <c r="L424">
        <v>33</v>
      </c>
      <c r="M424">
        <v>43</v>
      </c>
      <c r="N424">
        <v>56</v>
      </c>
      <c r="O424">
        <v>47</v>
      </c>
      <c r="P424">
        <v>47</v>
      </c>
      <c r="Q424">
        <v>55</v>
      </c>
      <c r="R424">
        <v>65</v>
      </c>
      <c r="S424">
        <v>50</v>
      </c>
      <c r="T424">
        <v>51</v>
      </c>
      <c r="U424">
        <v>65</v>
      </c>
      <c r="V424">
        <v>56</v>
      </c>
      <c r="W424">
        <v>66</v>
      </c>
      <c r="X424">
        <v>45</v>
      </c>
      <c r="Y424">
        <v>30</v>
      </c>
      <c r="Z424">
        <v>32</v>
      </c>
      <c r="AA424">
        <v>35</v>
      </c>
      <c r="AB424">
        <v>24</v>
      </c>
      <c r="AC424">
        <v>33</v>
      </c>
      <c r="AD424">
        <v>29</v>
      </c>
      <c r="AE424">
        <v>38</v>
      </c>
      <c r="AF424">
        <v>40</v>
      </c>
      <c r="AG424">
        <v>41</v>
      </c>
      <c r="AH424">
        <v>46</v>
      </c>
      <c r="AI424">
        <v>41</v>
      </c>
      <c r="AJ424">
        <v>50</v>
      </c>
      <c r="AK424">
        <v>42</v>
      </c>
      <c r="AL424">
        <v>45</v>
      </c>
      <c r="AM424">
        <v>64</v>
      </c>
      <c r="AN424">
        <v>38</v>
      </c>
      <c r="AO424">
        <v>55</v>
      </c>
      <c r="AP424">
        <v>68</v>
      </c>
      <c r="AQ424">
        <v>1662</v>
      </c>
      <c r="AR424">
        <v>0.60168471720818295</v>
      </c>
      <c r="AS424">
        <f t="shared" si="30"/>
        <v>0.17472406141092803</v>
      </c>
      <c r="AT424">
        <f t="shared" si="31"/>
        <v>1.4047814537438613E-2</v>
      </c>
      <c r="AU424">
        <f t="shared" si="32"/>
        <v>1.4047814537438614</v>
      </c>
      <c r="AV424">
        <f t="shared" si="33"/>
        <v>3</v>
      </c>
      <c r="AW424">
        <f t="shared" si="34"/>
        <v>9.3923170846247697E-2</v>
      </c>
    </row>
    <row r="425" spans="1:49" x14ac:dyDescent="0.3">
      <c r="A425" t="s">
        <v>487</v>
      </c>
      <c r="B425" t="s">
        <v>198</v>
      </c>
      <c r="C425">
        <v>1</v>
      </c>
      <c r="D425" t="s">
        <v>12</v>
      </c>
      <c r="E425">
        <v>55</v>
      </c>
      <c r="F425">
        <v>59</v>
      </c>
      <c r="G425">
        <v>49</v>
      </c>
      <c r="H425">
        <v>56</v>
      </c>
      <c r="I425">
        <v>42</v>
      </c>
      <c r="J425">
        <v>45</v>
      </c>
      <c r="K425">
        <v>46</v>
      </c>
      <c r="L425">
        <v>46</v>
      </c>
      <c r="M425">
        <v>45</v>
      </c>
      <c r="N425">
        <v>62</v>
      </c>
      <c r="O425">
        <v>50</v>
      </c>
      <c r="P425">
        <v>51</v>
      </c>
      <c r="Q425">
        <v>67</v>
      </c>
      <c r="R425">
        <v>59</v>
      </c>
      <c r="S425">
        <v>50</v>
      </c>
      <c r="T425">
        <v>49</v>
      </c>
      <c r="U425">
        <v>57</v>
      </c>
      <c r="V425">
        <v>45</v>
      </c>
      <c r="W425">
        <v>68</v>
      </c>
      <c r="X425">
        <v>67</v>
      </c>
      <c r="Y425">
        <v>53</v>
      </c>
      <c r="Z425">
        <v>44</v>
      </c>
      <c r="AA425">
        <v>67</v>
      </c>
      <c r="AB425">
        <v>51</v>
      </c>
      <c r="AC425">
        <v>41</v>
      </c>
      <c r="AD425">
        <v>40</v>
      </c>
      <c r="AE425">
        <v>35</v>
      </c>
      <c r="AF425">
        <v>41</v>
      </c>
      <c r="AG425">
        <v>51</v>
      </c>
      <c r="AH425">
        <v>46</v>
      </c>
      <c r="AI425">
        <v>41</v>
      </c>
      <c r="AJ425">
        <v>39</v>
      </c>
      <c r="AK425">
        <v>42</v>
      </c>
      <c r="AL425">
        <v>51</v>
      </c>
      <c r="AM425">
        <v>51</v>
      </c>
      <c r="AN425">
        <v>40</v>
      </c>
      <c r="AO425">
        <v>62</v>
      </c>
      <c r="AP425">
        <v>53</v>
      </c>
      <c r="AQ425">
        <v>1916</v>
      </c>
      <c r="AR425">
        <v>0.52192066805845505</v>
      </c>
      <c r="AS425">
        <f t="shared" si="30"/>
        <v>0.14727673161237101</v>
      </c>
      <c r="AT425">
        <f t="shared" si="31"/>
        <v>1.1841049221634628E-2</v>
      </c>
      <c r="AU425">
        <f t="shared" si="32"/>
        <v>1.1841049221634627</v>
      </c>
      <c r="AV425">
        <f t="shared" si="33"/>
        <v>3</v>
      </c>
      <c r="AW425">
        <f t="shared" si="34"/>
        <v>9.3923170846247697E-2</v>
      </c>
    </row>
    <row r="426" spans="1:49" x14ac:dyDescent="0.3">
      <c r="A426" t="s">
        <v>488</v>
      </c>
      <c r="B426" t="s">
        <v>36</v>
      </c>
      <c r="C426">
        <v>1</v>
      </c>
      <c r="D426" t="s">
        <v>12</v>
      </c>
      <c r="E426">
        <v>55</v>
      </c>
      <c r="F426">
        <v>42</v>
      </c>
      <c r="G426">
        <v>27</v>
      </c>
      <c r="H426">
        <v>39</v>
      </c>
      <c r="I426">
        <v>35</v>
      </c>
      <c r="J426">
        <v>45</v>
      </c>
      <c r="K426">
        <v>35</v>
      </c>
      <c r="L426">
        <v>44</v>
      </c>
      <c r="M426">
        <v>35</v>
      </c>
      <c r="N426">
        <v>56</v>
      </c>
      <c r="O426">
        <v>58</v>
      </c>
      <c r="P426">
        <v>47</v>
      </c>
      <c r="Q426">
        <v>35</v>
      </c>
      <c r="R426">
        <v>58</v>
      </c>
      <c r="S426">
        <v>40</v>
      </c>
      <c r="T426">
        <v>66</v>
      </c>
      <c r="U426">
        <v>59</v>
      </c>
      <c r="V426">
        <v>55</v>
      </c>
      <c r="W426">
        <v>78</v>
      </c>
      <c r="X426">
        <v>46</v>
      </c>
      <c r="Y426">
        <v>33</v>
      </c>
      <c r="Z426">
        <v>33</v>
      </c>
      <c r="AA426">
        <v>30</v>
      </c>
      <c r="AB426">
        <v>39</v>
      </c>
      <c r="AC426">
        <v>44</v>
      </c>
      <c r="AD426">
        <v>35</v>
      </c>
      <c r="AE426">
        <v>47</v>
      </c>
      <c r="AF426">
        <v>55</v>
      </c>
      <c r="AG426">
        <v>54</v>
      </c>
      <c r="AH426">
        <v>36</v>
      </c>
      <c r="AI426">
        <v>47</v>
      </c>
      <c r="AJ426">
        <v>33</v>
      </c>
      <c r="AK426">
        <v>50</v>
      </c>
      <c r="AL426">
        <v>42</v>
      </c>
      <c r="AM426">
        <v>62</v>
      </c>
      <c r="AN426">
        <v>63</v>
      </c>
      <c r="AO426">
        <v>57</v>
      </c>
      <c r="AP426">
        <v>63</v>
      </c>
      <c r="AQ426">
        <v>1778</v>
      </c>
      <c r="AR426">
        <v>0.56242969628796402</v>
      </c>
      <c r="AS426">
        <f t="shared" si="30"/>
        <v>0.16121615256061386</v>
      </c>
      <c r="AT426">
        <f t="shared" si="31"/>
        <v>1.2961778665873355E-2</v>
      </c>
      <c r="AU426">
        <f t="shared" si="32"/>
        <v>1.2961778665873356</v>
      </c>
      <c r="AV426">
        <f t="shared" si="33"/>
        <v>3</v>
      </c>
      <c r="AW426">
        <f t="shared" si="34"/>
        <v>9.3923170846247697E-2</v>
      </c>
    </row>
    <row r="427" spans="1:49" x14ac:dyDescent="0.3">
      <c r="A427" t="s">
        <v>489</v>
      </c>
      <c r="B427" t="s">
        <v>109</v>
      </c>
      <c r="C427">
        <v>4</v>
      </c>
      <c r="D427" t="s">
        <v>24</v>
      </c>
      <c r="E427">
        <v>25</v>
      </c>
      <c r="F427">
        <v>18</v>
      </c>
      <c r="G427">
        <v>17</v>
      </c>
      <c r="H427">
        <v>32</v>
      </c>
      <c r="I427">
        <v>18</v>
      </c>
      <c r="J427">
        <v>26</v>
      </c>
      <c r="K427">
        <v>33</v>
      </c>
      <c r="L427">
        <v>43</v>
      </c>
      <c r="M427">
        <v>38</v>
      </c>
      <c r="N427">
        <v>43</v>
      </c>
      <c r="O427">
        <v>58</v>
      </c>
      <c r="P427">
        <v>49</v>
      </c>
      <c r="Q427">
        <v>70</v>
      </c>
      <c r="R427">
        <v>84</v>
      </c>
      <c r="S427">
        <v>73</v>
      </c>
      <c r="T427">
        <v>72</v>
      </c>
      <c r="U427">
        <v>77</v>
      </c>
      <c r="V427">
        <v>63</v>
      </c>
      <c r="W427">
        <v>85</v>
      </c>
      <c r="X427">
        <v>17</v>
      </c>
      <c r="Y427">
        <v>20</v>
      </c>
      <c r="Z427">
        <v>23</v>
      </c>
      <c r="AA427">
        <v>27</v>
      </c>
      <c r="AB427">
        <v>17</v>
      </c>
      <c r="AC427">
        <v>17</v>
      </c>
      <c r="AD427">
        <v>19</v>
      </c>
      <c r="AE427">
        <v>32</v>
      </c>
      <c r="AF427">
        <v>36</v>
      </c>
      <c r="AG427">
        <v>37</v>
      </c>
      <c r="AH427">
        <v>38</v>
      </c>
      <c r="AI427">
        <v>36</v>
      </c>
      <c r="AJ427">
        <v>46</v>
      </c>
      <c r="AK427">
        <v>50</v>
      </c>
      <c r="AL427">
        <v>56</v>
      </c>
      <c r="AM427">
        <v>59</v>
      </c>
      <c r="AN427">
        <v>69</v>
      </c>
      <c r="AO427">
        <v>72</v>
      </c>
      <c r="AP427">
        <v>90</v>
      </c>
      <c r="AQ427">
        <v>1685</v>
      </c>
      <c r="AR427">
        <v>2.3738872403560829</v>
      </c>
      <c r="AS427">
        <f t="shared" si="30"/>
        <v>0.78455051381892038</v>
      </c>
      <c r="AT427">
        <f t="shared" si="31"/>
        <v>6.3077861311041192E-2</v>
      </c>
      <c r="AU427">
        <f t="shared" si="32"/>
        <v>6.3077861311041188</v>
      </c>
      <c r="AV427">
        <f t="shared" si="33"/>
        <v>3</v>
      </c>
      <c r="AW427">
        <f t="shared" si="34"/>
        <v>9.3923170846247697E-2</v>
      </c>
    </row>
    <row r="428" spans="1:49" x14ac:dyDescent="0.3">
      <c r="A428" t="s">
        <v>490</v>
      </c>
      <c r="B428" t="s">
        <v>36</v>
      </c>
      <c r="C428">
        <v>2</v>
      </c>
      <c r="D428" t="s">
        <v>12</v>
      </c>
      <c r="E428">
        <v>105</v>
      </c>
      <c r="F428">
        <v>102</v>
      </c>
      <c r="G428">
        <v>120</v>
      </c>
      <c r="H428">
        <v>110</v>
      </c>
      <c r="I428">
        <v>141</v>
      </c>
      <c r="J428">
        <v>158</v>
      </c>
      <c r="K428">
        <v>163</v>
      </c>
      <c r="L428">
        <v>160</v>
      </c>
      <c r="M428">
        <v>203</v>
      </c>
      <c r="N428">
        <v>233</v>
      </c>
      <c r="O428">
        <v>260</v>
      </c>
      <c r="P428">
        <v>260</v>
      </c>
      <c r="Q428">
        <v>294</v>
      </c>
      <c r="R428">
        <v>336</v>
      </c>
      <c r="S428">
        <v>356</v>
      </c>
      <c r="T428">
        <v>374</v>
      </c>
      <c r="U428">
        <v>352</v>
      </c>
      <c r="V428">
        <v>399</v>
      </c>
      <c r="W428">
        <v>383</v>
      </c>
      <c r="X428">
        <v>78</v>
      </c>
      <c r="Y428">
        <v>97</v>
      </c>
      <c r="Z428">
        <v>84</v>
      </c>
      <c r="AA428">
        <v>101</v>
      </c>
      <c r="AB428">
        <v>141</v>
      </c>
      <c r="AC428">
        <v>150</v>
      </c>
      <c r="AD428">
        <v>171</v>
      </c>
      <c r="AE428">
        <v>170</v>
      </c>
      <c r="AF428">
        <v>163</v>
      </c>
      <c r="AG428">
        <v>233</v>
      </c>
      <c r="AH428">
        <v>232</v>
      </c>
      <c r="AI428">
        <v>265</v>
      </c>
      <c r="AJ428">
        <v>290</v>
      </c>
      <c r="AK428">
        <v>294</v>
      </c>
      <c r="AL428">
        <v>335</v>
      </c>
      <c r="AM428">
        <v>348</v>
      </c>
      <c r="AN428">
        <v>373</v>
      </c>
      <c r="AO428">
        <v>360</v>
      </c>
      <c r="AP428">
        <v>396</v>
      </c>
      <c r="AQ428">
        <v>8790</v>
      </c>
      <c r="AR428">
        <v>0.2275312855517633</v>
      </c>
      <c r="AS428">
        <f t="shared" si="30"/>
        <v>4.5975424106189988E-2</v>
      </c>
      <c r="AT428">
        <f t="shared" si="31"/>
        <v>3.6964240981376749E-3</v>
      </c>
      <c r="AU428">
        <f t="shared" si="32"/>
        <v>0.3696424098137675</v>
      </c>
      <c r="AV428">
        <f t="shared" si="33"/>
        <v>3</v>
      </c>
      <c r="AW428">
        <f t="shared" si="34"/>
        <v>9.3923170846247697E-2</v>
      </c>
    </row>
    <row r="429" spans="1:49" x14ac:dyDescent="0.3">
      <c r="A429" t="s">
        <v>491</v>
      </c>
      <c r="B429" t="s">
        <v>109</v>
      </c>
      <c r="C429">
        <v>6</v>
      </c>
      <c r="D429" t="s">
        <v>24</v>
      </c>
      <c r="E429">
        <v>190</v>
      </c>
      <c r="F429">
        <v>233</v>
      </c>
      <c r="G429">
        <v>186</v>
      </c>
      <c r="H429">
        <v>207</v>
      </c>
      <c r="I429">
        <v>223</v>
      </c>
      <c r="J429">
        <v>290</v>
      </c>
      <c r="K429">
        <v>276</v>
      </c>
      <c r="L429">
        <v>329</v>
      </c>
      <c r="M429">
        <v>393</v>
      </c>
      <c r="N429">
        <v>397</v>
      </c>
      <c r="O429">
        <v>469</v>
      </c>
      <c r="P429">
        <v>463</v>
      </c>
      <c r="Q429">
        <v>539</v>
      </c>
      <c r="R429">
        <v>594</v>
      </c>
      <c r="S429">
        <v>539</v>
      </c>
      <c r="T429">
        <v>605</v>
      </c>
      <c r="U429">
        <v>608</v>
      </c>
      <c r="V429">
        <v>608</v>
      </c>
      <c r="W429">
        <v>636</v>
      </c>
      <c r="X429">
        <v>185</v>
      </c>
      <c r="Y429">
        <v>188</v>
      </c>
      <c r="Z429">
        <v>175</v>
      </c>
      <c r="AA429">
        <v>196</v>
      </c>
      <c r="AB429">
        <v>221</v>
      </c>
      <c r="AC429">
        <v>240</v>
      </c>
      <c r="AD429">
        <v>292</v>
      </c>
      <c r="AE429">
        <v>293</v>
      </c>
      <c r="AF429">
        <v>332</v>
      </c>
      <c r="AG429">
        <v>380</v>
      </c>
      <c r="AH429">
        <v>420</v>
      </c>
      <c r="AI429">
        <v>455</v>
      </c>
      <c r="AJ429">
        <v>492</v>
      </c>
      <c r="AK429">
        <v>577</v>
      </c>
      <c r="AL429">
        <v>571</v>
      </c>
      <c r="AM429">
        <v>531</v>
      </c>
      <c r="AN429">
        <v>559</v>
      </c>
      <c r="AO429">
        <v>610</v>
      </c>
      <c r="AP429">
        <v>576</v>
      </c>
      <c r="AQ429">
        <v>15078</v>
      </c>
      <c r="AR429">
        <v>0.39793076004775169</v>
      </c>
      <c r="AS429">
        <f t="shared" si="30"/>
        <v>0.10461099519176539</v>
      </c>
      <c r="AT429">
        <f t="shared" si="31"/>
        <v>8.4107240134179383E-3</v>
      </c>
      <c r="AU429">
        <f t="shared" si="32"/>
        <v>0.84107240134179384</v>
      </c>
      <c r="AV429">
        <f t="shared" si="33"/>
        <v>3</v>
      </c>
      <c r="AW429">
        <f t="shared" si="34"/>
        <v>9.3923170846247697E-2</v>
      </c>
    </row>
    <row r="430" spans="1:49" x14ac:dyDescent="0.3">
      <c r="A430" t="s">
        <v>492</v>
      </c>
      <c r="B430" t="s">
        <v>167</v>
      </c>
      <c r="C430">
        <v>2</v>
      </c>
      <c r="D430" t="s">
        <v>12</v>
      </c>
      <c r="E430">
        <v>57</v>
      </c>
      <c r="F430">
        <v>37</v>
      </c>
      <c r="G430">
        <v>42</v>
      </c>
      <c r="H430">
        <v>44</v>
      </c>
      <c r="I430">
        <v>54</v>
      </c>
      <c r="J430">
        <v>49</v>
      </c>
      <c r="K430">
        <v>56</v>
      </c>
      <c r="L430">
        <v>58</v>
      </c>
      <c r="M430">
        <v>75</v>
      </c>
      <c r="N430">
        <v>78</v>
      </c>
      <c r="O430">
        <v>90</v>
      </c>
      <c r="P430">
        <v>89</v>
      </c>
      <c r="Q430">
        <v>69</v>
      </c>
      <c r="R430">
        <v>100</v>
      </c>
      <c r="S430">
        <v>97</v>
      </c>
      <c r="T430">
        <v>115</v>
      </c>
      <c r="U430">
        <v>101</v>
      </c>
      <c r="V430">
        <v>93</v>
      </c>
      <c r="W430">
        <v>96</v>
      </c>
      <c r="X430">
        <v>43</v>
      </c>
      <c r="Y430">
        <v>40</v>
      </c>
      <c r="Z430">
        <v>35</v>
      </c>
      <c r="AA430">
        <v>48</v>
      </c>
      <c r="AB430">
        <v>51</v>
      </c>
      <c r="AC430">
        <v>48</v>
      </c>
      <c r="AD430">
        <v>45</v>
      </c>
      <c r="AE430">
        <v>60</v>
      </c>
      <c r="AF430">
        <v>69</v>
      </c>
      <c r="AG430">
        <v>76</v>
      </c>
      <c r="AH430">
        <v>82</v>
      </c>
      <c r="AI430">
        <v>78</v>
      </c>
      <c r="AJ430">
        <v>70</v>
      </c>
      <c r="AK430">
        <v>88</v>
      </c>
      <c r="AL430">
        <v>86</v>
      </c>
      <c r="AM430">
        <v>96</v>
      </c>
      <c r="AN430">
        <v>90</v>
      </c>
      <c r="AO430">
        <v>82</v>
      </c>
      <c r="AP430">
        <v>127</v>
      </c>
      <c r="AQ430">
        <v>2714</v>
      </c>
      <c r="AR430">
        <v>0.73691967575534267</v>
      </c>
      <c r="AS430">
        <f t="shared" si="30"/>
        <v>0.22125929309870832</v>
      </c>
      <c r="AT430">
        <f t="shared" si="31"/>
        <v>1.7789247165136149E-2</v>
      </c>
      <c r="AU430">
        <f t="shared" si="32"/>
        <v>1.7789247165136148</v>
      </c>
      <c r="AV430">
        <f t="shared" si="33"/>
        <v>3</v>
      </c>
      <c r="AW430">
        <f t="shared" si="34"/>
        <v>9.3923170846247697E-2</v>
      </c>
    </row>
    <row r="431" spans="1:49" x14ac:dyDescent="0.3">
      <c r="A431" t="s">
        <v>493</v>
      </c>
      <c r="B431" t="s">
        <v>167</v>
      </c>
      <c r="C431">
        <v>1</v>
      </c>
      <c r="D431" t="s">
        <v>12</v>
      </c>
      <c r="E431">
        <v>19</v>
      </c>
      <c r="F431">
        <v>8</v>
      </c>
      <c r="G431">
        <v>13</v>
      </c>
      <c r="H431">
        <v>19</v>
      </c>
      <c r="I431">
        <v>15</v>
      </c>
      <c r="J431">
        <v>15</v>
      </c>
      <c r="K431">
        <v>23</v>
      </c>
      <c r="L431">
        <v>20</v>
      </c>
      <c r="M431">
        <v>24</v>
      </c>
      <c r="N431">
        <v>38</v>
      </c>
      <c r="O431">
        <v>49</v>
      </c>
      <c r="P431">
        <v>31</v>
      </c>
      <c r="Q431">
        <v>39</v>
      </c>
      <c r="R431">
        <v>36</v>
      </c>
      <c r="S431">
        <v>41</v>
      </c>
      <c r="T431">
        <v>65</v>
      </c>
      <c r="U431">
        <v>44</v>
      </c>
      <c r="V431">
        <v>52</v>
      </c>
      <c r="W431">
        <v>52</v>
      </c>
      <c r="X431">
        <v>24</v>
      </c>
      <c r="Y431">
        <v>14</v>
      </c>
      <c r="Z431">
        <v>13</v>
      </c>
      <c r="AA431">
        <v>14</v>
      </c>
      <c r="AB431">
        <v>19</v>
      </c>
      <c r="AC431">
        <v>10</v>
      </c>
      <c r="AD431">
        <v>21</v>
      </c>
      <c r="AE431">
        <v>17</v>
      </c>
      <c r="AF431">
        <v>27</v>
      </c>
      <c r="AG431">
        <v>33</v>
      </c>
      <c r="AH431">
        <v>38</v>
      </c>
      <c r="AI431">
        <v>31</v>
      </c>
      <c r="AJ431">
        <v>37</v>
      </c>
      <c r="AK431">
        <v>39</v>
      </c>
      <c r="AL431">
        <v>33</v>
      </c>
      <c r="AM431">
        <v>55</v>
      </c>
      <c r="AN431">
        <v>40</v>
      </c>
      <c r="AO431">
        <v>52</v>
      </c>
      <c r="AP431">
        <v>46</v>
      </c>
      <c r="AQ431">
        <v>1166</v>
      </c>
      <c r="AR431">
        <v>0.85763293310463118</v>
      </c>
      <c r="AS431">
        <f t="shared" si="30"/>
        <v>0.26279751264551915</v>
      </c>
      <c r="AT431">
        <f t="shared" si="31"/>
        <v>2.1128920016699738E-2</v>
      </c>
      <c r="AU431">
        <f t="shared" si="32"/>
        <v>2.1128920016699739</v>
      </c>
      <c r="AV431">
        <f t="shared" si="33"/>
        <v>3</v>
      </c>
      <c r="AW431">
        <f t="shared" si="34"/>
        <v>9.3923170846247697E-2</v>
      </c>
    </row>
    <row r="432" spans="1:49" x14ac:dyDescent="0.3">
      <c r="A432" t="s">
        <v>494</v>
      </c>
      <c r="B432" t="s">
        <v>167</v>
      </c>
      <c r="C432">
        <v>1</v>
      </c>
      <c r="D432" t="s">
        <v>12</v>
      </c>
      <c r="E432">
        <v>68</v>
      </c>
      <c r="F432">
        <v>56</v>
      </c>
      <c r="G432">
        <v>53</v>
      </c>
      <c r="H432">
        <v>49</v>
      </c>
      <c r="I432">
        <v>75</v>
      </c>
      <c r="J432">
        <v>59</v>
      </c>
      <c r="K432">
        <v>70</v>
      </c>
      <c r="L432">
        <v>71</v>
      </c>
      <c r="M432">
        <v>79</v>
      </c>
      <c r="N432">
        <v>88</v>
      </c>
      <c r="O432">
        <v>84</v>
      </c>
      <c r="P432">
        <v>113</v>
      </c>
      <c r="Q432">
        <v>89</v>
      </c>
      <c r="R432">
        <v>106</v>
      </c>
      <c r="S432">
        <v>106</v>
      </c>
      <c r="T432">
        <v>104</v>
      </c>
      <c r="U432">
        <v>117</v>
      </c>
      <c r="V432">
        <v>121</v>
      </c>
      <c r="W432">
        <v>149</v>
      </c>
      <c r="X432">
        <v>56</v>
      </c>
      <c r="Y432">
        <v>55</v>
      </c>
      <c r="Z432">
        <v>57</v>
      </c>
      <c r="AA432">
        <v>56</v>
      </c>
      <c r="AB432">
        <v>58</v>
      </c>
      <c r="AC432">
        <v>51</v>
      </c>
      <c r="AD432">
        <v>44</v>
      </c>
      <c r="AE432">
        <v>73</v>
      </c>
      <c r="AF432">
        <v>61</v>
      </c>
      <c r="AG432">
        <v>84</v>
      </c>
      <c r="AH432">
        <v>110</v>
      </c>
      <c r="AI432">
        <v>93</v>
      </c>
      <c r="AJ432">
        <v>82</v>
      </c>
      <c r="AK432">
        <v>107</v>
      </c>
      <c r="AL432">
        <v>97</v>
      </c>
      <c r="AM432">
        <v>109</v>
      </c>
      <c r="AN432">
        <v>93</v>
      </c>
      <c r="AO432">
        <v>104</v>
      </c>
      <c r="AP432">
        <v>118</v>
      </c>
      <c r="AQ432">
        <v>3165</v>
      </c>
      <c r="AR432">
        <v>0.31595576619273291</v>
      </c>
      <c r="AS432">
        <f t="shared" si="30"/>
        <v>7.6402864892990793E-2</v>
      </c>
      <c r="AT432">
        <f t="shared" si="31"/>
        <v>6.1427903373964601E-3</v>
      </c>
      <c r="AU432">
        <f t="shared" si="32"/>
        <v>0.61427903373964599</v>
      </c>
      <c r="AV432">
        <f t="shared" si="33"/>
        <v>3</v>
      </c>
      <c r="AW432">
        <f t="shared" si="34"/>
        <v>9.3923170846247697E-2</v>
      </c>
    </row>
    <row r="433" spans="1:49" x14ac:dyDescent="0.3">
      <c r="A433" t="s">
        <v>495</v>
      </c>
      <c r="B433" t="s">
        <v>167</v>
      </c>
      <c r="C433">
        <v>1</v>
      </c>
      <c r="D433" t="s">
        <v>12</v>
      </c>
      <c r="E433">
        <v>56</v>
      </c>
      <c r="F433">
        <v>54</v>
      </c>
      <c r="G433">
        <v>37</v>
      </c>
      <c r="H433">
        <v>44</v>
      </c>
      <c r="I433">
        <v>56</v>
      </c>
      <c r="J433">
        <v>45</v>
      </c>
      <c r="K433">
        <v>43</v>
      </c>
      <c r="L433">
        <v>54</v>
      </c>
      <c r="M433">
        <v>55</v>
      </c>
      <c r="N433">
        <v>76</v>
      </c>
      <c r="O433">
        <v>65</v>
      </c>
      <c r="P433">
        <v>76</v>
      </c>
      <c r="Q433">
        <v>65</v>
      </c>
      <c r="R433">
        <v>80</v>
      </c>
      <c r="S433">
        <v>76</v>
      </c>
      <c r="T433">
        <v>66</v>
      </c>
      <c r="U433">
        <v>83</v>
      </c>
      <c r="V433">
        <v>109</v>
      </c>
      <c r="W433">
        <v>106</v>
      </c>
      <c r="X433">
        <v>53</v>
      </c>
      <c r="Y433">
        <v>44</v>
      </c>
      <c r="Z433">
        <v>41</v>
      </c>
      <c r="AA433">
        <v>36</v>
      </c>
      <c r="AB433">
        <v>46</v>
      </c>
      <c r="AC433">
        <v>43</v>
      </c>
      <c r="AD433">
        <v>60</v>
      </c>
      <c r="AE433">
        <v>43</v>
      </c>
      <c r="AF433">
        <v>58</v>
      </c>
      <c r="AG433">
        <v>53</v>
      </c>
      <c r="AH433">
        <v>65</v>
      </c>
      <c r="AI433">
        <v>61</v>
      </c>
      <c r="AJ433">
        <v>72</v>
      </c>
      <c r="AK433">
        <v>74</v>
      </c>
      <c r="AL433">
        <v>84</v>
      </c>
      <c r="AM433">
        <v>80</v>
      </c>
      <c r="AN433">
        <v>83</v>
      </c>
      <c r="AO433">
        <v>90</v>
      </c>
      <c r="AP433">
        <v>87</v>
      </c>
      <c r="AQ433">
        <v>2419</v>
      </c>
      <c r="AR433">
        <v>0.41339396444811899</v>
      </c>
      <c r="AS433">
        <f t="shared" si="30"/>
        <v>0.10993198472832563</v>
      </c>
      <c r="AT433">
        <f t="shared" si="31"/>
        <v>8.8385315721573807E-3</v>
      </c>
      <c r="AU433">
        <f t="shared" si="32"/>
        <v>0.88385315721573809</v>
      </c>
      <c r="AV433">
        <f t="shared" si="33"/>
        <v>3</v>
      </c>
      <c r="AW433">
        <f t="shared" si="34"/>
        <v>9.3923170846247697E-2</v>
      </c>
    </row>
    <row r="434" spans="1:49" x14ac:dyDescent="0.3">
      <c r="A434" t="s">
        <v>496</v>
      </c>
      <c r="B434" t="s">
        <v>214</v>
      </c>
      <c r="C434">
        <v>1</v>
      </c>
      <c r="D434" t="s">
        <v>12</v>
      </c>
      <c r="E434">
        <v>9</v>
      </c>
      <c r="F434">
        <v>4</v>
      </c>
      <c r="G434">
        <v>1</v>
      </c>
      <c r="H434">
        <v>11</v>
      </c>
      <c r="I434">
        <v>8</v>
      </c>
      <c r="J434">
        <v>6</v>
      </c>
      <c r="K434">
        <v>1</v>
      </c>
      <c r="L434">
        <v>4</v>
      </c>
      <c r="M434">
        <v>2</v>
      </c>
      <c r="N434">
        <v>3</v>
      </c>
      <c r="O434">
        <v>8</v>
      </c>
      <c r="P434">
        <v>5</v>
      </c>
      <c r="Q434">
        <v>4</v>
      </c>
      <c r="R434">
        <v>6</v>
      </c>
      <c r="S434">
        <v>9</v>
      </c>
      <c r="T434">
        <v>10</v>
      </c>
      <c r="U434">
        <v>4</v>
      </c>
      <c r="V434">
        <v>5</v>
      </c>
      <c r="W434">
        <v>10</v>
      </c>
      <c r="X434">
        <v>1</v>
      </c>
      <c r="Y434">
        <v>12</v>
      </c>
      <c r="Z434">
        <v>5</v>
      </c>
      <c r="AA434">
        <v>3</v>
      </c>
      <c r="AB434">
        <v>2</v>
      </c>
      <c r="AC434">
        <v>3</v>
      </c>
      <c r="AD434">
        <v>4</v>
      </c>
      <c r="AE434">
        <v>4</v>
      </c>
      <c r="AF434">
        <v>2</v>
      </c>
      <c r="AG434">
        <v>6</v>
      </c>
      <c r="AH434">
        <v>11</v>
      </c>
      <c r="AI434">
        <v>6</v>
      </c>
      <c r="AJ434">
        <v>4</v>
      </c>
      <c r="AK434">
        <v>6</v>
      </c>
      <c r="AL434">
        <v>7</v>
      </c>
      <c r="AM434">
        <v>5</v>
      </c>
      <c r="AN434">
        <v>11</v>
      </c>
      <c r="AO434">
        <v>10</v>
      </c>
      <c r="AP434">
        <v>6</v>
      </c>
      <c r="AQ434">
        <v>218</v>
      </c>
      <c r="AR434">
        <v>3</v>
      </c>
      <c r="AS434">
        <f t="shared" si="30"/>
        <v>1</v>
      </c>
      <c r="AT434">
        <f t="shared" si="31"/>
        <v>8.0399999999999999E-2</v>
      </c>
      <c r="AU434">
        <f t="shared" si="32"/>
        <v>8.0399999999999991</v>
      </c>
      <c r="AV434">
        <f t="shared" si="33"/>
        <v>3</v>
      </c>
      <c r="AW434">
        <f t="shared" si="34"/>
        <v>9.3923170846247697E-2</v>
      </c>
    </row>
    <row r="435" spans="1:49" x14ac:dyDescent="0.3">
      <c r="A435" t="s">
        <v>497</v>
      </c>
      <c r="B435" t="s">
        <v>214</v>
      </c>
      <c r="C435">
        <v>4</v>
      </c>
      <c r="D435" t="s">
        <v>12</v>
      </c>
      <c r="E435">
        <v>6</v>
      </c>
      <c r="F435">
        <v>11</v>
      </c>
      <c r="G435">
        <v>3</v>
      </c>
      <c r="H435">
        <v>6</v>
      </c>
      <c r="I435">
        <v>5</v>
      </c>
      <c r="J435">
        <v>10</v>
      </c>
      <c r="K435">
        <v>5</v>
      </c>
      <c r="L435">
        <v>8</v>
      </c>
      <c r="M435">
        <v>11</v>
      </c>
      <c r="N435">
        <v>7</v>
      </c>
      <c r="O435">
        <v>8</v>
      </c>
      <c r="P435">
        <v>7</v>
      </c>
      <c r="Q435">
        <v>10</v>
      </c>
      <c r="R435">
        <v>12</v>
      </c>
      <c r="S435">
        <v>16</v>
      </c>
      <c r="T435">
        <v>13</v>
      </c>
      <c r="U435">
        <v>14</v>
      </c>
      <c r="V435">
        <v>20</v>
      </c>
      <c r="W435">
        <v>18</v>
      </c>
      <c r="X435">
        <v>3</v>
      </c>
      <c r="Y435">
        <v>5</v>
      </c>
      <c r="Z435">
        <v>8</v>
      </c>
      <c r="AA435">
        <v>9</v>
      </c>
      <c r="AB435">
        <v>4</v>
      </c>
      <c r="AC435">
        <v>8</v>
      </c>
      <c r="AD435">
        <v>6</v>
      </c>
      <c r="AE435">
        <v>6</v>
      </c>
      <c r="AF435">
        <v>9</v>
      </c>
      <c r="AG435">
        <v>10</v>
      </c>
      <c r="AH435">
        <v>8</v>
      </c>
      <c r="AI435">
        <v>10</v>
      </c>
      <c r="AJ435">
        <v>9</v>
      </c>
      <c r="AK435">
        <v>6</v>
      </c>
      <c r="AL435">
        <v>14</v>
      </c>
      <c r="AM435">
        <v>15</v>
      </c>
      <c r="AN435">
        <v>17</v>
      </c>
      <c r="AO435">
        <v>12</v>
      </c>
      <c r="AP435">
        <v>18</v>
      </c>
      <c r="AQ435">
        <v>367</v>
      </c>
      <c r="AR435">
        <v>3</v>
      </c>
      <c r="AS435">
        <f t="shared" si="30"/>
        <v>1</v>
      </c>
      <c r="AT435">
        <f t="shared" si="31"/>
        <v>8.0399999999999999E-2</v>
      </c>
      <c r="AU435">
        <f t="shared" si="32"/>
        <v>8.0399999999999991</v>
      </c>
      <c r="AV435">
        <f t="shared" si="33"/>
        <v>3</v>
      </c>
      <c r="AW435">
        <f t="shared" si="34"/>
        <v>9.3923170846247697E-2</v>
      </c>
    </row>
    <row r="436" spans="1:49" x14ac:dyDescent="0.3">
      <c r="A436" t="s">
        <v>498</v>
      </c>
      <c r="B436" t="s">
        <v>214</v>
      </c>
      <c r="C436">
        <v>1</v>
      </c>
      <c r="D436" t="s">
        <v>12</v>
      </c>
      <c r="E436">
        <v>17</v>
      </c>
      <c r="F436">
        <v>13</v>
      </c>
      <c r="G436">
        <v>6</v>
      </c>
      <c r="H436">
        <v>14</v>
      </c>
      <c r="I436">
        <v>7</v>
      </c>
      <c r="J436">
        <v>10</v>
      </c>
      <c r="K436">
        <v>17</v>
      </c>
      <c r="L436">
        <v>10</v>
      </c>
      <c r="M436">
        <v>16</v>
      </c>
      <c r="N436">
        <v>18</v>
      </c>
      <c r="O436">
        <v>14</v>
      </c>
      <c r="P436">
        <v>9</v>
      </c>
      <c r="Q436">
        <v>14</v>
      </c>
      <c r="R436">
        <v>20</v>
      </c>
      <c r="S436">
        <v>11</v>
      </c>
      <c r="T436">
        <v>16</v>
      </c>
      <c r="U436">
        <v>15</v>
      </c>
      <c r="V436">
        <v>24</v>
      </c>
      <c r="W436">
        <v>25</v>
      </c>
      <c r="X436">
        <v>22</v>
      </c>
      <c r="Y436">
        <v>14</v>
      </c>
      <c r="Z436">
        <v>10</v>
      </c>
      <c r="AA436">
        <v>10</v>
      </c>
      <c r="AB436">
        <v>13</v>
      </c>
      <c r="AC436">
        <v>10</v>
      </c>
      <c r="AD436">
        <v>13</v>
      </c>
      <c r="AE436">
        <v>6</v>
      </c>
      <c r="AF436">
        <v>9</v>
      </c>
      <c r="AG436">
        <v>13</v>
      </c>
      <c r="AH436">
        <v>13</v>
      </c>
      <c r="AI436">
        <v>14</v>
      </c>
      <c r="AJ436">
        <v>18</v>
      </c>
      <c r="AK436">
        <v>14</v>
      </c>
      <c r="AL436">
        <v>14</v>
      </c>
      <c r="AM436">
        <v>17</v>
      </c>
      <c r="AN436">
        <v>21</v>
      </c>
      <c r="AO436">
        <v>26</v>
      </c>
      <c r="AP436">
        <v>27</v>
      </c>
      <c r="AQ436">
        <v>560</v>
      </c>
      <c r="AR436">
        <v>1.785714285714286</v>
      </c>
      <c r="AS436">
        <f t="shared" si="30"/>
        <v>0.58215636210852917</v>
      </c>
      <c r="AT436">
        <f t="shared" si="31"/>
        <v>4.6805371513525748E-2</v>
      </c>
      <c r="AU436">
        <f t="shared" si="32"/>
        <v>4.6805371513525751</v>
      </c>
      <c r="AV436">
        <f t="shared" si="33"/>
        <v>3</v>
      </c>
      <c r="AW436">
        <f t="shared" si="34"/>
        <v>9.3923170846247697E-2</v>
      </c>
    </row>
    <row r="437" spans="1:49" x14ac:dyDescent="0.3">
      <c r="A437" t="s">
        <v>499</v>
      </c>
      <c r="B437" t="s">
        <v>127</v>
      </c>
      <c r="C437">
        <v>1</v>
      </c>
      <c r="D437" t="s">
        <v>12</v>
      </c>
      <c r="E437">
        <v>39</v>
      </c>
      <c r="F437">
        <v>67</v>
      </c>
      <c r="G437">
        <v>39</v>
      </c>
      <c r="H437">
        <v>57</v>
      </c>
      <c r="I437">
        <v>45</v>
      </c>
      <c r="J437">
        <v>41</v>
      </c>
      <c r="K437">
        <v>41</v>
      </c>
      <c r="L437">
        <v>54</v>
      </c>
      <c r="M437">
        <v>50</v>
      </c>
      <c r="N437">
        <v>54</v>
      </c>
      <c r="O437">
        <v>46</v>
      </c>
      <c r="P437">
        <v>57</v>
      </c>
      <c r="Q437">
        <v>43</v>
      </c>
      <c r="R437">
        <v>44</v>
      </c>
      <c r="S437">
        <v>44</v>
      </c>
      <c r="T437">
        <v>55</v>
      </c>
      <c r="U437">
        <v>69</v>
      </c>
      <c r="V437">
        <v>76</v>
      </c>
      <c r="W437">
        <v>63</v>
      </c>
      <c r="X437">
        <v>50</v>
      </c>
      <c r="Y437">
        <v>51</v>
      </c>
      <c r="Z437">
        <v>42</v>
      </c>
      <c r="AA437">
        <v>41</v>
      </c>
      <c r="AB437">
        <v>47</v>
      </c>
      <c r="AC437">
        <v>47</v>
      </c>
      <c r="AD437">
        <v>39</v>
      </c>
      <c r="AE437">
        <v>51</v>
      </c>
      <c r="AF437">
        <v>49</v>
      </c>
      <c r="AG437">
        <v>51</v>
      </c>
      <c r="AH437">
        <v>48</v>
      </c>
      <c r="AI437">
        <v>58</v>
      </c>
      <c r="AJ437">
        <v>54</v>
      </c>
      <c r="AK437">
        <v>47</v>
      </c>
      <c r="AL437">
        <v>62</v>
      </c>
      <c r="AM437">
        <v>61</v>
      </c>
      <c r="AN437">
        <v>62</v>
      </c>
      <c r="AO437">
        <v>71</v>
      </c>
      <c r="AP437">
        <v>54</v>
      </c>
      <c r="AQ437">
        <v>1969</v>
      </c>
      <c r="AR437">
        <v>0.50787201625190448</v>
      </c>
      <c r="AS437">
        <f t="shared" si="30"/>
        <v>0.14244249885375482</v>
      </c>
      <c r="AT437">
        <f t="shared" si="31"/>
        <v>1.1452376907841887E-2</v>
      </c>
      <c r="AU437">
        <f t="shared" si="32"/>
        <v>1.1452376907841888</v>
      </c>
      <c r="AV437">
        <f t="shared" si="33"/>
        <v>3</v>
      </c>
      <c r="AW437">
        <f t="shared" si="34"/>
        <v>9.3923170846247697E-2</v>
      </c>
    </row>
    <row r="438" spans="1:49" x14ac:dyDescent="0.3">
      <c r="A438" t="s">
        <v>500</v>
      </c>
      <c r="B438" t="s">
        <v>39</v>
      </c>
      <c r="C438">
        <v>2</v>
      </c>
      <c r="D438" t="s">
        <v>12</v>
      </c>
      <c r="E438">
        <v>50</v>
      </c>
      <c r="F438">
        <v>35</v>
      </c>
      <c r="G438">
        <v>36</v>
      </c>
      <c r="H438">
        <v>44</v>
      </c>
      <c r="I438">
        <v>44</v>
      </c>
      <c r="J438">
        <v>39</v>
      </c>
      <c r="K438">
        <v>41</v>
      </c>
      <c r="L438">
        <v>34</v>
      </c>
      <c r="M438">
        <v>33</v>
      </c>
      <c r="N438">
        <v>54</v>
      </c>
      <c r="O438">
        <v>62</v>
      </c>
      <c r="P438">
        <v>66</v>
      </c>
      <c r="Q438">
        <v>66</v>
      </c>
      <c r="R438">
        <v>70</v>
      </c>
      <c r="S438">
        <v>72</v>
      </c>
      <c r="T438">
        <v>82</v>
      </c>
      <c r="U438">
        <v>74</v>
      </c>
      <c r="V438">
        <v>66</v>
      </c>
      <c r="W438">
        <v>75</v>
      </c>
      <c r="X438">
        <v>60</v>
      </c>
      <c r="Y438">
        <v>39</v>
      </c>
      <c r="Z438">
        <v>35</v>
      </c>
      <c r="AA438">
        <v>53</v>
      </c>
      <c r="AB438">
        <v>46</v>
      </c>
      <c r="AC438">
        <v>42</v>
      </c>
      <c r="AD438">
        <v>32</v>
      </c>
      <c r="AE438">
        <v>38</v>
      </c>
      <c r="AF438">
        <v>50</v>
      </c>
      <c r="AG438">
        <v>57</v>
      </c>
      <c r="AH438">
        <v>55</v>
      </c>
      <c r="AI438">
        <v>71</v>
      </c>
      <c r="AJ438">
        <v>70</v>
      </c>
      <c r="AK438">
        <v>65</v>
      </c>
      <c r="AL438">
        <v>73</v>
      </c>
      <c r="AM438">
        <v>72</v>
      </c>
      <c r="AN438">
        <v>60</v>
      </c>
      <c r="AO438">
        <v>55</v>
      </c>
      <c r="AP438">
        <v>86</v>
      </c>
      <c r="AQ438">
        <v>2102</v>
      </c>
      <c r="AR438">
        <v>0.95147478591817325</v>
      </c>
      <c r="AS438">
        <f t="shared" si="30"/>
        <v>0.29508910654700204</v>
      </c>
      <c r="AT438">
        <f t="shared" si="31"/>
        <v>2.3725164166378963E-2</v>
      </c>
      <c r="AU438">
        <f t="shared" si="32"/>
        <v>2.3725164166378963</v>
      </c>
      <c r="AV438">
        <f t="shared" si="33"/>
        <v>3</v>
      </c>
      <c r="AW438">
        <f t="shared" si="34"/>
        <v>9.3923170846247697E-2</v>
      </c>
    </row>
    <row r="439" spans="1:49" x14ac:dyDescent="0.3">
      <c r="A439" t="s">
        <v>501</v>
      </c>
      <c r="B439" t="s">
        <v>39</v>
      </c>
      <c r="C439">
        <v>3</v>
      </c>
      <c r="D439" t="s">
        <v>12</v>
      </c>
      <c r="E439">
        <v>99</v>
      </c>
      <c r="F439">
        <v>78</v>
      </c>
      <c r="G439">
        <v>68</v>
      </c>
      <c r="H439">
        <v>75</v>
      </c>
      <c r="I439">
        <v>81</v>
      </c>
      <c r="J439">
        <v>51</v>
      </c>
      <c r="K439">
        <v>61</v>
      </c>
      <c r="L439">
        <v>74</v>
      </c>
      <c r="M439">
        <v>81</v>
      </c>
      <c r="N439">
        <v>96</v>
      </c>
      <c r="O439">
        <v>76</v>
      </c>
      <c r="P439">
        <v>60</v>
      </c>
      <c r="Q439">
        <v>72</v>
      </c>
      <c r="R439">
        <v>84</v>
      </c>
      <c r="S439">
        <v>93</v>
      </c>
      <c r="T439">
        <v>78</v>
      </c>
      <c r="U439">
        <v>95</v>
      </c>
      <c r="V439">
        <v>89</v>
      </c>
      <c r="W439">
        <v>108</v>
      </c>
      <c r="X439">
        <v>105</v>
      </c>
      <c r="Y439">
        <v>88</v>
      </c>
      <c r="Z439">
        <v>88</v>
      </c>
      <c r="AA439">
        <v>74</v>
      </c>
      <c r="AB439">
        <v>55</v>
      </c>
      <c r="AC439">
        <v>70</v>
      </c>
      <c r="AD439">
        <v>47</v>
      </c>
      <c r="AE439">
        <v>71</v>
      </c>
      <c r="AF439">
        <v>67</v>
      </c>
      <c r="AG439">
        <v>68</v>
      </c>
      <c r="AH439">
        <v>75</v>
      </c>
      <c r="AI439">
        <v>70</v>
      </c>
      <c r="AJ439">
        <v>63</v>
      </c>
      <c r="AK439">
        <v>82</v>
      </c>
      <c r="AL439">
        <v>83</v>
      </c>
      <c r="AM439">
        <v>95</v>
      </c>
      <c r="AN439">
        <v>90</v>
      </c>
      <c r="AO439">
        <v>77</v>
      </c>
      <c r="AP439">
        <v>87</v>
      </c>
      <c r="AQ439">
        <v>2974</v>
      </c>
      <c r="AR439">
        <v>1.0087424344317419</v>
      </c>
      <c r="AS439">
        <f t="shared" si="30"/>
        <v>0.31479527809038998</v>
      </c>
      <c r="AT439">
        <f t="shared" si="31"/>
        <v>2.5309540358467355E-2</v>
      </c>
      <c r="AU439">
        <f t="shared" si="32"/>
        <v>2.5309540358467353</v>
      </c>
      <c r="AV439">
        <f t="shared" si="33"/>
        <v>3</v>
      </c>
      <c r="AW439">
        <f t="shared" si="34"/>
        <v>9.3923170846247697E-2</v>
      </c>
    </row>
    <row r="440" spans="1:49" x14ac:dyDescent="0.3">
      <c r="A440" t="s">
        <v>502</v>
      </c>
      <c r="B440" t="s">
        <v>39</v>
      </c>
      <c r="C440">
        <v>1</v>
      </c>
      <c r="D440" t="s">
        <v>12</v>
      </c>
      <c r="E440">
        <v>72</v>
      </c>
      <c r="F440">
        <v>61</v>
      </c>
      <c r="G440">
        <v>51</v>
      </c>
      <c r="H440">
        <v>58</v>
      </c>
      <c r="I440">
        <v>44</v>
      </c>
      <c r="J440">
        <v>34</v>
      </c>
      <c r="K440">
        <v>42</v>
      </c>
      <c r="L440">
        <v>31</v>
      </c>
      <c r="M440">
        <v>50</v>
      </c>
      <c r="N440">
        <v>56</v>
      </c>
      <c r="O440">
        <v>58</v>
      </c>
      <c r="P440">
        <v>54</v>
      </c>
      <c r="Q440">
        <v>48</v>
      </c>
      <c r="R440">
        <v>43</v>
      </c>
      <c r="S440">
        <v>49</v>
      </c>
      <c r="T440">
        <v>55</v>
      </c>
      <c r="U440">
        <v>53</v>
      </c>
      <c r="V440">
        <v>59</v>
      </c>
      <c r="W440">
        <v>68</v>
      </c>
      <c r="X440">
        <v>82</v>
      </c>
      <c r="Y440">
        <v>63</v>
      </c>
      <c r="Z440">
        <v>42</v>
      </c>
      <c r="AA440">
        <v>52</v>
      </c>
      <c r="AB440">
        <v>48</v>
      </c>
      <c r="AC440">
        <v>37</v>
      </c>
      <c r="AD440">
        <v>24</v>
      </c>
      <c r="AE440">
        <v>42</v>
      </c>
      <c r="AF440">
        <v>35</v>
      </c>
      <c r="AG440">
        <v>46</v>
      </c>
      <c r="AH440">
        <v>48</v>
      </c>
      <c r="AI440">
        <v>50</v>
      </c>
      <c r="AJ440">
        <v>48</v>
      </c>
      <c r="AK440">
        <v>61</v>
      </c>
      <c r="AL440">
        <v>47</v>
      </c>
      <c r="AM440">
        <v>62</v>
      </c>
      <c r="AN440">
        <v>61</v>
      </c>
      <c r="AO440">
        <v>55</v>
      </c>
      <c r="AP440">
        <v>59</v>
      </c>
      <c r="AQ440">
        <v>1948</v>
      </c>
      <c r="AR440">
        <v>0.51334702258726905</v>
      </c>
      <c r="AS440">
        <f t="shared" si="30"/>
        <v>0.14432648425993516</v>
      </c>
      <c r="AT440">
        <f t="shared" si="31"/>
        <v>1.1603849334498787E-2</v>
      </c>
      <c r="AU440">
        <f t="shared" si="32"/>
        <v>1.1603849334498788</v>
      </c>
      <c r="AV440">
        <f t="shared" si="33"/>
        <v>3</v>
      </c>
      <c r="AW440">
        <f t="shared" si="34"/>
        <v>9.3923170846247697E-2</v>
      </c>
    </row>
    <row r="441" spans="1:49" x14ac:dyDescent="0.3">
      <c r="A441" t="s">
        <v>503</v>
      </c>
      <c r="B441" t="s">
        <v>79</v>
      </c>
      <c r="C441">
        <v>1</v>
      </c>
      <c r="D441" t="s">
        <v>24</v>
      </c>
      <c r="E441">
        <v>97</v>
      </c>
      <c r="F441">
        <v>90</v>
      </c>
      <c r="G441">
        <v>81</v>
      </c>
      <c r="H441">
        <v>79</v>
      </c>
      <c r="I441">
        <v>90</v>
      </c>
      <c r="J441">
        <v>75</v>
      </c>
      <c r="K441">
        <v>74</v>
      </c>
      <c r="L441">
        <v>84</v>
      </c>
      <c r="M441">
        <v>82</v>
      </c>
      <c r="N441">
        <v>64</v>
      </c>
      <c r="O441">
        <v>75</v>
      </c>
      <c r="P441">
        <v>90</v>
      </c>
      <c r="Q441">
        <v>71</v>
      </c>
      <c r="R441">
        <v>86</v>
      </c>
      <c r="S441">
        <v>72</v>
      </c>
      <c r="T441">
        <v>72</v>
      </c>
      <c r="U441">
        <v>74</v>
      </c>
      <c r="V441">
        <v>67</v>
      </c>
      <c r="W441">
        <v>74</v>
      </c>
      <c r="X441">
        <v>89</v>
      </c>
      <c r="Y441">
        <v>83</v>
      </c>
      <c r="Z441">
        <v>70</v>
      </c>
      <c r="AA441">
        <v>68</v>
      </c>
      <c r="AB441">
        <v>83</v>
      </c>
      <c r="AC441">
        <v>66</v>
      </c>
      <c r="AD441">
        <v>85</v>
      </c>
      <c r="AE441">
        <v>87</v>
      </c>
      <c r="AF441">
        <v>74</v>
      </c>
      <c r="AG441">
        <v>101</v>
      </c>
      <c r="AH441">
        <v>90</v>
      </c>
      <c r="AI441">
        <v>82</v>
      </c>
      <c r="AJ441">
        <v>55</v>
      </c>
      <c r="AK441">
        <v>67</v>
      </c>
      <c r="AL441">
        <v>68</v>
      </c>
      <c r="AM441">
        <v>77</v>
      </c>
      <c r="AN441">
        <v>66</v>
      </c>
      <c r="AO441">
        <v>50</v>
      </c>
      <c r="AP441">
        <v>69</v>
      </c>
      <c r="AQ441">
        <v>2927</v>
      </c>
      <c r="AR441">
        <v>0.34164673727365902</v>
      </c>
      <c r="AS441">
        <f t="shared" si="30"/>
        <v>8.5243295683806217E-2</v>
      </c>
      <c r="AT441">
        <f t="shared" si="31"/>
        <v>6.8535609729780201E-3</v>
      </c>
      <c r="AU441">
        <f t="shared" si="32"/>
        <v>0.685356097297802</v>
      </c>
      <c r="AV441">
        <f t="shared" si="33"/>
        <v>3</v>
      </c>
      <c r="AW441">
        <f t="shared" si="34"/>
        <v>9.3923170846247697E-2</v>
      </c>
    </row>
    <row r="442" spans="1:49" x14ac:dyDescent="0.3">
      <c r="A442" t="s">
        <v>504</v>
      </c>
      <c r="B442" t="s">
        <v>79</v>
      </c>
      <c r="C442">
        <v>1</v>
      </c>
      <c r="D442" t="s">
        <v>24</v>
      </c>
      <c r="E442">
        <v>55</v>
      </c>
      <c r="F442">
        <v>29</v>
      </c>
      <c r="G442">
        <v>28</v>
      </c>
      <c r="H442">
        <v>24</v>
      </c>
      <c r="I442">
        <v>32</v>
      </c>
      <c r="J442">
        <v>23</v>
      </c>
      <c r="K442">
        <v>23</v>
      </c>
      <c r="L442">
        <v>34</v>
      </c>
      <c r="M442">
        <v>29</v>
      </c>
      <c r="N442">
        <v>38</v>
      </c>
      <c r="O442">
        <v>49</v>
      </c>
      <c r="P442">
        <v>38</v>
      </c>
      <c r="Q442">
        <v>34</v>
      </c>
      <c r="R442">
        <v>41</v>
      </c>
      <c r="S442">
        <v>33</v>
      </c>
      <c r="T442">
        <v>48</v>
      </c>
      <c r="U442">
        <v>42</v>
      </c>
      <c r="V442">
        <v>25</v>
      </c>
      <c r="W442">
        <v>47</v>
      </c>
      <c r="X442">
        <v>46</v>
      </c>
      <c r="Y442">
        <v>30</v>
      </c>
      <c r="Z442">
        <v>27</v>
      </c>
      <c r="AA442">
        <v>23</v>
      </c>
      <c r="AB442">
        <v>30</v>
      </c>
      <c r="AC442">
        <v>19</v>
      </c>
      <c r="AD442">
        <v>18</v>
      </c>
      <c r="AE442">
        <v>34</v>
      </c>
      <c r="AF442">
        <v>34</v>
      </c>
      <c r="AG442">
        <v>35</v>
      </c>
      <c r="AH442">
        <v>34</v>
      </c>
      <c r="AI442">
        <v>35</v>
      </c>
      <c r="AJ442">
        <v>27</v>
      </c>
      <c r="AK442">
        <v>47</v>
      </c>
      <c r="AL442">
        <v>34</v>
      </c>
      <c r="AM442">
        <v>32</v>
      </c>
      <c r="AN442">
        <v>38</v>
      </c>
      <c r="AO442">
        <v>38</v>
      </c>
      <c r="AP442">
        <v>45</v>
      </c>
      <c r="AQ442">
        <v>1298</v>
      </c>
      <c r="AR442">
        <v>0.77041602465331283</v>
      </c>
      <c r="AS442">
        <f t="shared" si="30"/>
        <v>0.23278560532897521</v>
      </c>
      <c r="AT442">
        <f t="shared" si="31"/>
        <v>1.8715962668449607E-2</v>
      </c>
      <c r="AU442">
        <f t="shared" si="32"/>
        <v>1.8715962668449608</v>
      </c>
      <c r="AV442">
        <f t="shared" si="33"/>
        <v>3</v>
      </c>
      <c r="AW442">
        <f t="shared" si="34"/>
        <v>9.3923170846247697E-2</v>
      </c>
    </row>
    <row r="443" spans="1:49" x14ac:dyDescent="0.3">
      <c r="A443" t="s">
        <v>505</v>
      </c>
      <c r="B443" t="s">
        <v>145</v>
      </c>
      <c r="C443">
        <v>1</v>
      </c>
      <c r="D443" t="s">
        <v>12</v>
      </c>
      <c r="E443">
        <v>20</v>
      </c>
      <c r="F443">
        <v>25</v>
      </c>
      <c r="G443">
        <v>28</v>
      </c>
      <c r="H443">
        <v>20</v>
      </c>
      <c r="I443">
        <v>27</v>
      </c>
      <c r="J443">
        <v>19</v>
      </c>
      <c r="K443">
        <v>13</v>
      </c>
      <c r="L443">
        <v>32</v>
      </c>
      <c r="M443">
        <v>25</v>
      </c>
      <c r="N443">
        <v>33</v>
      </c>
      <c r="O443">
        <v>42</v>
      </c>
      <c r="P443">
        <v>40</v>
      </c>
      <c r="Q443">
        <v>36</v>
      </c>
      <c r="R443">
        <v>36</v>
      </c>
      <c r="S443">
        <v>50</v>
      </c>
      <c r="T443">
        <v>38</v>
      </c>
      <c r="U443">
        <v>47</v>
      </c>
      <c r="V443">
        <v>35</v>
      </c>
      <c r="W443">
        <v>55</v>
      </c>
      <c r="X443">
        <v>23</v>
      </c>
      <c r="Y443">
        <v>15</v>
      </c>
      <c r="Z443">
        <v>22</v>
      </c>
      <c r="AA443">
        <v>25</v>
      </c>
      <c r="AB443">
        <v>17</v>
      </c>
      <c r="AC443">
        <v>30</v>
      </c>
      <c r="AD443">
        <v>23</v>
      </c>
      <c r="AE443">
        <v>29</v>
      </c>
      <c r="AF443">
        <v>28</v>
      </c>
      <c r="AG443">
        <v>30</v>
      </c>
      <c r="AH443">
        <v>34</v>
      </c>
      <c r="AI443">
        <v>29</v>
      </c>
      <c r="AJ443">
        <v>29</v>
      </c>
      <c r="AK443">
        <v>50</v>
      </c>
      <c r="AL443">
        <v>36</v>
      </c>
      <c r="AM443">
        <v>39</v>
      </c>
      <c r="AN443">
        <v>45</v>
      </c>
      <c r="AO443">
        <v>34</v>
      </c>
      <c r="AP443">
        <v>48</v>
      </c>
      <c r="AQ443">
        <v>1207</v>
      </c>
      <c r="AR443">
        <v>0.82850041425020704</v>
      </c>
      <c r="AS443">
        <f t="shared" si="30"/>
        <v>0.25277282280863433</v>
      </c>
      <c r="AT443">
        <f t="shared" si="31"/>
        <v>2.0322934953814199E-2</v>
      </c>
      <c r="AU443">
        <f t="shared" si="32"/>
        <v>2.03229349538142</v>
      </c>
      <c r="AV443">
        <f t="shared" si="33"/>
        <v>3</v>
      </c>
      <c r="AW443">
        <f t="shared" si="34"/>
        <v>9.3923170846247697E-2</v>
      </c>
    </row>
    <row r="444" spans="1:49" x14ac:dyDescent="0.3">
      <c r="A444" t="s">
        <v>506</v>
      </c>
      <c r="B444" t="s">
        <v>124</v>
      </c>
      <c r="C444">
        <v>1</v>
      </c>
      <c r="D444" t="s">
        <v>12</v>
      </c>
      <c r="E444">
        <v>51</v>
      </c>
      <c r="F444">
        <v>49</v>
      </c>
      <c r="G444">
        <v>50</v>
      </c>
      <c r="H444">
        <v>36</v>
      </c>
      <c r="I444">
        <v>43</v>
      </c>
      <c r="J444">
        <v>37</v>
      </c>
      <c r="K444">
        <v>38</v>
      </c>
      <c r="L444">
        <v>48</v>
      </c>
      <c r="M444">
        <v>49</v>
      </c>
      <c r="N444">
        <v>50</v>
      </c>
      <c r="O444">
        <v>57</v>
      </c>
      <c r="P444">
        <v>39</v>
      </c>
      <c r="Q444">
        <v>42</v>
      </c>
      <c r="R444">
        <v>54</v>
      </c>
      <c r="S444">
        <v>58</v>
      </c>
      <c r="T444">
        <v>56</v>
      </c>
      <c r="U444">
        <v>68</v>
      </c>
      <c r="V444">
        <v>56</v>
      </c>
      <c r="W444">
        <v>115</v>
      </c>
      <c r="X444">
        <v>44</v>
      </c>
      <c r="Y444">
        <v>51</v>
      </c>
      <c r="Z444">
        <v>36</v>
      </c>
      <c r="AA444">
        <v>40</v>
      </c>
      <c r="AB444">
        <v>46</v>
      </c>
      <c r="AC444">
        <v>30</v>
      </c>
      <c r="AD444">
        <v>25</v>
      </c>
      <c r="AE444">
        <v>31</v>
      </c>
      <c r="AF444">
        <v>37</v>
      </c>
      <c r="AG444">
        <v>52</v>
      </c>
      <c r="AH444">
        <v>53</v>
      </c>
      <c r="AI444">
        <v>42</v>
      </c>
      <c r="AJ444">
        <v>56</v>
      </c>
      <c r="AK444">
        <v>60</v>
      </c>
      <c r="AL444">
        <v>65</v>
      </c>
      <c r="AM444">
        <v>62</v>
      </c>
      <c r="AN444">
        <v>70</v>
      </c>
      <c r="AO444">
        <v>65</v>
      </c>
      <c r="AP444">
        <v>130</v>
      </c>
      <c r="AQ444">
        <v>1991</v>
      </c>
      <c r="AR444">
        <v>0.50226017076845808</v>
      </c>
      <c r="AS444">
        <f t="shared" si="30"/>
        <v>0.14051142620379994</v>
      </c>
      <c r="AT444">
        <f t="shared" si="31"/>
        <v>1.1297118666785516E-2</v>
      </c>
      <c r="AU444">
        <f t="shared" si="32"/>
        <v>1.1297118666785515</v>
      </c>
      <c r="AV444">
        <f t="shared" si="33"/>
        <v>3</v>
      </c>
      <c r="AW444">
        <f t="shared" si="34"/>
        <v>9.3923170846247697E-2</v>
      </c>
    </row>
    <row r="445" spans="1:49" x14ac:dyDescent="0.3">
      <c r="A445" t="s">
        <v>507</v>
      </c>
      <c r="B445" t="s">
        <v>33</v>
      </c>
      <c r="C445">
        <v>5</v>
      </c>
      <c r="D445" t="s">
        <v>17</v>
      </c>
      <c r="E445">
        <v>96</v>
      </c>
      <c r="F445">
        <v>100</v>
      </c>
      <c r="G445">
        <v>96</v>
      </c>
      <c r="H445">
        <v>100</v>
      </c>
      <c r="I445">
        <v>88</v>
      </c>
      <c r="J445">
        <v>99</v>
      </c>
      <c r="K445">
        <v>113</v>
      </c>
      <c r="L445">
        <v>110</v>
      </c>
      <c r="M445">
        <v>118</v>
      </c>
      <c r="N445">
        <v>124</v>
      </c>
      <c r="O445">
        <v>126</v>
      </c>
      <c r="P445">
        <v>124</v>
      </c>
      <c r="Q445">
        <v>132</v>
      </c>
      <c r="R445">
        <v>130</v>
      </c>
      <c r="S445">
        <v>146</v>
      </c>
      <c r="T445">
        <v>108</v>
      </c>
      <c r="U445">
        <v>129</v>
      </c>
      <c r="V445">
        <v>136</v>
      </c>
      <c r="W445">
        <v>158</v>
      </c>
      <c r="X445">
        <v>120</v>
      </c>
      <c r="Y445">
        <v>93</v>
      </c>
      <c r="Z445">
        <v>88</v>
      </c>
      <c r="AA445">
        <v>88</v>
      </c>
      <c r="AB445">
        <v>79</v>
      </c>
      <c r="AC445">
        <v>79</v>
      </c>
      <c r="AD445">
        <v>81</v>
      </c>
      <c r="AE445">
        <v>106</v>
      </c>
      <c r="AF445">
        <v>87</v>
      </c>
      <c r="AG445">
        <v>108</v>
      </c>
      <c r="AH445">
        <v>131</v>
      </c>
      <c r="AI445">
        <v>120</v>
      </c>
      <c r="AJ445">
        <v>115</v>
      </c>
      <c r="AK445">
        <v>121</v>
      </c>
      <c r="AL445">
        <v>124</v>
      </c>
      <c r="AM445">
        <v>124</v>
      </c>
      <c r="AN445">
        <v>115</v>
      </c>
      <c r="AO445">
        <v>126</v>
      </c>
      <c r="AP445">
        <v>130</v>
      </c>
      <c r="AQ445">
        <v>4268</v>
      </c>
      <c r="AR445">
        <v>1.171508903467666</v>
      </c>
      <c r="AS445">
        <f t="shared" si="30"/>
        <v>0.37080428218933581</v>
      </c>
      <c r="AT445">
        <f t="shared" si="31"/>
        <v>2.9812664288022598E-2</v>
      </c>
      <c r="AU445">
        <f t="shared" si="32"/>
        <v>2.9812664288022597</v>
      </c>
      <c r="AV445">
        <f t="shared" si="33"/>
        <v>3</v>
      </c>
      <c r="AW445">
        <f t="shared" si="34"/>
        <v>9.3923170846247697E-2</v>
      </c>
    </row>
    <row r="446" spans="1:49" x14ac:dyDescent="0.3">
      <c r="A446" t="s">
        <v>508</v>
      </c>
      <c r="B446" t="s">
        <v>129</v>
      </c>
      <c r="C446">
        <v>1</v>
      </c>
      <c r="D446" t="s">
        <v>12</v>
      </c>
      <c r="E446">
        <v>26</v>
      </c>
      <c r="F446">
        <v>21</v>
      </c>
      <c r="G446">
        <v>22</v>
      </c>
      <c r="H446">
        <v>23</v>
      </c>
      <c r="I446">
        <v>25</v>
      </c>
      <c r="J446">
        <v>22</v>
      </c>
      <c r="K446">
        <v>17</v>
      </c>
      <c r="L446">
        <v>27</v>
      </c>
      <c r="M446">
        <v>20</v>
      </c>
      <c r="N446">
        <v>18</v>
      </c>
      <c r="O446">
        <v>27</v>
      </c>
      <c r="P446">
        <v>33</v>
      </c>
      <c r="Q446">
        <v>38</v>
      </c>
      <c r="R446">
        <v>43</v>
      </c>
      <c r="S446">
        <v>26</v>
      </c>
      <c r="T446">
        <v>46</v>
      </c>
      <c r="U446">
        <v>42</v>
      </c>
      <c r="V446">
        <v>47</v>
      </c>
      <c r="W446">
        <v>56</v>
      </c>
      <c r="X446">
        <v>25</v>
      </c>
      <c r="Y446">
        <v>15</v>
      </c>
      <c r="Z446">
        <v>24</v>
      </c>
      <c r="AA446">
        <v>18</v>
      </c>
      <c r="AB446">
        <v>19</v>
      </c>
      <c r="AC446">
        <v>12</v>
      </c>
      <c r="AD446">
        <v>17</v>
      </c>
      <c r="AE446">
        <v>25</v>
      </c>
      <c r="AF446">
        <v>21</v>
      </c>
      <c r="AG446">
        <v>27</v>
      </c>
      <c r="AH446">
        <v>26</v>
      </c>
      <c r="AI446">
        <v>32</v>
      </c>
      <c r="AJ446">
        <v>30</v>
      </c>
      <c r="AK446">
        <v>48</v>
      </c>
      <c r="AL446">
        <v>42</v>
      </c>
      <c r="AM446">
        <v>38</v>
      </c>
      <c r="AN446">
        <v>38</v>
      </c>
      <c r="AO446">
        <v>52</v>
      </c>
      <c r="AP446">
        <v>68</v>
      </c>
      <c r="AQ446">
        <v>1156</v>
      </c>
      <c r="AR446">
        <v>0.86505190311418689</v>
      </c>
      <c r="AS446">
        <f t="shared" si="30"/>
        <v>0.26535042863697839</v>
      </c>
      <c r="AT446">
        <f t="shared" si="31"/>
        <v>2.1334174462413064E-2</v>
      </c>
      <c r="AU446">
        <f t="shared" si="32"/>
        <v>2.1334174462413062</v>
      </c>
      <c r="AV446">
        <f t="shared" si="33"/>
        <v>3</v>
      </c>
      <c r="AW446">
        <f t="shared" si="34"/>
        <v>9.3923170846247697E-2</v>
      </c>
    </row>
    <row r="447" spans="1:49" x14ac:dyDescent="0.3">
      <c r="A447" t="s">
        <v>509</v>
      </c>
      <c r="B447" t="s">
        <v>298</v>
      </c>
      <c r="C447">
        <v>3</v>
      </c>
      <c r="D447" t="s">
        <v>17</v>
      </c>
      <c r="E447">
        <v>28</v>
      </c>
      <c r="F447">
        <v>18</v>
      </c>
      <c r="G447">
        <v>23</v>
      </c>
      <c r="H447">
        <v>28</v>
      </c>
      <c r="I447">
        <v>26</v>
      </c>
      <c r="J447">
        <v>23</v>
      </c>
      <c r="K447">
        <v>27</v>
      </c>
      <c r="L447">
        <v>39</v>
      </c>
      <c r="M447">
        <v>42</v>
      </c>
      <c r="N447">
        <v>50</v>
      </c>
      <c r="O447">
        <v>60</v>
      </c>
      <c r="P447">
        <v>60</v>
      </c>
      <c r="Q447">
        <v>59</v>
      </c>
      <c r="R447">
        <v>62</v>
      </c>
      <c r="S447">
        <v>72</v>
      </c>
      <c r="T447">
        <v>87</v>
      </c>
      <c r="U447">
        <v>76</v>
      </c>
      <c r="V447">
        <v>84</v>
      </c>
      <c r="W447">
        <v>90</v>
      </c>
      <c r="X447">
        <v>24</v>
      </c>
      <c r="Y447">
        <v>30</v>
      </c>
      <c r="Z447">
        <v>19</v>
      </c>
      <c r="AA447">
        <v>20</v>
      </c>
      <c r="AB447">
        <v>29</v>
      </c>
      <c r="AC447">
        <v>26</v>
      </c>
      <c r="AD447">
        <v>26</v>
      </c>
      <c r="AE447">
        <v>39</v>
      </c>
      <c r="AF447">
        <v>46</v>
      </c>
      <c r="AG447">
        <v>46</v>
      </c>
      <c r="AH447">
        <v>54</v>
      </c>
      <c r="AI447">
        <v>52</v>
      </c>
      <c r="AJ447">
        <v>64</v>
      </c>
      <c r="AK447">
        <v>55</v>
      </c>
      <c r="AL447">
        <v>51</v>
      </c>
      <c r="AM447">
        <v>76</v>
      </c>
      <c r="AN447">
        <v>53</v>
      </c>
      <c r="AO447">
        <v>70</v>
      </c>
      <c r="AP447">
        <v>86</v>
      </c>
      <c r="AQ447">
        <v>1820</v>
      </c>
      <c r="AR447">
        <v>1.648351648351648</v>
      </c>
      <c r="AS447">
        <f t="shared" si="30"/>
        <v>0.53488898225655268</v>
      </c>
      <c r="AT447">
        <f t="shared" si="31"/>
        <v>4.3005074173426833E-2</v>
      </c>
      <c r="AU447">
        <f t="shared" si="32"/>
        <v>4.3005074173426836</v>
      </c>
      <c r="AV447">
        <f t="shared" si="33"/>
        <v>3</v>
      </c>
      <c r="AW447">
        <f t="shared" si="34"/>
        <v>9.3923170846247697E-2</v>
      </c>
    </row>
    <row r="448" spans="1:49" x14ac:dyDescent="0.3">
      <c r="A448" t="s">
        <v>510</v>
      </c>
      <c r="B448" t="s">
        <v>164</v>
      </c>
      <c r="C448">
        <v>1</v>
      </c>
      <c r="D448" t="s">
        <v>24</v>
      </c>
      <c r="E448">
        <v>21</v>
      </c>
      <c r="F448">
        <v>26</v>
      </c>
      <c r="G448">
        <v>21</v>
      </c>
      <c r="H448">
        <v>29</v>
      </c>
      <c r="I448">
        <v>24</v>
      </c>
      <c r="J448">
        <v>20</v>
      </c>
      <c r="K448">
        <v>33</v>
      </c>
      <c r="L448">
        <v>36</v>
      </c>
      <c r="M448">
        <v>35</v>
      </c>
      <c r="N448">
        <v>37</v>
      </c>
      <c r="O448">
        <v>40</v>
      </c>
      <c r="P448">
        <v>34</v>
      </c>
      <c r="Q448">
        <v>45</v>
      </c>
      <c r="R448">
        <v>51</v>
      </c>
      <c r="S448">
        <v>45</v>
      </c>
      <c r="T448">
        <v>55</v>
      </c>
      <c r="U448">
        <v>39</v>
      </c>
      <c r="V448">
        <v>40</v>
      </c>
      <c r="W448">
        <v>54</v>
      </c>
      <c r="X448">
        <v>22</v>
      </c>
      <c r="Y448">
        <v>18</v>
      </c>
      <c r="Z448">
        <v>25</v>
      </c>
      <c r="AA448">
        <v>27</v>
      </c>
      <c r="AB448">
        <v>20</v>
      </c>
      <c r="AC448">
        <v>24</v>
      </c>
      <c r="AD448">
        <v>34</v>
      </c>
      <c r="AE448">
        <v>28</v>
      </c>
      <c r="AF448">
        <v>29</v>
      </c>
      <c r="AG448">
        <v>30</v>
      </c>
      <c r="AH448">
        <v>30</v>
      </c>
      <c r="AI448">
        <v>53</v>
      </c>
      <c r="AJ448">
        <v>42</v>
      </c>
      <c r="AK448">
        <v>37</v>
      </c>
      <c r="AL448">
        <v>31</v>
      </c>
      <c r="AM448">
        <v>49</v>
      </c>
      <c r="AN448">
        <v>28</v>
      </c>
      <c r="AO448">
        <v>29</v>
      </c>
      <c r="AP448">
        <v>58</v>
      </c>
      <c r="AQ448">
        <v>1299</v>
      </c>
      <c r="AR448">
        <v>0.76982294072363355</v>
      </c>
      <c r="AS448">
        <f t="shared" si="30"/>
        <v>0.23258152127870874</v>
      </c>
      <c r="AT448">
        <f t="shared" si="31"/>
        <v>1.8699554310808181E-2</v>
      </c>
      <c r="AU448">
        <f t="shared" si="32"/>
        <v>1.8699554310808182</v>
      </c>
      <c r="AV448">
        <f t="shared" si="33"/>
        <v>3</v>
      </c>
      <c r="AW448">
        <f t="shared" si="34"/>
        <v>9.3923170846247697E-2</v>
      </c>
    </row>
    <row r="449" spans="1:49" x14ac:dyDescent="0.3">
      <c r="A449" t="s">
        <v>511</v>
      </c>
      <c r="B449" t="s">
        <v>127</v>
      </c>
      <c r="C449">
        <v>2</v>
      </c>
      <c r="D449" t="s">
        <v>12</v>
      </c>
      <c r="E449">
        <v>48</v>
      </c>
      <c r="F449">
        <v>44</v>
      </c>
      <c r="G449">
        <v>33</v>
      </c>
      <c r="H449">
        <v>41</v>
      </c>
      <c r="I449">
        <v>49</v>
      </c>
      <c r="J449">
        <v>36</v>
      </c>
      <c r="K449">
        <v>33</v>
      </c>
      <c r="L449">
        <v>49</v>
      </c>
      <c r="M449">
        <v>55</v>
      </c>
      <c r="N449">
        <v>64</v>
      </c>
      <c r="O449">
        <v>64</v>
      </c>
      <c r="P449">
        <v>51</v>
      </c>
      <c r="Q449">
        <v>57</v>
      </c>
      <c r="R449">
        <v>67</v>
      </c>
      <c r="S449">
        <v>47</v>
      </c>
      <c r="T449">
        <v>66</v>
      </c>
      <c r="U449">
        <v>56</v>
      </c>
      <c r="V449">
        <v>58</v>
      </c>
      <c r="W449">
        <v>70</v>
      </c>
      <c r="X449">
        <v>37</v>
      </c>
      <c r="Y449">
        <v>37</v>
      </c>
      <c r="Z449">
        <v>31</v>
      </c>
      <c r="AA449">
        <v>43</v>
      </c>
      <c r="AB449">
        <v>45</v>
      </c>
      <c r="AC449">
        <v>43</v>
      </c>
      <c r="AD449">
        <v>34</v>
      </c>
      <c r="AE449">
        <v>47</v>
      </c>
      <c r="AF449">
        <v>48</v>
      </c>
      <c r="AG449">
        <v>51</v>
      </c>
      <c r="AH449">
        <v>64</v>
      </c>
      <c r="AI449">
        <v>72</v>
      </c>
      <c r="AJ449">
        <v>74</v>
      </c>
      <c r="AK449">
        <v>60</v>
      </c>
      <c r="AL449">
        <v>48</v>
      </c>
      <c r="AM449">
        <v>61</v>
      </c>
      <c r="AN449">
        <v>71</v>
      </c>
      <c r="AO449">
        <v>61</v>
      </c>
      <c r="AP449">
        <v>86</v>
      </c>
      <c r="AQ449">
        <v>2001</v>
      </c>
      <c r="AR449">
        <v>0.99950024987506236</v>
      </c>
      <c r="AS449">
        <f t="shared" si="30"/>
        <v>0.31161498207620275</v>
      </c>
      <c r="AT449">
        <f t="shared" si="31"/>
        <v>2.5053844558926702E-2</v>
      </c>
      <c r="AU449">
        <f t="shared" si="32"/>
        <v>2.5053844558926701</v>
      </c>
      <c r="AV449">
        <f t="shared" si="33"/>
        <v>3</v>
      </c>
      <c r="AW449">
        <f t="shared" si="34"/>
        <v>9.3923170846247697E-2</v>
      </c>
    </row>
    <row r="450" spans="1:49" x14ac:dyDescent="0.3">
      <c r="A450" t="s">
        <v>512</v>
      </c>
      <c r="B450" t="s">
        <v>222</v>
      </c>
      <c r="C450">
        <v>2</v>
      </c>
      <c r="D450" t="s">
        <v>24</v>
      </c>
      <c r="E450">
        <v>26</v>
      </c>
      <c r="F450">
        <v>22</v>
      </c>
      <c r="G450">
        <v>33</v>
      </c>
      <c r="H450">
        <v>17</v>
      </c>
      <c r="I450">
        <v>23</v>
      </c>
      <c r="J450">
        <v>29</v>
      </c>
      <c r="K450">
        <v>18</v>
      </c>
      <c r="L450">
        <v>27</v>
      </c>
      <c r="M450">
        <v>28</v>
      </c>
      <c r="N450">
        <v>27</v>
      </c>
      <c r="O450">
        <v>27</v>
      </c>
      <c r="P450">
        <v>44</v>
      </c>
      <c r="Q450">
        <v>32</v>
      </c>
      <c r="R450">
        <v>53</v>
      </c>
      <c r="S450">
        <v>51</v>
      </c>
      <c r="T450">
        <v>50</v>
      </c>
      <c r="U450">
        <v>58</v>
      </c>
      <c r="V450">
        <v>51</v>
      </c>
      <c r="W450">
        <v>68</v>
      </c>
      <c r="X450">
        <v>29</v>
      </c>
      <c r="Y450">
        <v>39</v>
      </c>
      <c r="Z450">
        <v>28</v>
      </c>
      <c r="AA450">
        <v>23</v>
      </c>
      <c r="AB450">
        <v>18</v>
      </c>
      <c r="AC450">
        <v>29</v>
      </c>
      <c r="AD450">
        <v>27</v>
      </c>
      <c r="AE450">
        <v>27</v>
      </c>
      <c r="AF450">
        <v>29</v>
      </c>
      <c r="AG450">
        <v>25</v>
      </c>
      <c r="AH450">
        <v>45</v>
      </c>
      <c r="AI450">
        <v>23</v>
      </c>
      <c r="AJ450">
        <v>36</v>
      </c>
      <c r="AK450">
        <v>40</v>
      </c>
      <c r="AL450">
        <v>49</v>
      </c>
      <c r="AM450">
        <v>36</v>
      </c>
      <c r="AN450">
        <v>45</v>
      </c>
      <c r="AO450">
        <v>49</v>
      </c>
      <c r="AP450">
        <v>59</v>
      </c>
      <c r="AQ450">
        <v>1340</v>
      </c>
      <c r="AR450">
        <v>1.4925373134328359</v>
      </c>
      <c r="AS450">
        <f t="shared" si="30"/>
        <v>0.48127225287222142</v>
      </c>
      <c r="AT450">
        <f t="shared" si="31"/>
        <v>3.8694289130926603E-2</v>
      </c>
      <c r="AU450">
        <f t="shared" si="32"/>
        <v>3.8694289130926602</v>
      </c>
      <c r="AV450">
        <f t="shared" si="33"/>
        <v>3</v>
      </c>
      <c r="AW450">
        <f t="shared" si="34"/>
        <v>9.3923170846247697E-2</v>
      </c>
    </row>
    <row r="451" spans="1:49" x14ac:dyDescent="0.3">
      <c r="A451" t="s">
        <v>513</v>
      </c>
      <c r="B451" t="s">
        <v>143</v>
      </c>
      <c r="C451">
        <v>1</v>
      </c>
      <c r="D451" t="s">
        <v>24</v>
      </c>
      <c r="E451">
        <v>9</v>
      </c>
      <c r="F451">
        <v>7</v>
      </c>
      <c r="G451">
        <v>11</v>
      </c>
      <c r="H451">
        <v>6</v>
      </c>
      <c r="I451">
        <v>18</v>
      </c>
      <c r="J451">
        <v>19</v>
      </c>
      <c r="K451">
        <v>9</v>
      </c>
      <c r="L451">
        <v>7</v>
      </c>
      <c r="M451">
        <v>14</v>
      </c>
      <c r="N451">
        <v>19</v>
      </c>
      <c r="O451">
        <v>18</v>
      </c>
      <c r="P451">
        <v>20</v>
      </c>
      <c r="Q451">
        <v>22</v>
      </c>
      <c r="R451">
        <v>22</v>
      </c>
      <c r="S451">
        <v>21</v>
      </c>
      <c r="T451">
        <v>36</v>
      </c>
      <c r="U451">
        <v>24</v>
      </c>
      <c r="V451">
        <v>26</v>
      </c>
      <c r="W451">
        <v>49</v>
      </c>
      <c r="X451">
        <v>17</v>
      </c>
      <c r="Y451">
        <v>13</v>
      </c>
      <c r="Z451">
        <v>9</v>
      </c>
      <c r="AA451">
        <v>15</v>
      </c>
      <c r="AB451">
        <v>12</v>
      </c>
      <c r="AC451">
        <v>15</v>
      </c>
      <c r="AD451">
        <v>14</v>
      </c>
      <c r="AE451">
        <v>13</v>
      </c>
      <c r="AF451">
        <v>22</v>
      </c>
      <c r="AG451">
        <v>19</v>
      </c>
      <c r="AH451">
        <v>14</v>
      </c>
      <c r="AI451">
        <v>17</v>
      </c>
      <c r="AJ451">
        <v>20</v>
      </c>
      <c r="AK451">
        <v>16</v>
      </c>
      <c r="AL451">
        <v>28</v>
      </c>
      <c r="AM451">
        <v>33</v>
      </c>
      <c r="AN451">
        <v>21</v>
      </c>
      <c r="AO451">
        <v>30</v>
      </c>
      <c r="AP451">
        <v>44</v>
      </c>
      <c r="AQ451">
        <v>729</v>
      </c>
      <c r="AR451">
        <v>1.371742112482853</v>
      </c>
      <c r="AS451">
        <f t="shared" ref="AS451:AS497" si="35">(AR451-AW451)/(AV451-AW451)</f>
        <v>0.43970583599770324</v>
      </c>
      <c r="AT451">
        <f t="shared" ref="AT451:AT497" si="36">AS451*0.0804</f>
        <v>3.5352349214215338E-2</v>
      </c>
      <c r="AU451">
        <f t="shared" ref="AU451:AU497" si="37">AT451*100</f>
        <v>3.5352349214215337</v>
      </c>
      <c r="AV451">
        <f t="shared" ref="AV451:AV497" si="38">MAX(AR:AR)</f>
        <v>3</v>
      </c>
      <c r="AW451">
        <f t="shared" ref="AW451:AW497" si="39">MIN(AR:AR)</f>
        <v>9.3923170846247697E-2</v>
      </c>
    </row>
    <row r="452" spans="1:49" x14ac:dyDescent="0.3">
      <c r="A452" t="s">
        <v>514</v>
      </c>
      <c r="B452" t="s">
        <v>143</v>
      </c>
      <c r="C452">
        <v>5</v>
      </c>
      <c r="D452" t="s">
        <v>24</v>
      </c>
      <c r="E452">
        <v>17</v>
      </c>
      <c r="F452">
        <v>15</v>
      </c>
      <c r="G452">
        <v>19</v>
      </c>
      <c r="H452">
        <v>15</v>
      </c>
      <c r="I452">
        <v>13</v>
      </c>
      <c r="J452">
        <v>17</v>
      </c>
      <c r="K452">
        <v>11</v>
      </c>
      <c r="L452">
        <v>25</v>
      </c>
      <c r="M452">
        <v>22</v>
      </c>
      <c r="N452">
        <v>22</v>
      </c>
      <c r="O452">
        <v>27</v>
      </c>
      <c r="P452">
        <v>36</v>
      </c>
      <c r="Q452">
        <v>24</v>
      </c>
      <c r="R452">
        <v>35</v>
      </c>
      <c r="S452">
        <v>36</v>
      </c>
      <c r="T452">
        <v>36</v>
      </c>
      <c r="U452">
        <v>31</v>
      </c>
      <c r="V452">
        <v>52</v>
      </c>
      <c r="W452">
        <v>48</v>
      </c>
      <c r="X452">
        <v>26</v>
      </c>
      <c r="Y452">
        <v>19</v>
      </c>
      <c r="Z452">
        <v>22</v>
      </c>
      <c r="AA452">
        <v>20</v>
      </c>
      <c r="AB452">
        <v>13</v>
      </c>
      <c r="AC452">
        <v>8</v>
      </c>
      <c r="AD452">
        <v>25</v>
      </c>
      <c r="AE452">
        <v>16</v>
      </c>
      <c r="AF452">
        <v>23</v>
      </c>
      <c r="AG452">
        <v>25</v>
      </c>
      <c r="AH452">
        <v>29</v>
      </c>
      <c r="AI452">
        <v>34</v>
      </c>
      <c r="AJ452">
        <v>30</v>
      </c>
      <c r="AK452">
        <v>37</v>
      </c>
      <c r="AL452">
        <v>37</v>
      </c>
      <c r="AM452">
        <v>39</v>
      </c>
      <c r="AN452">
        <v>38</v>
      </c>
      <c r="AO452">
        <v>33</v>
      </c>
      <c r="AP452">
        <v>52</v>
      </c>
      <c r="AQ452">
        <v>1027</v>
      </c>
      <c r="AR452">
        <v>3</v>
      </c>
      <c r="AS452">
        <f t="shared" si="35"/>
        <v>1</v>
      </c>
      <c r="AT452">
        <f t="shared" si="36"/>
        <v>8.0399999999999999E-2</v>
      </c>
      <c r="AU452">
        <f t="shared" si="37"/>
        <v>8.0399999999999991</v>
      </c>
      <c r="AV452">
        <f t="shared" si="38"/>
        <v>3</v>
      </c>
      <c r="AW452">
        <f t="shared" si="39"/>
        <v>9.3923170846247697E-2</v>
      </c>
    </row>
    <row r="453" spans="1:49" x14ac:dyDescent="0.3">
      <c r="A453" t="s">
        <v>515</v>
      </c>
      <c r="B453" t="s">
        <v>143</v>
      </c>
      <c r="C453">
        <v>1</v>
      </c>
      <c r="D453" t="s">
        <v>24</v>
      </c>
      <c r="E453">
        <v>12</v>
      </c>
      <c r="F453">
        <v>11</v>
      </c>
      <c r="G453">
        <v>10</v>
      </c>
      <c r="H453">
        <v>9</v>
      </c>
      <c r="I453">
        <v>16</v>
      </c>
      <c r="J453">
        <v>18</v>
      </c>
      <c r="K453">
        <v>7</v>
      </c>
      <c r="L453">
        <v>21</v>
      </c>
      <c r="M453">
        <v>22</v>
      </c>
      <c r="N453">
        <v>18</v>
      </c>
      <c r="O453">
        <v>22</v>
      </c>
      <c r="P453">
        <v>30</v>
      </c>
      <c r="Q453">
        <v>31</v>
      </c>
      <c r="R453">
        <v>29</v>
      </c>
      <c r="S453">
        <v>29</v>
      </c>
      <c r="T453">
        <v>43</v>
      </c>
      <c r="U453">
        <v>32</v>
      </c>
      <c r="V453">
        <v>40</v>
      </c>
      <c r="W453">
        <v>38</v>
      </c>
      <c r="X453">
        <v>18</v>
      </c>
      <c r="Y453">
        <v>14</v>
      </c>
      <c r="Z453">
        <v>10</v>
      </c>
      <c r="AA453">
        <v>10</v>
      </c>
      <c r="AB453">
        <v>14</v>
      </c>
      <c r="AC453">
        <v>12</v>
      </c>
      <c r="AD453">
        <v>18</v>
      </c>
      <c r="AE453">
        <v>19</v>
      </c>
      <c r="AF453">
        <v>14</v>
      </c>
      <c r="AG453">
        <v>20</v>
      </c>
      <c r="AH453">
        <v>24</v>
      </c>
      <c r="AI453">
        <v>29</v>
      </c>
      <c r="AJ453">
        <v>21</v>
      </c>
      <c r="AK453">
        <v>40</v>
      </c>
      <c r="AL453">
        <v>31</v>
      </c>
      <c r="AM453">
        <v>50</v>
      </c>
      <c r="AN453">
        <v>35</v>
      </c>
      <c r="AO453">
        <v>25</v>
      </c>
      <c r="AP453">
        <v>44</v>
      </c>
      <c r="AQ453">
        <v>886</v>
      </c>
      <c r="AR453">
        <v>1.1286681715575619</v>
      </c>
      <c r="AS453">
        <f t="shared" si="35"/>
        <v>0.35606250678948193</v>
      </c>
      <c r="AT453">
        <f t="shared" si="36"/>
        <v>2.8627425545874347E-2</v>
      </c>
      <c r="AU453">
        <f t="shared" si="37"/>
        <v>2.8627425545874345</v>
      </c>
      <c r="AV453">
        <f t="shared" si="38"/>
        <v>3</v>
      </c>
      <c r="AW453">
        <f t="shared" si="39"/>
        <v>9.3923170846247697E-2</v>
      </c>
    </row>
    <row r="454" spans="1:49" x14ac:dyDescent="0.3">
      <c r="A454" t="s">
        <v>516</v>
      </c>
      <c r="B454" t="s">
        <v>143</v>
      </c>
      <c r="C454">
        <v>5</v>
      </c>
      <c r="D454" t="s">
        <v>24</v>
      </c>
      <c r="E454">
        <v>11</v>
      </c>
      <c r="F454">
        <v>15</v>
      </c>
      <c r="G454">
        <v>11</v>
      </c>
      <c r="H454">
        <v>11</v>
      </c>
      <c r="I454">
        <v>15</v>
      </c>
      <c r="J454">
        <v>13</v>
      </c>
      <c r="K454">
        <v>17</v>
      </c>
      <c r="L454">
        <v>23</v>
      </c>
      <c r="M454">
        <v>14</v>
      </c>
      <c r="N454">
        <v>26</v>
      </c>
      <c r="O454">
        <v>30</v>
      </c>
      <c r="P454">
        <v>34</v>
      </c>
      <c r="Q454">
        <v>40</v>
      </c>
      <c r="R454">
        <v>28</v>
      </c>
      <c r="S454">
        <v>29</v>
      </c>
      <c r="T454">
        <v>43</v>
      </c>
      <c r="U454">
        <v>42</v>
      </c>
      <c r="V454">
        <v>43</v>
      </c>
      <c r="W454">
        <v>55</v>
      </c>
      <c r="X454">
        <v>10</v>
      </c>
      <c r="Y454">
        <v>12</v>
      </c>
      <c r="Z454">
        <v>9</v>
      </c>
      <c r="AA454">
        <v>12</v>
      </c>
      <c r="AB454">
        <v>17</v>
      </c>
      <c r="AC454">
        <v>7</v>
      </c>
      <c r="AD454">
        <v>13</v>
      </c>
      <c r="AE454">
        <v>17</v>
      </c>
      <c r="AF454">
        <v>20</v>
      </c>
      <c r="AG454">
        <v>17</v>
      </c>
      <c r="AH454">
        <v>29</v>
      </c>
      <c r="AI454">
        <v>26</v>
      </c>
      <c r="AJ454">
        <v>32</v>
      </c>
      <c r="AK454">
        <v>31</v>
      </c>
      <c r="AL454">
        <v>36</v>
      </c>
      <c r="AM454">
        <v>34</v>
      </c>
      <c r="AN454">
        <v>34</v>
      </c>
      <c r="AO454">
        <v>46</v>
      </c>
      <c r="AP454">
        <v>38</v>
      </c>
      <c r="AQ454">
        <v>940</v>
      </c>
      <c r="AR454">
        <v>3</v>
      </c>
      <c r="AS454">
        <f t="shared" si="35"/>
        <v>1</v>
      </c>
      <c r="AT454">
        <f t="shared" si="36"/>
        <v>8.0399999999999999E-2</v>
      </c>
      <c r="AU454">
        <f t="shared" si="37"/>
        <v>8.0399999999999991</v>
      </c>
      <c r="AV454">
        <f t="shared" si="38"/>
        <v>3</v>
      </c>
      <c r="AW454">
        <f t="shared" si="39"/>
        <v>9.3923170846247697E-2</v>
      </c>
    </row>
    <row r="455" spans="1:49" x14ac:dyDescent="0.3">
      <c r="A455" t="s">
        <v>517</v>
      </c>
      <c r="B455" t="s">
        <v>91</v>
      </c>
      <c r="C455">
        <v>2</v>
      </c>
      <c r="D455" t="s">
        <v>24</v>
      </c>
      <c r="E455">
        <v>64</v>
      </c>
      <c r="F455">
        <v>78</v>
      </c>
      <c r="G455">
        <v>80</v>
      </c>
      <c r="H455">
        <v>89</v>
      </c>
      <c r="I455">
        <v>76</v>
      </c>
      <c r="J455">
        <v>101</v>
      </c>
      <c r="K455">
        <v>113</v>
      </c>
      <c r="L455">
        <v>112</v>
      </c>
      <c r="M455">
        <v>106</v>
      </c>
      <c r="N455">
        <v>111</v>
      </c>
      <c r="O455">
        <v>119</v>
      </c>
      <c r="P455">
        <v>120</v>
      </c>
      <c r="Q455">
        <v>128</v>
      </c>
      <c r="R455">
        <v>150</v>
      </c>
      <c r="S455">
        <v>136</v>
      </c>
      <c r="T455">
        <v>175</v>
      </c>
      <c r="U455">
        <v>135</v>
      </c>
      <c r="V455">
        <v>144</v>
      </c>
      <c r="W455">
        <v>155</v>
      </c>
      <c r="X455">
        <v>83</v>
      </c>
      <c r="Y455">
        <v>94</v>
      </c>
      <c r="Z455">
        <v>70</v>
      </c>
      <c r="AA455">
        <v>100</v>
      </c>
      <c r="AB455">
        <v>98</v>
      </c>
      <c r="AC455">
        <v>88</v>
      </c>
      <c r="AD455">
        <v>82</v>
      </c>
      <c r="AE455">
        <v>101</v>
      </c>
      <c r="AF455">
        <v>101</v>
      </c>
      <c r="AG455">
        <v>115</v>
      </c>
      <c r="AH455">
        <v>125</v>
      </c>
      <c r="AI455">
        <v>125</v>
      </c>
      <c r="AJ455">
        <v>130</v>
      </c>
      <c r="AK455">
        <v>122</v>
      </c>
      <c r="AL455">
        <v>139</v>
      </c>
      <c r="AM455">
        <v>128</v>
      </c>
      <c r="AN455">
        <v>119</v>
      </c>
      <c r="AO455">
        <v>118</v>
      </c>
      <c r="AP455">
        <v>143</v>
      </c>
      <c r="AQ455">
        <v>4273</v>
      </c>
      <c r="AR455">
        <v>0.46805523051720099</v>
      </c>
      <c r="AS455">
        <f t="shared" si="35"/>
        <v>0.12874128306507998</v>
      </c>
      <c r="AT455">
        <f t="shared" si="36"/>
        <v>1.0350799158432431E-2</v>
      </c>
      <c r="AU455">
        <f t="shared" si="37"/>
        <v>1.0350799158432431</v>
      </c>
      <c r="AV455">
        <f t="shared" si="38"/>
        <v>3</v>
      </c>
      <c r="AW455">
        <f t="shared" si="39"/>
        <v>9.3923170846247697E-2</v>
      </c>
    </row>
    <row r="456" spans="1:49" x14ac:dyDescent="0.3">
      <c r="A456" t="s">
        <v>518</v>
      </c>
      <c r="B456" t="s">
        <v>109</v>
      </c>
      <c r="C456">
        <v>2</v>
      </c>
      <c r="D456" t="s">
        <v>24</v>
      </c>
      <c r="E456">
        <v>40</v>
      </c>
      <c r="F456">
        <v>37</v>
      </c>
      <c r="G456">
        <v>45</v>
      </c>
      <c r="H456">
        <v>47</v>
      </c>
      <c r="I456">
        <v>49</v>
      </c>
      <c r="J456">
        <v>44</v>
      </c>
      <c r="K456">
        <v>49</v>
      </c>
      <c r="L456">
        <v>50</v>
      </c>
      <c r="M456">
        <v>44</v>
      </c>
      <c r="N456">
        <v>77</v>
      </c>
      <c r="O456">
        <v>95</v>
      </c>
      <c r="P456">
        <v>70</v>
      </c>
      <c r="Q456">
        <v>79</v>
      </c>
      <c r="R456">
        <v>93</v>
      </c>
      <c r="S456">
        <v>110</v>
      </c>
      <c r="T456">
        <v>124</v>
      </c>
      <c r="U456">
        <v>108</v>
      </c>
      <c r="V456">
        <v>117</v>
      </c>
      <c r="W456">
        <v>133</v>
      </c>
      <c r="X456">
        <v>41</v>
      </c>
      <c r="Y456">
        <v>43</v>
      </c>
      <c r="Z456">
        <v>40</v>
      </c>
      <c r="AA456">
        <v>45</v>
      </c>
      <c r="AB456">
        <v>37</v>
      </c>
      <c r="AC456">
        <v>48</v>
      </c>
      <c r="AD456">
        <v>58</v>
      </c>
      <c r="AE456">
        <v>57</v>
      </c>
      <c r="AF456">
        <v>59</v>
      </c>
      <c r="AG456">
        <v>67</v>
      </c>
      <c r="AH456">
        <v>72</v>
      </c>
      <c r="AI456">
        <v>81</v>
      </c>
      <c r="AJ456">
        <v>88</v>
      </c>
      <c r="AK456">
        <v>99</v>
      </c>
      <c r="AL456">
        <v>109</v>
      </c>
      <c r="AM456">
        <v>109</v>
      </c>
      <c r="AN456">
        <v>84</v>
      </c>
      <c r="AO456">
        <v>133</v>
      </c>
      <c r="AP456">
        <v>123</v>
      </c>
      <c r="AQ456">
        <v>2804</v>
      </c>
      <c r="AR456">
        <v>0.71326676176890158</v>
      </c>
      <c r="AS456">
        <f t="shared" si="35"/>
        <v>0.21312017105308476</v>
      </c>
      <c r="AT456">
        <f t="shared" si="36"/>
        <v>1.7134861752668016E-2</v>
      </c>
      <c r="AU456">
        <f t="shared" si="37"/>
        <v>1.7134861752668016</v>
      </c>
      <c r="AV456">
        <f t="shared" si="38"/>
        <v>3</v>
      </c>
      <c r="AW456">
        <f t="shared" si="39"/>
        <v>9.3923170846247697E-2</v>
      </c>
    </row>
    <row r="457" spans="1:49" x14ac:dyDescent="0.3">
      <c r="A457" t="s">
        <v>519</v>
      </c>
      <c r="B457" t="s">
        <v>109</v>
      </c>
      <c r="C457">
        <v>4</v>
      </c>
      <c r="D457" t="s">
        <v>24</v>
      </c>
      <c r="E457">
        <v>123</v>
      </c>
      <c r="F457">
        <v>100</v>
      </c>
      <c r="G457">
        <v>92</v>
      </c>
      <c r="H457">
        <v>123</v>
      </c>
      <c r="I457">
        <v>105</v>
      </c>
      <c r="J457">
        <v>100</v>
      </c>
      <c r="K457">
        <v>122</v>
      </c>
      <c r="L457">
        <v>144</v>
      </c>
      <c r="M457">
        <v>145</v>
      </c>
      <c r="N457">
        <v>161</v>
      </c>
      <c r="O457">
        <v>204</v>
      </c>
      <c r="P457">
        <v>192</v>
      </c>
      <c r="Q457">
        <v>194</v>
      </c>
      <c r="R457">
        <v>220</v>
      </c>
      <c r="S457">
        <v>207</v>
      </c>
      <c r="T457">
        <v>249</v>
      </c>
      <c r="U457">
        <v>217</v>
      </c>
      <c r="V457">
        <v>268</v>
      </c>
      <c r="W457">
        <v>265</v>
      </c>
      <c r="X457">
        <v>102</v>
      </c>
      <c r="Y457">
        <v>95</v>
      </c>
      <c r="Z457">
        <v>82</v>
      </c>
      <c r="AA457">
        <v>110</v>
      </c>
      <c r="AB457">
        <v>99</v>
      </c>
      <c r="AC457">
        <v>109</v>
      </c>
      <c r="AD457">
        <v>117</v>
      </c>
      <c r="AE457">
        <v>140</v>
      </c>
      <c r="AF457">
        <v>145</v>
      </c>
      <c r="AG457">
        <v>158</v>
      </c>
      <c r="AH457">
        <v>165</v>
      </c>
      <c r="AI457">
        <v>183</v>
      </c>
      <c r="AJ457">
        <v>181</v>
      </c>
      <c r="AK457">
        <v>229</v>
      </c>
      <c r="AL457">
        <v>240</v>
      </c>
      <c r="AM457">
        <v>237</v>
      </c>
      <c r="AN457">
        <v>219</v>
      </c>
      <c r="AO457">
        <v>238</v>
      </c>
      <c r="AP457">
        <v>253</v>
      </c>
      <c r="AQ457">
        <v>6333</v>
      </c>
      <c r="AR457">
        <v>0.63161219011526926</v>
      </c>
      <c r="AS457">
        <f t="shared" si="35"/>
        <v>0.18502230012466542</v>
      </c>
      <c r="AT457">
        <f t="shared" si="36"/>
        <v>1.4875792930023099E-2</v>
      </c>
      <c r="AU457">
        <f t="shared" si="37"/>
        <v>1.48757929300231</v>
      </c>
      <c r="AV457">
        <f t="shared" si="38"/>
        <v>3</v>
      </c>
      <c r="AW457">
        <f t="shared" si="39"/>
        <v>9.3923170846247697E-2</v>
      </c>
    </row>
    <row r="458" spans="1:49" x14ac:dyDescent="0.3">
      <c r="A458" t="s">
        <v>520</v>
      </c>
      <c r="B458" t="s">
        <v>182</v>
      </c>
      <c r="C458">
        <v>3</v>
      </c>
      <c r="D458" t="s">
        <v>24</v>
      </c>
      <c r="E458">
        <v>48</v>
      </c>
      <c r="F458">
        <v>48</v>
      </c>
      <c r="G458">
        <v>52</v>
      </c>
      <c r="H458">
        <v>51</v>
      </c>
      <c r="I458">
        <v>45</v>
      </c>
      <c r="J458">
        <v>49</v>
      </c>
      <c r="K458">
        <v>71</v>
      </c>
      <c r="L458">
        <v>73</v>
      </c>
      <c r="M458">
        <v>84</v>
      </c>
      <c r="N458">
        <v>90</v>
      </c>
      <c r="O458">
        <v>117</v>
      </c>
      <c r="P458">
        <v>125</v>
      </c>
      <c r="Q458">
        <v>131</v>
      </c>
      <c r="R458">
        <v>150</v>
      </c>
      <c r="S458">
        <v>178</v>
      </c>
      <c r="T458">
        <v>151</v>
      </c>
      <c r="U458">
        <v>156</v>
      </c>
      <c r="V458">
        <v>181</v>
      </c>
      <c r="W458">
        <v>215</v>
      </c>
      <c r="X458">
        <v>50</v>
      </c>
      <c r="Y458">
        <v>36</v>
      </c>
      <c r="Z458">
        <v>36</v>
      </c>
      <c r="AA458">
        <v>51</v>
      </c>
      <c r="AB458">
        <v>39</v>
      </c>
      <c r="AC458">
        <v>58</v>
      </c>
      <c r="AD458">
        <v>45</v>
      </c>
      <c r="AE458">
        <v>72</v>
      </c>
      <c r="AF458">
        <v>73</v>
      </c>
      <c r="AG458">
        <v>88</v>
      </c>
      <c r="AH458">
        <v>110</v>
      </c>
      <c r="AI458">
        <v>109</v>
      </c>
      <c r="AJ458">
        <v>134</v>
      </c>
      <c r="AK458">
        <v>153</v>
      </c>
      <c r="AL458">
        <v>160</v>
      </c>
      <c r="AM458">
        <v>160</v>
      </c>
      <c r="AN458">
        <v>142</v>
      </c>
      <c r="AO458">
        <v>156</v>
      </c>
      <c r="AP458">
        <v>188</v>
      </c>
      <c r="AQ458">
        <v>3875</v>
      </c>
      <c r="AR458">
        <v>0.77419354838709675</v>
      </c>
      <c r="AS458">
        <f t="shared" si="35"/>
        <v>0.23408547589533046</v>
      </c>
      <c r="AT458">
        <f t="shared" si="36"/>
        <v>1.8820472261984571E-2</v>
      </c>
      <c r="AU458">
        <f t="shared" si="37"/>
        <v>1.8820472261984571</v>
      </c>
      <c r="AV458">
        <f t="shared" si="38"/>
        <v>3</v>
      </c>
      <c r="AW458">
        <f t="shared" si="39"/>
        <v>9.3923170846247697E-2</v>
      </c>
    </row>
    <row r="459" spans="1:49" x14ac:dyDescent="0.3">
      <c r="A459" t="s">
        <v>521</v>
      </c>
      <c r="B459" t="s">
        <v>50</v>
      </c>
      <c r="C459">
        <v>1</v>
      </c>
      <c r="D459" t="s">
        <v>12</v>
      </c>
      <c r="E459">
        <v>18</v>
      </c>
      <c r="F459">
        <v>22</v>
      </c>
      <c r="G459">
        <v>24</v>
      </c>
      <c r="H459">
        <v>19</v>
      </c>
      <c r="I459">
        <v>26</v>
      </c>
      <c r="J459">
        <v>17</v>
      </c>
      <c r="K459">
        <v>10</v>
      </c>
      <c r="L459">
        <v>21</v>
      </c>
      <c r="M459">
        <v>23</v>
      </c>
      <c r="N459">
        <v>33</v>
      </c>
      <c r="O459">
        <v>22</v>
      </c>
      <c r="P459">
        <v>23</v>
      </c>
      <c r="Q459">
        <v>29</v>
      </c>
      <c r="R459">
        <v>34</v>
      </c>
      <c r="S459">
        <v>40</v>
      </c>
      <c r="T459">
        <v>31</v>
      </c>
      <c r="U459">
        <v>32</v>
      </c>
      <c r="V459">
        <v>32</v>
      </c>
      <c r="W459">
        <v>43</v>
      </c>
      <c r="X459">
        <v>18</v>
      </c>
      <c r="Y459">
        <v>27</v>
      </c>
      <c r="Z459">
        <v>20</v>
      </c>
      <c r="AA459">
        <v>22</v>
      </c>
      <c r="AB459">
        <v>17</v>
      </c>
      <c r="AC459">
        <v>20</v>
      </c>
      <c r="AD459">
        <v>15</v>
      </c>
      <c r="AE459">
        <v>19</v>
      </c>
      <c r="AF459">
        <v>22</v>
      </c>
      <c r="AG459">
        <v>23</v>
      </c>
      <c r="AH459">
        <v>19</v>
      </c>
      <c r="AI459">
        <v>17</v>
      </c>
      <c r="AJ459">
        <v>19</v>
      </c>
      <c r="AK459">
        <v>30</v>
      </c>
      <c r="AL459">
        <v>16</v>
      </c>
      <c r="AM459">
        <v>20</v>
      </c>
      <c r="AN459">
        <v>41</v>
      </c>
      <c r="AO459">
        <v>33</v>
      </c>
      <c r="AP459">
        <v>39</v>
      </c>
      <c r="AQ459">
        <v>936</v>
      </c>
      <c r="AR459">
        <v>1.068376068376069</v>
      </c>
      <c r="AS459">
        <f t="shared" si="35"/>
        <v>0.33531560065931959</v>
      </c>
      <c r="AT459">
        <f t="shared" si="36"/>
        <v>2.6959374293009295E-2</v>
      </c>
      <c r="AU459">
        <f t="shared" si="37"/>
        <v>2.6959374293009297</v>
      </c>
      <c r="AV459">
        <f t="shared" si="38"/>
        <v>3</v>
      </c>
      <c r="AW459">
        <f t="shared" si="39"/>
        <v>9.3923170846247697E-2</v>
      </c>
    </row>
    <row r="460" spans="1:49" x14ac:dyDescent="0.3">
      <c r="A460" t="s">
        <v>522</v>
      </c>
      <c r="B460" t="s">
        <v>50</v>
      </c>
      <c r="C460">
        <v>2</v>
      </c>
      <c r="D460" t="s">
        <v>12</v>
      </c>
      <c r="E460">
        <v>87</v>
      </c>
      <c r="F460">
        <v>75</v>
      </c>
      <c r="G460">
        <v>54</v>
      </c>
      <c r="H460">
        <v>63</v>
      </c>
      <c r="I460">
        <v>64</v>
      </c>
      <c r="J460">
        <v>52</v>
      </c>
      <c r="K460">
        <v>70</v>
      </c>
      <c r="L460">
        <v>71</v>
      </c>
      <c r="M460">
        <v>62</v>
      </c>
      <c r="N460">
        <v>95</v>
      </c>
      <c r="O460">
        <v>74</v>
      </c>
      <c r="P460">
        <v>91</v>
      </c>
      <c r="Q460">
        <v>102</v>
      </c>
      <c r="R460">
        <v>104</v>
      </c>
      <c r="S460">
        <v>87</v>
      </c>
      <c r="T460">
        <v>85</v>
      </c>
      <c r="U460">
        <v>75</v>
      </c>
      <c r="V460">
        <v>89</v>
      </c>
      <c r="W460">
        <v>89</v>
      </c>
      <c r="X460">
        <v>78</v>
      </c>
      <c r="Y460">
        <v>51</v>
      </c>
      <c r="Z460">
        <v>68</v>
      </c>
      <c r="AA460">
        <v>43</v>
      </c>
      <c r="AB460">
        <v>69</v>
      </c>
      <c r="AC460">
        <v>65</v>
      </c>
      <c r="AD460">
        <v>72</v>
      </c>
      <c r="AE460">
        <v>64</v>
      </c>
      <c r="AF460">
        <v>65</v>
      </c>
      <c r="AG460">
        <v>78</v>
      </c>
      <c r="AH460">
        <v>73</v>
      </c>
      <c r="AI460">
        <v>67</v>
      </c>
      <c r="AJ460">
        <v>80</v>
      </c>
      <c r="AK460">
        <v>95</v>
      </c>
      <c r="AL460">
        <v>84</v>
      </c>
      <c r="AM460">
        <v>85</v>
      </c>
      <c r="AN460">
        <v>97</v>
      </c>
      <c r="AO460">
        <v>83</v>
      </c>
      <c r="AP460">
        <v>92</v>
      </c>
      <c r="AQ460">
        <v>2898</v>
      </c>
      <c r="AR460">
        <v>0.69013112491373363</v>
      </c>
      <c r="AS460">
        <f t="shared" si="35"/>
        <v>0.20515904744373234</v>
      </c>
      <c r="AT460">
        <f t="shared" si="36"/>
        <v>1.6494787414476079E-2</v>
      </c>
      <c r="AU460">
        <f t="shared" si="37"/>
        <v>1.649478741447608</v>
      </c>
      <c r="AV460">
        <f t="shared" si="38"/>
        <v>3</v>
      </c>
      <c r="AW460">
        <f t="shared" si="39"/>
        <v>9.3923170846247697E-2</v>
      </c>
    </row>
    <row r="461" spans="1:49" x14ac:dyDescent="0.3">
      <c r="A461" t="s">
        <v>523</v>
      </c>
      <c r="B461" t="s">
        <v>286</v>
      </c>
      <c r="C461">
        <v>1</v>
      </c>
      <c r="D461" t="s">
        <v>24</v>
      </c>
      <c r="E461">
        <v>136</v>
      </c>
      <c r="F461">
        <v>91</v>
      </c>
      <c r="G461">
        <v>91</v>
      </c>
      <c r="H461">
        <v>89</v>
      </c>
      <c r="I461">
        <v>111</v>
      </c>
      <c r="J461">
        <v>101</v>
      </c>
      <c r="K461">
        <v>82</v>
      </c>
      <c r="L461">
        <v>89</v>
      </c>
      <c r="M461">
        <v>128</v>
      </c>
      <c r="N461">
        <v>112</v>
      </c>
      <c r="O461">
        <v>149</v>
      </c>
      <c r="P461">
        <v>143</v>
      </c>
      <c r="Q461">
        <v>115</v>
      </c>
      <c r="R461">
        <v>161</v>
      </c>
      <c r="S461">
        <v>161</v>
      </c>
      <c r="T461">
        <v>180</v>
      </c>
      <c r="U461">
        <v>183</v>
      </c>
      <c r="V461">
        <v>172</v>
      </c>
      <c r="W461">
        <v>193</v>
      </c>
      <c r="X461">
        <v>140</v>
      </c>
      <c r="Y461">
        <v>100</v>
      </c>
      <c r="Z461">
        <v>98</v>
      </c>
      <c r="AA461">
        <v>87</v>
      </c>
      <c r="AB461">
        <v>86</v>
      </c>
      <c r="AC461">
        <v>82</v>
      </c>
      <c r="AD461">
        <v>90</v>
      </c>
      <c r="AE461">
        <v>85</v>
      </c>
      <c r="AF461">
        <v>110</v>
      </c>
      <c r="AG461">
        <v>124</v>
      </c>
      <c r="AH461">
        <v>117</v>
      </c>
      <c r="AI461">
        <v>130</v>
      </c>
      <c r="AJ461">
        <v>144</v>
      </c>
      <c r="AK461">
        <v>141</v>
      </c>
      <c r="AL461">
        <v>157</v>
      </c>
      <c r="AM461">
        <v>162</v>
      </c>
      <c r="AN461">
        <v>154</v>
      </c>
      <c r="AO461">
        <v>174</v>
      </c>
      <c r="AP461">
        <v>186</v>
      </c>
      <c r="AQ461">
        <v>4854</v>
      </c>
      <c r="AR461">
        <v>0.20601565718994641</v>
      </c>
      <c r="AS461">
        <f t="shared" si="35"/>
        <v>3.8571755990477366E-2</v>
      </c>
      <c r="AT461">
        <f t="shared" si="36"/>
        <v>3.1011691816343803E-3</v>
      </c>
      <c r="AU461">
        <f t="shared" si="37"/>
        <v>0.310116918163438</v>
      </c>
      <c r="AV461">
        <f t="shared" si="38"/>
        <v>3</v>
      </c>
      <c r="AW461">
        <f t="shared" si="39"/>
        <v>9.3923170846247697E-2</v>
      </c>
    </row>
    <row r="462" spans="1:49" x14ac:dyDescent="0.3">
      <c r="A462" t="s">
        <v>524</v>
      </c>
      <c r="B462" t="s">
        <v>286</v>
      </c>
      <c r="C462">
        <v>1</v>
      </c>
      <c r="D462" t="s">
        <v>24</v>
      </c>
      <c r="E462">
        <v>147</v>
      </c>
      <c r="F462">
        <v>142</v>
      </c>
      <c r="G462">
        <v>121</v>
      </c>
      <c r="H462">
        <v>151</v>
      </c>
      <c r="I462">
        <v>143</v>
      </c>
      <c r="J462">
        <v>173</v>
      </c>
      <c r="K462">
        <v>197</v>
      </c>
      <c r="L462">
        <v>225</v>
      </c>
      <c r="M462">
        <v>296</v>
      </c>
      <c r="N462">
        <v>304</v>
      </c>
      <c r="O462">
        <v>333</v>
      </c>
      <c r="P462">
        <v>314</v>
      </c>
      <c r="Q462">
        <v>339</v>
      </c>
      <c r="R462">
        <v>313</v>
      </c>
      <c r="S462">
        <v>319</v>
      </c>
      <c r="T462">
        <v>306</v>
      </c>
      <c r="U462">
        <v>273</v>
      </c>
      <c r="V462">
        <v>296</v>
      </c>
      <c r="W462">
        <v>283</v>
      </c>
      <c r="X462">
        <v>127</v>
      </c>
      <c r="Y462">
        <v>145</v>
      </c>
      <c r="Z462">
        <v>119</v>
      </c>
      <c r="AA462">
        <v>118</v>
      </c>
      <c r="AB462">
        <v>140</v>
      </c>
      <c r="AC462">
        <v>182</v>
      </c>
      <c r="AD462">
        <v>213</v>
      </c>
      <c r="AE462">
        <v>236</v>
      </c>
      <c r="AF462">
        <v>251</v>
      </c>
      <c r="AG462">
        <v>295</v>
      </c>
      <c r="AH462">
        <v>331</v>
      </c>
      <c r="AI462">
        <v>345</v>
      </c>
      <c r="AJ462">
        <v>312</v>
      </c>
      <c r="AK462">
        <v>331</v>
      </c>
      <c r="AL462">
        <v>309</v>
      </c>
      <c r="AM462">
        <v>306</v>
      </c>
      <c r="AN462">
        <v>265</v>
      </c>
      <c r="AO462">
        <v>258</v>
      </c>
      <c r="AP462">
        <v>271</v>
      </c>
      <c r="AQ462">
        <v>9229</v>
      </c>
      <c r="AR462">
        <v>0.10835410120273049</v>
      </c>
      <c r="AS462">
        <f t="shared" si="35"/>
        <v>4.9657773021386615E-3</v>
      </c>
      <c r="AT462">
        <f t="shared" si="36"/>
        <v>3.9924849509194839E-4</v>
      </c>
      <c r="AU462">
        <f t="shared" si="37"/>
        <v>3.9924849509194837E-2</v>
      </c>
      <c r="AV462">
        <f t="shared" si="38"/>
        <v>3</v>
      </c>
      <c r="AW462">
        <f t="shared" si="39"/>
        <v>9.3923170846247697E-2</v>
      </c>
    </row>
    <row r="463" spans="1:49" x14ac:dyDescent="0.3">
      <c r="A463" t="s">
        <v>525</v>
      </c>
      <c r="B463" t="s">
        <v>91</v>
      </c>
      <c r="C463">
        <v>1</v>
      </c>
      <c r="D463" t="s">
        <v>24</v>
      </c>
      <c r="E463">
        <v>168</v>
      </c>
      <c r="F463">
        <v>173</v>
      </c>
      <c r="G463">
        <v>195</v>
      </c>
      <c r="H463">
        <v>213</v>
      </c>
      <c r="I463">
        <v>231</v>
      </c>
      <c r="J463">
        <v>226</v>
      </c>
      <c r="K463">
        <v>238</v>
      </c>
      <c r="L463">
        <v>239</v>
      </c>
      <c r="M463">
        <v>257</v>
      </c>
      <c r="N463">
        <v>324</v>
      </c>
      <c r="O463">
        <v>366</v>
      </c>
      <c r="P463">
        <v>373</v>
      </c>
      <c r="Q463">
        <v>337</v>
      </c>
      <c r="R463">
        <v>355</v>
      </c>
      <c r="S463">
        <v>371</v>
      </c>
      <c r="T463">
        <v>371</v>
      </c>
      <c r="U463">
        <v>301</v>
      </c>
      <c r="V463">
        <v>354</v>
      </c>
      <c r="W463">
        <v>364</v>
      </c>
      <c r="X463">
        <v>159</v>
      </c>
      <c r="Y463">
        <v>178</v>
      </c>
      <c r="Z463">
        <v>169</v>
      </c>
      <c r="AA463">
        <v>175</v>
      </c>
      <c r="AB463">
        <v>200</v>
      </c>
      <c r="AC463">
        <v>232</v>
      </c>
      <c r="AD463">
        <v>199</v>
      </c>
      <c r="AE463">
        <v>236</v>
      </c>
      <c r="AF463">
        <v>256</v>
      </c>
      <c r="AG463">
        <v>307</v>
      </c>
      <c r="AH463">
        <v>327</v>
      </c>
      <c r="AI463">
        <v>350</v>
      </c>
      <c r="AJ463">
        <v>335</v>
      </c>
      <c r="AK463">
        <v>382</v>
      </c>
      <c r="AL463">
        <v>368</v>
      </c>
      <c r="AM463">
        <v>372</v>
      </c>
      <c r="AN463">
        <v>321</v>
      </c>
      <c r="AO463">
        <v>304</v>
      </c>
      <c r="AP463">
        <v>321</v>
      </c>
      <c r="AQ463">
        <v>10647</v>
      </c>
      <c r="AR463">
        <v>9.3923170846247697E-2</v>
      </c>
      <c r="AS463">
        <f t="shared" si="35"/>
        <v>0</v>
      </c>
      <c r="AT463">
        <f t="shared" si="36"/>
        <v>0</v>
      </c>
      <c r="AU463">
        <f t="shared" si="37"/>
        <v>0</v>
      </c>
      <c r="AV463">
        <f t="shared" si="38"/>
        <v>3</v>
      </c>
      <c r="AW463">
        <f t="shared" si="39"/>
        <v>9.3923170846247697E-2</v>
      </c>
    </row>
    <row r="464" spans="1:49" x14ac:dyDescent="0.3">
      <c r="A464" t="s">
        <v>526</v>
      </c>
      <c r="B464" t="s">
        <v>64</v>
      </c>
      <c r="C464">
        <v>2</v>
      </c>
      <c r="D464" t="s">
        <v>24</v>
      </c>
      <c r="E464">
        <v>121</v>
      </c>
      <c r="F464">
        <v>118</v>
      </c>
      <c r="G464">
        <v>102</v>
      </c>
      <c r="H464">
        <v>110</v>
      </c>
      <c r="I464">
        <v>113</v>
      </c>
      <c r="J464">
        <v>116</v>
      </c>
      <c r="K464">
        <v>150</v>
      </c>
      <c r="L464">
        <v>139</v>
      </c>
      <c r="M464">
        <v>140</v>
      </c>
      <c r="N464">
        <v>179</v>
      </c>
      <c r="O464">
        <v>213</v>
      </c>
      <c r="P464">
        <v>181</v>
      </c>
      <c r="Q464">
        <v>203</v>
      </c>
      <c r="R464">
        <v>211</v>
      </c>
      <c r="S464">
        <v>219</v>
      </c>
      <c r="T464">
        <v>258</v>
      </c>
      <c r="U464">
        <v>229</v>
      </c>
      <c r="V464">
        <v>232</v>
      </c>
      <c r="W464">
        <v>235</v>
      </c>
      <c r="X464">
        <v>100</v>
      </c>
      <c r="Y464">
        <v>95</v>
      </c>
      <c r="Z464">
        <v>88</v>
      </c>
      <c r="AA464">
        <v>126</v>
      </c>
      <c r="AB464">
        <v>104</v>
      </c>
      <c r="AC464">
        <v>122</v>
      </c>
      <c r="AD464">
        <v>130</v>
      </c>
      <c r="AE464">
        <v>161</v>
      </c>
      <c r="AF464">
        <v>169</v>
      </c>
      <c r="AG464">
        <v>168</v>
      </c>
      <c r="AH464">
        <v>158</v>
      </c>
      <c r="AI464">
        <v>168</v>
      </c>
      <c r="AJ464">
        <v>174</v>
      </c>
      <c r="AK464">
        <v>234</v>
      </c>
      <c r="AL464">
        <v>209</v>
      </c>
      <c r="AM464">
        <v>254</v>
      </c>
      <c r="AN464">
        <v>180</v>
      </c>
      <c r="AO464">
        <v>192</v>
      </c>
      <c r="AP464">
        <v>247</v>
      </c>
      <c r="AQ464">
        <v>6348</v>
      </c>
      <c r="AR464">
        <v>0.31505986137366099</v>
      </c>
      <c r="AS464">
        <f t="shared" si="35"/>
        <v>7.6094578198680374E-2</v>
      </c>
      <c r="AT464">
        <f t="shared" si="36"/>
        <v>6.1180040871739016E-3</v>
      </c>
      <c r="AU464">
        <f t="shared" si="37"/>
        <v>0.61180040871739017</v>
      </c>
      <c r="AV464">
        <f t="shared" si="38"/>
        <v>3</v>
      </c>
      <c r="AW464">
        <f t="shared" si="39"/>
        <v>9.3923170846247697E-2</v>
      </c>
    </row>
    <row r="465" spans="1:49" x14ac:dyDescent="0.3">
      <c r="A465" t="s">
        <v>527</v>
      </c>
      <c r="B465" t="s">
        <v>70</v>
      </c>
      <c r="C465">
        <v>1</v>
      </c>
      <c r="D465" t="s">
        <v>12</v>
      </c>
      <c r="E465">
        <v>48</v>
      </c>
      <c r="F465">
        <v>37</v>
      </c>
      <c r="G465">
        <v>27</v>
      </c>
      <c r="H465">
        <v>36</v>
      </c>
      <c r="I465">
        <v>37</v>
      </c>
      <c r="J465">
        <v>37</v>
      </c>
      <c r="K465">
        <v>49</v>
      </c>
      <c r="L465">
        <v>43</v>
      </c>
      <c r="M465">
        <v>52</v>
      </c>
      <c r="N465">
        <v>54</v>
      </c>
      <c r="O465">
        <v>79</v>
      </c>
      <c r="P465">
        <v>69</v>
      </c>
      <c r="Q465">
        <v>105</v>
      </c>
      <c r="R465">
        <v>117</v>
      </c>
      <c r="S465">
        <v>137</v>
      </c>
      <c r="T465">
        <v>139</v>
      </c>
      <c r="U465">
        <v>125</v>
      </c>
      <c r="V465">
        <v>143</v>
      </c>
      <c r="W465">
        <v>169</v>
      </c>
      <c r="X465">
        <v>41</v>
      </c>
      <c r="Y465">
        <v>26</v>
      </c>
      <c r="Z465">
        <v>39</v>
      </c>
      <c r="AA465">
        <v>28</v>
      </c>
      <c r="AB465">
        <v>34</v>
      </c>
      <c r="AC465">
        <v>27</v>
      </c>
      <c r="AD465">
        <v>48</v>
      </c>
      <c r="AE465">
        <v>36</v>
      </c>
      <c r="AF465">
        <v>52</v>
      </c>
      <c r="AG465">
        <v>45</v>
      </c>
      <c r="AH465">
        <v>74</v>
      </c>
      <c r="AI465">
        <v>55</v>
      </c>
      <c r="AJ465">
        <v>69</v>
      </c>
      <c r="AK465">
        <v>94</v>
      </c>
      <c r="AL465">
        <v>112</v>
      </c>
      <c r="AM465">
        <v>109</v>
      </c>
      <c r="AN465">
        <v>122</v>
      </c>
      <c r="AO465">
        <v>138</v>
      </c>
      <c r="AP465">
        <v>137</v>
      </c>
      <c r="AQ465">
        <v>2789</v>
      </c>
      <c r="AR465">
        <v>0.35855145213338119</v>
      </c>
      <c r="AS465">
        <f t="shared" si="35"/>
        <v>9.1060318375750959E-2</v>
      </c>
      <c r="AT465">
        <f t="shared" si="36"/>
        <v>7.3212495974103774E-3</v>
      </c>
      <c r="AU465">
        <f t="shared" si="37"/>
        <v>0.73212495974103775</v>
      </c>
      <c r="AV465">
        <f t="shared" si="38"/>
        <v>3</v>
      </c>
      <c r="AW465">
        <f t="shared" si="39"/>
        <v>9.3923170846247697E-2</v>
      </c>
    </row>
    <row r="466" spans="1:49" x14ac:dyDescent="0.3">
      <c r="A466" t="s">
        <v>528</v>
      </c>
      <c r="B466" t="s">
        <v>91</v>
      </c>
      <c r="C466">
        <v>3</v>
      </c>
      <c r="D466" t="s">
        <v>24</v>
      </c>
      <c r="E466">
        <v>3</v>
      </c>
      <c r="F466">
        <v>8</v>
      </c>
      <c r="G466">
        <v>8</v>
      </c>
      <c r="H466">
        <v>6</v>
      </c>
      <c r="I466">
        <v>12</v>
      </c>
      <c r="J466">
        <v>7</v>
      </c>
      <c r="K466">
        <v>4</v>
      </c>
      <c r="L466">
        <v>8</v>
      </c>
      <c r="M466">
        <v>15</v>
      </c>
      <c r="N466">
        <v>11</v>
      </c>
      <c r="O466">
        <v>14</v>
      </c>
      <c r="P466">
        <v>13</v>
      </c>
      <c r="Q466">
        <v>18</v>
      </c>
      <c r="R466">
        <v>20</v>
      </c>
      <c r="S466">
        <v>27</v>
      </c>
      <c r="T466">
        <v>31</v>
      </c>
      <c r="U466">
        <v>22</v>
      </c>
      <c r="V466">
        <v>20</v>
      </c>
      <c r="W466">
        <v>35</v>
      </c>
      <c r="X466">
        <v>6</v>
      </c>
      <c r="Y466">
        <v>7</v>
      </c>
      <c r="Z466">
        <v>4</v>
      </c>
      <c r="AA466">
        <v>5</v>
      </c>
      <c r="AB466">
        <v>8</v>
      </c>
      <c r="AC466">
        <v>9</v>
      </c>
      <c r="AD466">
        <v>7</v>
      </c>
      <c r="AE466">
        <v>11</v>
      </c>
      <c r="AF466">
        <v>8</v>
      </c>
      <c r="AG466">
        <v>18</v>
      </c>
      <c r="AH466">
        <v>24</v>
      </c>
      <c r="AI466">
        <v>17</v>
      </c>
      <c r="AJ466">
        <v>17</v>
      </c>
      <c r="AK466">
        <v>17</v>
      </c>
      <c r="AL466">
        <v>14</v>
      </c>
      <c r="AM466">
        <v>16</v>
      </c>
      <c r="AN466">
        <v>11</v>
      </c>
      <c r="AO466">
        <v>15</v>
      </c>
      <c r="AP466">
        <v>16</v>
      </c>
      <c r="AQ466">
        <v>512</v>
      </c>
      <c r="AR466">
        <v>3</v>
      </c>
      <c r="AS466">
        <f t="shared" si="35"/>
        <v>1</v>
      </c>
      <c r="AT466">
        <f t="shared" si="36"/>
        <v>8.0399999999999999E-2</v>
      </c>
      <c r="AU466">
        <f t="shared" si="37"/>
        <v>8.0399999999999991</v>
      </c>
      <c r="AV466">
        <f t="shared" si="38"/>
        <v>3</v>
      </c>
      <c r="AW466">
        <f t="shared" si="39"/>
        <v>9.3923170846247697E-2</v>
      </c>
    </row>
    <row r="467" spans="1:49" x14ac:dyDescent="0.3">
      <c r="A467" t="s">
        <v>529</v>
      </c>
      <c r="B467" t="s">
        <v>79</v>
      </c>
      <c r="C467">
        <v>1</v>
      </c>
      <c r="D467" t="s">
        <v>24</v>
      </c>
      <c r="E467">
        <v>49</v>
      </c>
      <c r="F467">
        <v>36</v>
      </c>
      <c r="G467">
        <v>57</v>
      </c>
      <c r="H467">
        <v>46</v>
      </c>
      <c r="I467">
        <v>72</v>
      </c>
      <c r="J467">
        <v>60</v>
      </c>
      <c r="K467">
        <v>81</v>
      </c>
      <c r="L467">
        <v>107</v>
      </c>
      <c r="M467">
        <v>114</v>
      </c>
      <c r="N467">
        <v>120</v>
      </c>
      <c r="O467">
        <v>125</v>
      </c>
      <c r="P467">
        <v>137</v>
      </c>
      <c r="Q467">
        <v>157</v>
      </c>
      <c r="R467">
        <v>154</v>
      </c>
      <c r="S467">
        <v>162</v>
      </c>
      <c r="T467">
        <v>151</v>
      </c>
      <c r="U467">
        <v>142</v>
      </c>
      <c r="V467">
        <v>150</v>
      </c>
      <c r="W467">
        <v>159</v>
      </c>
      <c r="X467">
        <v>44</v>
      </c>
      <c r="Y467">
        <v>34</v>
      </c>
      <c r="Z467">
        <v>53</v>
      </c>
      <c r="AA467">
        <v>64</v>
      </c>
      <c r="AB467">
        <v>57</v>
      </c>
      <c r="AC467">
        <v>54</v>
      </c>
      <c r="AD467">
        <v>87</v>
      </c>
      <c r="AE467">
        <v>83</v>
      </c>
      <c r="AF467">
        <v>86</v>
      </c>
      <c r="AG467">
        <v>99</v>
      </c>
      <c r="AH467">
        <v>150</v>
      </c>
      <c r="AI467">
        <v>143</v>
      </c>
      <c r="AJ467">
        <v>135</v>
      </c>
      <c r="AK467">
        <v>159</v>
      </c>
      <c r="AL467">
        <v>133</v>
      </c>
      <c r="AM467">
        <v>159</v>
      </c>
      <c r="AN467">
        <v>133</v>
      </c>
      <c r="AO467">
        <v>144</v>
      </c>
      <c r="AP467">
        <v>135</v>
      </c>
      <c r="AQ467">
        <v>4031</v>
      </c>
      <c r="AR467">
        <v>0.24807740014884641</v>
      </c>
      <c r="AS467">
        <f t="shared" si="35"/>
        <v>5.3045476209067847E-2</v>
      </c>
      <c r="AT467">
        <f t="shared" si="36"/>
        <v>4.2648562872090552E-3</v>
      </c>
      <c r="AU467">
        <f t="shared" si="37"/>
        <v>0.42648562872090551</v>
      </c>
      <c r="AV467">
        <f t="shared" si="38"/>
        <v>3</v>
      </c>
      <c r="AW467">
        <f t="shared" si="39"/>
        <v>9.3923170846247697E-2</v>
      </c>
    </row>
    <row r="468" spans="1:49" x14ac:dyDescent="0.3">
      <c r="A468" t="s">
        <v>530</v>
      </c>
      <c r="B468" t="s">
        <v>79</v>
      </c>
      <c r="C468">
        <v>1</v>
      </c>
      <c r="D468" t="s">
        <v>24</v>
      </c>
      <c r="E468">
        <v>37</v>
      </c>
      <c r="F468">
        <v>32</v>
      </c>
      <c r="G468">
        <v>20</v>
      </c>
      <c r="H468">
        <v>27</v>
      </c>
      <c r="I468">
        <v>23</v>
      </c>
      <c r="J468">
        <v>32</v>
      </c>
      <c r="K468">
        <v>31</v>
      </c>
      <c r="L468">
        <v>26</v>
      </c>
      <c r="M468">
        <v>21</v>
      </c>
      <c r="N468">
        <v>30</v>
      </c>
      <c r="O468">
        <v>35</v>
      </c>
      <c r="P468">
        <v>28</v>
      </c>
      <c r="Q468">
        <v>37</v>
      </c>
      <c r="R468">
        <v>26</v>
      </c>
      <c r="S468">
        <v>36</v>
      </c>
      <c r="T468">
        <v>26</v>
      </c>
      <c r="U468">
        <v>31</v>
      </c>
      <c r="V468">
        <v>37</v>
      </c>
      <c r="W468">
        <v>47</v>
      </c>
      <c r="X468">
        <v>43</v>
      </c>
      <c r="Y468">
        <v>30</v>
      </c>
      <c r="Z468">
        <v>31</v>
      </c>
      <c r="AA468">
        <v>25</v>
      </c>
      <c r="AB468">
        <v>24</v>
      </c>
      <c r="AC468">
        <v>29</v>
      </c>
      <c r="AD468">
        <v>27</v>
      </c>
      <c r="AE468">
        <v>27</v>
      </c>
      <c r="AF468">
        <v>20</v>
      </c>
      <c r="AG468">
        <v>32</v>
      </c>
      <c r="AH468">
        <v>32</v>
      </c>
      <c r="AI468">
        <v>30</v>
      </c>
      <c r="AJ468">
        <v>31</v>
      </c>
      <c r="AK468">
        <v>27</v>
      </c>
      <c r="AL468">
        <v>33</v>
      </c>
      <c r="AM468">
        <v>41</v>
      </c>
      <c r="AN468">
        <v>33</v>
      </c>
      <c r="AO468">
        <v>33</v>
      </c>
      <c r="AP468">
        <v>42</v>
      </c>
      <c r="AQ468">
        <v>1172</v>
      </c>
      <c r="AR468">
        <v>0.85324232081911267</v>
      </c>
      <c r="AS468">
        <f t="shared" si="35"/>
        <v>0.26128667430791158</v>
      </c>
      <c r="AT468">
        <f t="shared" si="36"/>
        <v>2.1007448614356092E-2</v>
      </c>
      <c r="AU468">
        <f t="shared" si="37"/>
        <v>2.1007448614356092</v>
      </c>
      <c r="AV468">
        <f t="shared" si="38"/>
        <v>3</v>
      </c>
      <c r="AW468">
        <f t="shared" si="39"/>
        <v>9.3923170846247697E-2</v>
      </c>
    </row>
    <row r="469" spans="1:49" x14ac:dyDescent="0.3">
      <c r="A469" t="s">
        <v>531</v>
      </c>
      <c r="B469" t="s">
        <v>79</v>
      </c>
      <c r="C469">
        <v>2</v>
      </c>
      <c r="D469" t="s">
        <v>24</v>
      </c>
      <c r="E469">
        <v>65</v>
      </c>
      <c r="F469">
        <v>51</v>
      </c>
      <c r="G469">
        <v>45</v>
      </c>
      <c r="H469">
        <v>54</v>
      </c>
      <c r="I469">
        <v>37</v>
      </c>
      <c r="J469">
        <v>51</v>
      </c>
      <c r="K469">
        <v>47</v>
      </c>
      <c r="L469">
        <v>39</v>
      </c>
      <c r="M469">
        <v>55</v>
      </c>
      <c r="N469">
        <v>60</v>
      </c>
      <c r="O469">
        <v>58</v>
      </c>
      <c r="P469">
        <v>64</v>
      </c>
      <c r="Q469">
        <v>61</v>
      </c>
      <c r="R469">
        <v>60</v>
      </c>
      <c r="S469">
        <v>78</v>
      </c>
      <c r="T469">
        <v>61</v>
      </c>
      <c r="U469">
        <v>71</v>
      </c>
      <c r="V469">
        <v>65</v>
      </c>
      <c r="W469">
        <v>77</v>
      </c>
      <c r="X469">
        <v>61</v>
      </c>
      <c r="Y469">
        <v>50</v>
      </c>
      <c r="Z469">
        <v>41</v>
      </c>
      <c r="AA469">
        <v>54</v>
      </c>
      <c r="AB469">
        <v>29</v>
      </c>
      <c r="AC469">
        <v>37</v>
      </c>
      <c r="AD469">
        <v>36</v>
      </c>
      <c r="AE469">
        <v>48</v>
      </c>
      <c r="AF469">
        <v>31</v>
      </c>
      <c r="AG469">
        <v>45</v>
      </c>
      <c r="AH469">
        <v>58</v>
      </c>
      <c r="AI469">
        <v>38</v>
      </c>
      <c r="AJ469">
        <v>43</v>
      </c>
      <c r="AK469">
        <v>59</v>
      </c>
      <c r="AL469">
        <v>60</v>
      </c>
      <c r="AM469">
        <v>61</v>
      </c>
      <c r="AN469">
        <v>60</v>
      </c>
      <c r="AO469">
        <v>66</v>
      </c>
      <c r="AP469">
        <v>79</v>
      </c>
      <c r="AQ469">
        <v>2055</v>
      </c>
      <c r="AR469">
        <v>0.97323600973236002</v>
      </c>
      <c r="AS469">
        <f t="shared" si="35"/>
        <v>0.30257728566046466</v>
      </c>
      <c r="AT469">
        <f t="shared" si="36"/>
        <v>2.4327213767101358E-2</v>
      </c>
      <c r="AU469">
        <f t="shared" si="37"/>
        <v>2.4327213767101359</v>
      </c>
      <c r="AV469">
        <f t="shared" si="38"/>
        <v>3</v>
      </c>
      <c r="AW469">
        <f t="shared" si="39"/>
        <v>9.3923170846247697E-2</v>
      </c>
    </row>
    <row r="470" spans="1:49" x14ac:dyDescent="0.3">
      <c r="A470" t="s">
        <v>532</v>
      </c>
      <c r="B470" t="s">
        <v>41</v>
      </c>
      <c r="C470">
        <v>1</v>
      </c>
      <c r="D470" t="s">
        <v>17</v>
      </c>
      <c r="E470">
        <v>6</v>
      </c>
      <c r="F470">
        <v>5</v>
      </c>
      <c r="G470">
        <v>6</v>
      </c>
      <c r="H470">
        <v>2</v>
      </c>
      <c r="I470">
        <v>3</v>
      </c>
      <c r="J470">
        <v>4</v>
      </c>
      <c r="K470">
        <v>4</v>
      </c>
      <c r="L470">
        <v>8</v>
      </c>
      <c r="M470">
        <v>4</v>
      </c>
      <c r="N470">
        <v>4</v>
      </c>
      <c r="O470">
        <v>7</v>
      </c>
      <c r="P470">
        <v>11</v>
      </c>
      <c r="Q470">
        <v>6</v>
      </c>
      <c r="R470">
        <v>8</v>
      </c>
      <c r="S470">
        <v>6</v>
      </c>
      <c r="T470">
        <v>6</v>
      </c>
      <c r="U470">
        <v>8</v>
      </c>
      <c r="V470">
        <v>4</v>
      </c>
      <c r="W470">
        <v>9</v>
      </c>
      <c r="X470">
        <v>5</v>
      </c>
      <c r="Y470">
        <v>4</v>
      </c>
      <c r="Z470">
        <v>7</v>
      </c>
      <c r="AA470">
        <v>5</v>
      </c>
      <c r="AB470">
        <v>4</v>
      </c>
      <c r="AC470">
        <v>10</v>
      </c>
      <c r="AD470">
        <v>6</v>
      </c>
      <c r="AE470">
        <v>5</v>
      </c>
      <c r="AF470">
        <v>1</v>
      </c>
      <c r="AG470">
        <v>9</v>
      </c>
      <c r="AH470">
        <v>6</v>
      </c>
      <c r="AI470">
        <v>9</v>
      </c>
      <c r="AJ470">
        <v>1</v>
      </c>
      <c r="AK470">
        <v>10</v>
      </c>
      <c r="AL470">
        <v>4</v>
      </c>
      <c r="AM470">
        <v>9</v>
      </c>
      <c r="AN470">
        <v>7</v>
      </c>
      <c r="AO470">
        <v>7</v>
      </c>
      <c r="AP470">
        <v>6</v>
      </c>
      <c r="AQ470">
        <v>226</v>
      </c>
      <c r="AR470">
        <v>3</v>
      </c>
      <c r="AS470">
        <f t="shared" si="35"/>
        <v>1</v>
      </c>
      <c r="AT470">
        <f t="shared" si="36"/>
        <v>8.0399999999999999E-2</v>
      </c>
      <c r="AU470">
        <f t="shared" si="37"/>
        <v>8.0399999999999991</v>
      </c>
      <c r="AV470">
        <f t="shared" si="38"/>
        <v>3</v>
      </c>
      <c r="AW470">
        <f t="shared" si="39"/>
        <v>9.3923170846247697E-2</v>
      </c>
    </row>
    <row r="471" spans="1:49" x14ac:dyDescent="0.3">
      <c r="A471" t="s">
        <v>533</v>
      </c>
      <c r="B471" t="s">
        <v>74</v>
      </c>
      <c r="C471">
        <v>1</v>
      </c>
      <c r="D471" t="s">
        <v>17</v>
      </c>
      <c r="E471">
        <v>159</v>
      </c>
      <c r="F471">
        <v>143</v>
      </c>
      <c r="G471">
        <v>150</v>
      </c>
      <c r="H471">
        <v>140</v>
      </c>
      <c r="I471">
        <v>171</v>
      </c>
      <c r="J471">
        <v>178</v>
      </c>
      <c r="K471">
        <v>162</v>
      </c>
      <c r="L471">
        <v>183</v>
      </c>
      <c r="M471">
        <v>165</v>
      </c>
      <c r="N471">
        <v>181</v>
      </c>
      <c r="O471">
        <v>192</v>
      </c>
      <c r="P471">
        <v>197</v>
      </c>
      <c r="Q471">
        <v>183</v>
      </c>
      <c r="R471">
        <v>218</v>
      </c>
      <c r="S471">
        <v>210</v>
      </c>
      <c r="T471">
        <v>239</v>
      </c>
      <c r="U471">
        <v>245</v>
      </c>
      <c r="V471">
        <v>223</v>
      </c>
      <c r="W471">
        <v>209</v>
      </c>
      <c r="X471">
        <v>132</v>
      </c>
      <c r="Y471">
        <v>146</v>
      </c>
      <c r="Z471">
        <v>128</v>
      </c>
      <c r="AA471">
        <v>167</v>
      </c>
      <c r="AB471">
        <v>150</v>
      </c>
      <c r="AC471">
        <v>141</v>
      </c>
      <c r="AD471">
        <v>142</v>
      </c>
      <c r="AE471">
        <v>173</v>
      </c>
      <c r="AF471">
        <v>166</v>
      </c>
      <c r="AG471">
        <v>203</v>
      </c>
      <c r="AH471">
        <v>184</v>
      </c>
      <c r="AI471">
        <v>182</v>
      </c>
      <c r="AJ471">
        <v>190</v>
      </c>
      <c r="AK471">
        <v>215</v>
      </c>
      <c r="AL471">
        <v>225</v>
      </c>
      <c r="AM471">
        <v>199</v>
      </c>
      <c r="AN471">
        <v>206</v>
      </c>
      <c r="AO471">
        <v>210</v>
      </c>
      <c r="AP471">
        <v>212</v>
      </c>
      <c r="AQ471">
        <v>6919</v>
      </c>
      <c r="AR471">
        <v>0.14452955629426209</v>
      </c>
      <c r="AS471">
        <f t="shared" si="35"/>
        <v>1.7413987455641679E-2</v>
      </c>
      <c r="AT471">
        <f t="shared" si="36"/>
        <v>1.4000845914335909E-3</v>
      </c>
      <c r="AU471">
        <f t="shared" si="37"/>
        <v>0.1400084591433591</v>
      </c>
      <c r="AV471">
        <f t="shared" si="38"/>
        <v>3</v>
      </c>
      <c r="AW471">
        <f t="shared" si="39"/>
        <v>9.3923170846247697E-2</v>
      </c>
    </row>
    <row r="472" spans="1:49" x14ac:dyDescent="0.3">
      <c r="A472" t="s">
        <v>534</v>
      </c>
      <c r="B472" t="s">
        <v>172</v>
      </c>
      <c r="C472">
        <v>3</v>
      </c>
      <c r="D472" t="s">
        <v>12</v>
      </c>
      <c r="E472">
        <v>24</v>
      </c>
      <c r="F472">
        <v>22</v>
      </c>
      <c r="G472">
        <v>24</v>
      </c>
      <c r="H472">
        <v>25</v>
      </c>
      <c r="I472">
        <v>20</v>
      </c>
      <c r="J472">
        <v>21</v>
      </c>
      <c r="K472">
        <v>21</v>
      </c>
      <c r="L472">
        <v>20</v>
      </c>
      <c r="M472">
        <v>27</v>
      </c>
      <c r="N472">
        <v>31</v>
      </c>
      <c r="O472">
        <v>33</v>
      </c>
      <c r="P472">
        <v>32</v>
      </c>
      <c r="Q472">
        <v>24</v>
      </c>
      <c r="R472">
        <v>27</v>
      </c>
      <c r="S472">
        <v>41</v>
      </c>
      <c r="T472">
        <v>41</v>
      </c>
      <c r="U472">
        <v>37</v>
      </c>
      <c r="V472">
        <v>31</v>
      </c>
      <c r="W472">
        <v>41</v>
      </c>
      <c r="X472">
        <v>25</v>
      </c>
      <c r="Y472">
        <v>35</v>
      </c>
      <c r="Z472">
        <v>15</v>
      </c>
      <c r="AA472">
        <v>20</v>
      </c>
      <c r="AB472">
        <v>15</v>
      </c>
      <c r="AC472">
        <v>27</v>
      </c>
      <c r="AD472">
        <v>23</v>
      </c>
      <c r="AE472">
        <v>24</v>
      </c>
      <c r="AF472">
        <v>26</v>
      </c>
      <c r="AG472">
        <v>32</v>
      </c>
      <c r="AH472">
        <v>37</v>
      </c>
      <c r="AI472">
        <v>25</v>
      </c>
      <c r="AJ472">
        <v>30</v>
      </c>
      <c r="AK472">
        <v>35</v>
      </c>
      <c r="AL472">
        <v>29</v>
      </c>
      <c r="AM472">
        <v>26</v>
      </c>
      <c r="AN472">
        <v>33</v>
      </c>
      <c r="AO472">
        <v>53</v>
      </c>
      <c r="AP472">
        <v>35</v>
      </c>
      <c r="AQ472">
        <v>1087</v>
      </c>
      <c r="AR472">
        <v>2.759889604415823</v>
      </c>
      <c r="AS472">
        <f t="shared" si="35"/>
        <v>0.91737644608174485</v>
      </c>
      <c r="AT472">
        <f t="shared" si="36"/>
        <v>7.375706626497229E-2</v>
      </c>
      <c r="AU472">
        <f t="shared" si="37"/>
        <v>7.3757066264972293</v>
      </c>
      <c r="AV472">
        <f t="shared" si="38"/>
        <v>3</v>
      </c>
      <c r="AW472">
        <f t="shared" si="39"/>
        <v>9.3923170846247697E-2</v>
      </c>
    </row>
    <row r="473" spans="1:49" x14ac:dyDescent="0.3">
      <c r="A473" t="s">
        <v>535</v>
      </c>
      <c r="B473" t="s">
        <v>11</v>
      </c>
      <c r="C473">
        <v>1</v>
      </c>
      <c r="D473" t="s">
        <v>12</v>
      </c>
      <c r="E473">
        <v>50</v>
      </c>
      <c r="F473">
        <v>66</v>
      </c>
      <c r="G473">
        <v>60</v>
      </c>
      <c r="H473">
        <v>68</v>
      </c>
      <c r="I473">
        <v>69</v>
      </c>
      <c r="J473">
        <v>91</v>
      </c>
      <c r="K473">
        <v>104</v>
      </c>
      <c r="L473">
        <v>149</v>
      </c>
      <c r="M473">
        <v>154</v>
      </c>
      <c r="N473">
        <v>128</v>
      </c>
      <c r="O473">
        <v>143</v>
      </c>
      <c r="P473">
        <v>129</v>
      </c>
      <c r="Q473">
        <v>131</v>
      </c>
      <c r="R473">
        <v>96</v>
      </c>
      <c r="S473">
        <v>98</v>
      </c>
      <c r="T473">
        <v>79</v>
      </c>
      <c r="U473">
        <v>72</v>
      </c>
      <c r="V473">
        <v>58</v>
      </c>
      <c r="W473">
        <v>70</v>
      </c>
      <c r="X473">
        <v>54</v>
      </c>
      <c r="Y473">
        <v>52</v>
      </c>
      <c r="Z473">
        <v>54</v>
      </c>
      <c r="AA473">
        <v>78</v>
      </c>
      <c r="AB473">
        <v>90</v>
      </c>
      <c r="AC473">
        <v>93</v>
      </c>
      <c r="AD473">
        <v>97</v>
      </c>
      <c r="AE473">
        <v>137</v>
      </c>
      <c r="AF473">
        <v>131</v>
      </c>
      <c r="AG473">
        <v>144</v>
      </c>
      <c r="AH473">
        <v>128</v>
      </c>
      <c r="AI473">
        <v>116</v>
      </c>
      <c r="AJ473">
        <v>90</v>
      </c>
      <c r="AK473">
        <v>95</v>
      </c>
      <c r="AL473">
        <v>72</v>
      </c>
      <c r="AM473">
        <v>90</v>
      </c>
      <c r="AN473">
        <v>71</v>
      </c>
      <c r="AO473">
        <v>75</v>
      </c>
      <c r="AP473">
        <v>56</v>
      </c>
      <c r="AQ473">
        <v>3538</v>
      </c>
      <c r="AR473">
        <v>0.28264556246466921</v>
      </c>
      <c r="AS473">
        <f t="shared" si="35"/>
        <v>6.4940606430345937E-2</v>
      </c>
      <c r="AT473">
        <f t="shared" si="36"/>
        <v>5.2212247569998135E-3</v>
      </c>
      <c r="AU473">
        <f t="shared" si="37"/>
        <v>0.52212247569998138</v>
      </c>
      <c r="AV473">
        <f t="shared" si="38"/>
        <v>3</v>
      </c>
      <c r="AW473">
        <f t="shared" si="39"/>
        <v>9.3923170846247697E-2</v>
      </c>
    </row>
    <row r="474" spans="1:49" x14ac:dyDescent="0.3">
      <c r="A474" t="s">
        <v>536</v>
      </c>
      <c r="B474" t="s">
        <v>116</v>
      </c>
      <c r="C474">
        <v>1</v>
      </c>
      <c r="D474" t="s">
        <v>12</v>
      </c>
      <c r="E474">
        <v>40</v>
      </c>
      <c r="F474">
        <v>52</v>
      </c>
      <c r="G474">
        <v>54</v>
      </c>
      <c r="H474">
        <v>48</v>
      </c>
      <c r="I474">
        <v>53</v>
      </c>
      <c r="J474">
        <v>51</v>
      </c>
      <c r="K474">
        <v>45</v>
      </c>
      <c r="L474">
        <v>45</v>
      </c>
      <c r="M474">
        <v>47</v>
      </c>
      <c r="N474">
        <v>58</v>
      </c>
      <c r="O474">
        <v>37</v>
      </c>
      <c r="P474">
        <v>62</v>
      </c>
      <c r="Q474">
        <v>32</v>
      </c>
      <c r="R474">
        <v>56</v>
      </c>
      <c r="S474">
        <v>56</v>
      </c>
      <c r="T474">
        <v>49</v>
      </c>
      <c r="U474">
        <v>40</v>
      </c>
      <c r="V474">
        <v>54</v>
      </c>
      <c r="W474">
        <v>69</v>
      </c>
      <c r="X474">
        <v>46</v>
      </c>
      <c r="Y474">
        <v>45</v>
      </c>
      <c r="Z474">
        <v>36</v>
      </c>
      <c r="AA474">
        <v>56</v>
      </c>
      <c r="AB474">
        <v>52</v>
      </c>
      <c r="AC474">
        <v>42</v>
      </c>
      <c r="AD474">
        <v>42</v>
      </c>
      <c r="AE474">
        <v>47</v>
      </c>
      <c r="AF474">
        <v>45</v>
      </c>
      <c r="AG474">
        <v>53</v>
      </c>
      <c r="AH474">
        <v>55</v>
      </c>
      <c r="AI474">
        <v>54</v>
      </c>
      <c r="AJ474">
        <v>55</v>
      </c>
      <c r="AK474">
        <v>43</v>
      </c>
      <c r="AL474">
        <v>45</v>
      </c>
      <c r="AM474">
        <v>58</v>
      </c>
      <c r="AN474">
        <v>52</v>
      </c>
      <c r="AO474">
        <v>56</v>
      </c>
      <c r="AP474">
        <v>65</v>
      </c>
      <c r="AQ474">
        <v>1895</v>
      </c>
      <c r="AR474">
        <v>0.52770448548812665</v>
      </c>
      <c r="AS474">
        <f t="shared" si="35"/>
        <v>0.14926698093119437</v>
      </c>
      <c r="AT474">
        <f t="shared" si="36"/>
        <v>1.2001065266868028E-2</v>
      </c>
      <c r="AU474">
        <f t="shared" si="37"/>
        <v>1.2001065266868027</v>
      </c>
      <c r="AV474">
        <f t="shared" si="38"/>
        <v>3</v>
      </c>
      <c r="AW474">
        <f t="shared" si="39"/>
        <v>9.3923170846247697E-2</v>
      </c>
    </row>
    <row r="475" spans="1:49" x14ac:dyDescent="0.3">
      <c r="A475" t="s">
        <v>537</v>
      </c>
      <c r="B475" t="s">
        <v>66</v>
      </c>
      <c r="C475">
        <v>1</v>
      </c>
      <c r="D475" t="s">
        <v>24</v>
      </c>
      <c r="E475">
        <v>55</v>
      </c>
      <c r="F475">
        <v>65</v>
      </c>
      <c r="G475">
        <v>46</v>
      </c>
      <c r="H475">
        <v>52</v>
      </c>
      <c r="I475">
        <v>46</v>
      </c>
      <c r="J475">
        <v>41</v>
      </c>
      <c r="K475">
        <v>47</v>
      </c>
      <c r="L475">
        <v>38</v>
      </c>
      <c r="M475">
        <v>42</v>
      </c>
      <c r="N475">
        <v>56</v>
      </c>
      <c r="O475">
        <v>81</v>
      </c>
      <c r="P475">
        <v>68</v>
      </c>
      <c r="Q475">
        <v>67</v>
      </c>
      <c r="R475">
        <v>62</v>
      </c>
      <c r="S475">
        <v>65</v>
      </c>
      <c r="T475">
        <v>84</v>
      </c>
      <c r="U475">
        <v>81</v>
      </c>
      <c r="V475">
        <v>96</v>
      </c>
      <c r="W475">
        <v>91</v>
      </c>
      <c r="X475">
        <v>47</v>
      </c>
      <c r="Y475">
        <v>35</v>
      </c>
      <c r="Z475">
        <v>54</v>
      </c>
      <c r="AA475">
        <v>42</v>
      </c>
      <c r="AB475">
        <v>37</v>
      </c>
      <c r="AC475">
        <v>29</v>
      </c>
      <c r="AD475">
        <v>35</v>
      </c>
      <c r="AE475">
        <v>44</v>
      </c>
      <c r="AF475">
        <v>33</v>
      </c>
      <c r="AG475">
        <v>38</v>
      </c>
      <c r="AH475">
        <v>52</v>
      </c>
      <c r="AI475">
        <v>54</v>
      </c>
      <c r="AJ475">
        <v>56</v>
      </c>
      <c r="AK475">
        <v>51</v>
      </c>
      <c r="AL475">
        <v>76</v>
      </c>
      <c r="AM475">
        <v>88</v>
      </c>
      <c r="AN475">
        <v>85</v>
      </c>
      <c r="AO475">
        <v>92</v>
      </c>
      <c r="AP475">
        <v>100</v>
      </c>
      <c r="AQ475">
        <v>2231</v>
      </c>
      <c r="AR475">
        <v>0.44822949350067232</v>
      </c>
      <c r="AS475">
        <f t="shared" si="35"/>
        <v>0.12191911758836685</v>
      </c>
      <c r="AT475">
        <f t="shared" si="36"/>
        <v>9.8022970541046944E-3</v>
      </c>
      <c r="AU475">
        <f t="shared" si="37"/>
        <v>0.98022970541046939</v>
      </c>
      <c r="AV475">
        <f t="shared" si="38"/>
        <v>3</v>
      </c>
      <c r="AW475">
        <f t="shared" si="39"/>
        <v>9.3923170846247697E-2</v>
      </c>
    </row>
    <row r="476" spans="1:49" x14ac:dyDescent="0.3">
      <c r="A476" t="s">
        <v>538</v>
      </c>
      <c r="B476" t="s">
        <v>66</v>
      </c>
      <c r="C476">
        <v>1</v>
      </c>
      <c r="D476" t="s">
        <v>24</v>
      </c>
      <c r="E476">
        <v>116</v>
      </c>
      <c r="F476">
        <v>70</v>
      </c>
      <c r="G476">
        <v>69</v>
      </c>
      <c r="H476">
        <v>81</v>
      </c>
      <c r="I476">
        <v>72</v>
      </c>
      <c r="J476">
        <v>59</v>
      </c>
      <c r="K476">
        <v>62</v>
      </c>
      <c r="L476">
        <v>63</v>
      </c>
      <c r="M476">
        <v>81</v>
      </c>
      <c r="N476">
        <v>100</v>
      </c>
      <c r="O476">
        <v>96</v>
      </c>
      <c r="P476">
        <v>81</v>
      </c>
      <c r="Q476">
        <v>92</v>
      </c>
      <c r="R476">
        <v>105</v>
      </c>
      <c r="S476">
        <v>116</v>
      </c>
      <c r="T476">
        <v>94</v>
      </c>
      <c r="U476">
        <v>119</v>
      </c>
      <c r="V476">
        <v>114</v>
      </c>
      <c r="W476">
        <v>118</v>
      </c>
      <c r="X476">
        <v>86</v>
      </c>
      <c r="Y476">
        <v>94</v>
      </c>
      <c r="Z476">
        <v>60</v>
      </c>
      <c r="AA476">
        <v>80</v>
      </c>
      <c r="AB476">
        <v>68</v>
      </c>
      <c r="AC476">
        <v>70</v>
      </c>
      <c r="AD476">
        <v>70</v>
      </c>
      <c r="AE476">
        <v>78</v>
      </c>
      <c r="AF476">
        <v>66</v>
      </c>
      <c r="AG476">
        <v>100</v>
      </c>
      <c r="AH476">
        <v>79</v>
      </c>
      <c r="AI476">
        <v>91</v>
      </c>
      <c r="AJ476">
        <v>92</v>
      </c>
      <c r="AK476">
        <v>105</v>
      </c>
      <c r="AL476">
        <v>107</v>
      </c>
      <c r="AM476">
        <v>120</v>
      </c>
      <c r="AN476">
        <v>89</v>
      </c>
      <c r="AO476">
        <v>124</v>
      </c>
      <c r="AP476">
        <v>123</v>
      </c>
      <c r="AQ476">
        <v>3410</v>
      </c>
      <c r="AR476">
        <v>0.2932551319648094</v>
      </c>
      <c r="AS476">
        <f t="shared" si="35"/>
        <v>6.8591428526205561E-2</v>
      </c>
      <c r="AT476">
        <f t="shared" si="36"/>
        <v>5.5147508535069271E-3</v>
      </c>
      <c r="AU476">
        <f t="shared" si="37"/>
        <v>0.55147508535069267</v>
      </c>
      <c r="AV476">
        <f t="shared" si="38"/>
        <v>3</v>
      </c>
      <c r="AW476">
        <f t="shared" si="39"/>
        <v>9.3923170846247697E-2</v>
      </c>
    </row>
    <row r="477" spans="1:49" x14ac:dyDescent="0.3">
      <c r="A477" t="s">
        <v>539</v>
      </c>
      <c r="B477" t="s">
        <v>66</v>
      </c>
      <c r="C477">
        <v>1</v>
      </c>
      <c r="D477" t="s">
        <v>24</v>
      </c>
      <c r="E477">
        <v>27</v>
      </c>
      <c r="F477">
        <v>19</v>
      </c>
      <c r="G477">
        <v>14</v>
      </c>
      <c r="H477">
        <v>23</v>
      </c>
      <c r="I477">
        <v>23</v>
      </c>
      <c r="J477">
        <v>38</v>
      </c>
      <c r="K477">
        <v>28</v>
      </c>
      <c r="L477">
        <v>34</v>
      </c>
      <c r="M477">
        <v>28</v>
      </c>
      <c r="N477">
        <v>40</v>
      </c>
      <c r="O477">
        <v>56</v>
      </c>
      <c r="P477">
        <v>53</v>
      </c>
      <c r="Q477">
        <v>51</v>
      </c>
      <c r="R477">
        <v>68</v>
      </c>
      <c r="S477">
        <v>89</v>
      </c>
      <c r="T477">
        <v>98</v>
      </c>
      <c r="U477">
        <v>86</v>
      </c>
      <c r="V477">
        <v>101</v>
      </c>
      <c r="W477">
        <v>104</v>
      </c>
      <c r="X477">
        <v>16</v>
      </c>
      <c r="Y477">
        <v>15</v>
      </c>
      <c r="Z477">
        <v>16</v>
      </c>
      <c r="AA477">
        <v>19</v>
      </c>
      <c r="AB477">
        <v>21</v>
      </c>
      <c r="AC477">
        <v>18</v>
      </c>
      <c r="AD477">
        <v>34</v>
      </c>
      <c r="AE477">
        <v>26</v>
      </c>
      <c r="AF477">
        <v>29</v>
      </c>
      <c r="AG477">
        <v>43</v>
      </c>
      <c r="AH477">
        <v>42</v>
      </c>
      <c r="AI477">
        <v>50</v>
      </c>
      <c r="AJ477">
        <v>68</v>
      </c>
      <c r="AK477">
        <v>72</v>
      </c>
      <c r="AL477">
        <v>75</v>
      </c>
      <c r="AM477">
        <v>82</v>
      </c>
      <c r="AN477">
        <v>93</v>
      </c>
      <c r="AO477">
        <v>89</v>
      </c>
      <c r="AP477">
        <v>99</v>
      </c>
      <c r="AQ477">
        <v>1887</v>
      </c>
      <c r="AR477">
        <v>0.52994170641229466</v>
      </c>
      <c r="AS477">
        <f t="shared" si="35"/>
        <v>0.15003682324978837</v>
      </c>
      <c r="AT477">
        <f t="shared" si="36"/>
        <v>1.2062960589282985E-2</v>
      </c>
      <c r="AU477">
        <f t="shared" si="37"/>
        <v>1.2062960589282985</v>
      </c>
      <c r="AV477">
        <f t="shared" si="38"/>
        <v>3</v>
      </c>
      <c r="AW477">
        <f t="shared" si="39"/>
        <v>9.3923170846247697E-2</v>
      </c>
    </row>
    <row r="478" spans="1:49" x14ac:dyDescent="0.3">
      <c r="A478" t="s">
        <v>540</v>
      </c>
      <c r="B478" t="s">
        <v>124</v>
      </c>
      <c r="C478">
        <v>2</v>
      </c>
      <c r="D478" t="s">
        <v>12</v>
      </c>
      <c r="E478">
        <v>43</v>
      </c>
      <c r="F478">
        <v>36</v>
      </c>
      <c r="G478">
        <v>25</v>
      </c>
      <c r="H478">
        <v>30</v>
      </c>
      <c r="I478">
        <v>31</v>
      </c>
      <c r="J478">
        <v>40</v>
      </c>
      <c r="K478">
        <v>33</v>
      </c>
      <c r="L478">
        <v>38</v>
      </c>
      <c r="M478">
        <v>38</v>
      </c>
      <c r="N478">
        <v>29</v>
      </c>
      <c r="O478">
        <v>48</v>
      </c>
      <c r="P478">
        <v>60</v>
      </c>
      <c r="Q478">
        <v>45</v>
      </c>
      <c r="R478">
        <v>50</v>
      </c>
      <c r="S478">
        <v>62</v>
      </c>
      <c r="T478">
        <v>44</v>
      </c>
      <c r="U478">
        <v>61</v>
      </c>
      <c r="V478">
        <v>50</v>
      </c>
      <c r="W478">
        <v>87</v>
      </c>
      <c r="X478">
        <v>34</v>
      </c>
      <c r="Y478">
        <v>33</v>
      </c>
      <c r="Z478">
        <v>31</v>
      </c>
      <c r="AA478">
        <v>30</v>
      </c>
      <c r="AB478">
        <v>27</v>
      </c>
      <c r="AC478">
        <v>33</v>
      </c>
      <c r="AD478">
        <v>29</v>
      </c>
      <c r="AE478">
        <v>34</v>
      </c>
      <c r="AF478">
        <v>41</v>
      </c>
      <c r="AG478">
        <v>62</v>
      </c>
      <c r="AH478">
        <v>50</v>
      </c>
      <c r="AI478">
        <v>36</v>
      </c>
      <c r="AJ478">
        <v>38</v>
      </c>
      <c r="AK478">
        <v>54</v>
      </c>
      <c r="AL478">
        <v>60</v>
      </c>
      <c r="AM478">
        <v>56</v>
      </c>
      <c r="AN478">
        <v>44</v>
      </c>
      <c r="AO478">
        <v>72</v>
      </c>
      <c r="AP478">
        <v>84</v>
      </c>
      <c r="AQ478">
        <v>1698</v>
      </c>
      <c r="AR478">
        <v>1.1778563015312129</v>
      </c>
      <c r="AS478">
        <f t="shared" si="35"/>
        <v>0.37298846328182095</v>
      </c>
      <c r="AT478">
        <f t="shared" si="36"/>
        <v>2.9988272447858403E-2</v>
      </c>
      <c r="AU478">
        <f t="shared" si="37"/>
        <v>2.9988272447858404</v>
      </c>
      <c r="AV478">
        <f t="shared" si="38"/>
        <v>3</v>
      </c>
      <c r="AW478">
        <f t="shared" si="39"/>
        <v>9.3923170846247697E-2</v>
      </c>
    </row>
    <row r="479" spans="1:49" x14ac:dyDescent="0.3">
      <c r="A479" t="s">
        <v>541</v>
      </c>
      <c r="B479" t="s">
        <v>66</v>
      </c>
      <c r="C479">
        <v>2</v>
      </c>
      <c r="D479" t="s">
        <v>24</v>
      </c>
      <c r="E479">
        <v>18</v>
      </c>
      <c r="F479">
        <v>13</v>
      </c>
      <c r="G479">
        <v>15</v>
      </c>
      <c r="H479">
        <v>11</v>
      </c>
      <c r="I479">
        <v>17</v>
      </c>
      <c r="J479">
        <v>16</v>
      </c>
      <c r="K479">
        <v>17</v>
      </c>
      <c r="L479">
        <v>22</v>
      </c>
      <c r="M479">
        <v>19</v>
      </c>
      <c r="N479">
        <v>15</v>
      </c>
      <c r="O479">
        <v>22</v>
      </c>
      <c r="P479">
        <v>27</v>
      </c>
      <c r="Q479">
        <v>33</v>
      </c>
      <c r="R479">
        <v>26</v>
      </c>
      <c r="S479">
        <v>32</v>
      </c>
      <c r="T479">
        <v>29</v>
      </c>
      <c r="U479">
        <v>25</v>
      </c>
      <c r="V479">
        <v>39</v>
      </c>
      <c r="W479">
        <v>41</v>
      </c>
      <c r="X479">
        <v>14</v>
      </c>
      <c r="Y479">
        <v>13</v>
      </c>
      <c r="Z479">
        <v>8</v>
      </c>
      <c r="AA479">
        <v>14</v>
      </c>
      <c r="AB479">
        <v>18</v>
      </c>
      <c r="AC479">
        <v>11</v>
      </c>
      <c r="AD479">
        <v>13</v>
      </c>
      <c r="AE479">
        <v>13</v>
      </c>
      <c r="AF479">
        <v>11</v>
      </c>
      <c r="AG479">
        <v>21</v>
      </c>
      <c r="AH479">
        <v>20</v>
      </c>
      <c r="AI479">
        <v>27</v>
      </c>
      <c r="AJ479">
        <v>19</v>
      </c>
      <c r="AK479">
        <v>20</v>
      </c>
      <c r="AL479">
        <v>29</v>
      </c>
      <c r="AM479">
        <v>31</v>
      </c>
      <c r="AN479">
        <v>27</v>
      </c>
      <c r="AO479">
        <v>37</v>
      </c>
      <c r="AP479">
        <v>30</v>
      </c>
      <c r="AQ479">
        <v>813</v>
      </c>
      <c r="AR479">
        <v>2.460024600246002</v>
      </c>
      <c r="AS479">
        <f t="shared" si="35"/>
        <v>0.81419094143108439</v>
      </c>
      <c r="AT479">
        <f t="shared" si="36"/>
        <v>6.5460951691059185E-2</v>
      </c>
      <c r="AU479">
        <f t="shared" si="37"/>
        <v>6.5460951691059188</v>
      </c>
      <c r="AV479">
        <f t="shared" si="38"/>
        <v>3</v>
      </c>
      <c r="AW479">
        <f t="shared" si="39"/>
        <v>9.3923170846247697E-2</v>
      </c>
    </row>
    <row r="480" spans="1:49" x14ac:dyDescent="0.3">
      <c r="A480" t="s">
        <v>542</v>
      </c>
      <c r="B480" t="s">
        <v>77</v>
      </c>
      <c r="C480">
        <v>1</v>
      </c>
      <c r="D480" t="s">
        <v>24</v>
      </c>
      <c r="E480">
        <v>164</v>
      </c>
      <c r="F480">
        <v>167</v>
      </c>
      <c r="G480">
        <v>151</v>
      </c>
      <c r="H480">
        <v>152</v>
      </c>
      <c r="I480">
        <v>145</v>
      </c>
      <c r="J480">
        <v>137</v>
      </c>
      <c r="K480">
        <v>141</v>
      </c>
      <c r="L480">
        <v>189</v>
      </c>
      <c r="M480">
        <v>188</v>
      </c>
      <c r="N480">
        <v>206</v>
      </c>
      <c r="O480">
        <v>225</v>
      </c>
      <c r="P480">
        <v>195</v>
      </c>
      <c r="Q480">
        <v>189</v>
      </c>
      <c r="R480">
        <v>178</v>
      </c>
      <c r="S480">
        <v>163</v>
      </c>
      <c r="T480">
        <v>158</v>
      </c>
      <c r="U480">
        <v>136</v>
      </c>
      <c r="V480">
        <v>120</v>
      </c>
      <c r="W480">
        <v>126</v>
      </c>
      <c r="X480">
        <v>149</v>
      </c>
      <c r="Y480">
        <v>164</v>
      </c>
      <c r="Z480">
        <v>129</v>
      </c>
      <c r="AA480">
        <v>146</v>
      </c>
      <c r="AB480">
        <v>142</v>
      </c>
      <c r="AC480">
        <v>160</v>
      </c>
      <c r="AD480">
        <v>161</v>
      </c>
      <c r="AE480">
        <v>176</v>
      </c>
      <c r="AF480">
        <v>182</v>
      </c>
      <c r="AG480">
        <v>182</v>
      </c>
      <c r="AH480">
        <v>222</v>
      </c>
      <c r="AI480">
        <v>175</v>
      </c>
      <c r="AJ480">
        <v>184</v>
      </c>
      <c r="AK480">
        <v>175</v>
      </c>
      <c r="AL480">
        <v>138</v>
      </c>
      <c r="AM480">
        <v>115</v>
      </c>
      <c r="AN480">
        <v>106</v>
      </c>
      <c r="AO480">
        <v>132</v>
      </c>
      <c r="AP480">
        <v>111</v>
      </c>
      <c r="AQ480">
        <v>6079</v>
      </c>
      <c r="AR480">
        <v>0.16450074025333111</v>
      </c>
      <c r="AS480">
        <f t="shared" si="35"/>
        <v>2.4286202174371128E-2</v>
      </c>
      <c r="AT480">
        <f t="shared" si="36"/>
        <v>1.9526106548194387E-3</v>
      </c>
      <c r="AU480">
        <f t="shared" si="37"/>
        <v>0.19526106548194389</v>
      </c>
      <c r="AV480">
        <f t="shared" si="38"/>
        <v>3</v>
      </c>
      <c r="AW480">
        <f t="shared" si="39"/>
        <v>9.3923170846247697E-2</v>
      </c>
    </row>
    <row r="481" spans="1:49" x14ac:dyDescent="0.3">
      <c r="A481" t="s">
        <v>543</v>
      </c>
      <c r="B481" t="s">
        <v>77</v>
      </c>
      <c r="C481">
        <v>1</v>
      </c>
      <c r="D481" t="s">
        <v>24</v>
      </c>
      <c r="E481">
        <v>130</v>
      </c>
      <c r="F481">
        <v>124</v>
      </c>
      <c r="G481">
        <v>108</v>
      </c>
      <c r="H481">
        <v>106</v>
      </c>
      <c r="I481">
        <v>106</v>
      </c>
      <c r="J481">
        <v>96</v>
      </c>
      <c r="K481">
        <v>84</v>
      </c>
      <c r="L481">
        <v>90</v>
      </c>
      <c r="M481">
        <v>84</v>
      </c>
      <c r="N481">
        <v>91</v>
      </c>
      <c r="O481">
        <v>105</v>
      </c>
      <c r="P481">
        <v>109</v>
      </c>
      <c r="Q481">
        <v>102</v>
      </c>
      <c r="R481">
        <v>140</v>
      </c>
      <c r="S481">
        <v>132</v>
      </c>
      <c r="T481">
        <v>135</v>
      </c>
      <c r="U481">
        <v>143</v>
      </c>
      <c r="V481">
        <v>126</v>
      </c>
      <c r="W481">
        <v>137</v>
      </c>
      <c r="X481">
        <v>103</v>
      </c>
      <c r="Y481">
        <v>99</v>
      </c>
      <c r="Z481">
        <v>86</v>
      </c>
      <c r="AA481">
        <v>95</v>
      </c>
      <c r="AB481">
        <v>96</v>
      </c>
      <c r="AC481">
        <v>96</v>
      </c>
      <c r="AD481">
        <v>96</v>
      </c>
      <c r="AE481">
        <v>90</v>
      </c>
      <c r="AF481">
        <v>93</v>
      </c>
      <c r="AG481">
        <v>117</v>
      </c>
      <c r="AH481">
        <v>115</v>
      </c>
      <c r="AI481">
        <v>119</v>
      </c>
      <c r="AJ481">
        <v>89</v>
      </c>
      <c r="AK481">
        <v>142</v>
      </c>
      <c r="AL481">
        <v>135</v>
      </c>
      <c r="AM481">
        <v>143</v>
      </c>
      <c r="AN481">
        <v>123</v>
      </c>
      <c r="AO481">
        <v>112</v>
      </c>
      <c r="AP481">
        <v>147</v>
      </c>
      <c r="AQ481">
        <v>4244</v>
      </c>
      <c r="AR481">
        <v>0.23562676720075401</v>
      </c>
      <c r="AS481">
        <f t="shared" si="35"/>
        <v>4.8761132167235335E-2</v>
      </c>
      <c r="AT481">
        <f t="shared" si="36"/>
        <v>3.920395026245721E-3</v>
      </c>
      <c r="AU481">
        <f t="shared" si="37"/>
        <v>0.3920395026245721</v>
      </c>
      <c r="AV481">
        <f t="shared" si="38"/>
        <v>3</v>
      </c>
      <c r="AW481">
        <f t="shared" si="39"/>
        <v>9.3923170846247697E-2</v>
      </c>
    </row>
    <row r="482" spans="1:49" x14ac:dyDescent="0.3">
      <c r="A482" t="s">
        <v>544</v>
      </c>
      <c r="B482" t="s">
        <v>77</v>
      </c>
      <c r="C482">
        <v>3</v>
      </c>
      <c r="D482" t="s">
        <v>24</v>
      </c>
      <c r="E482">
        <v>103</v>
      </c>
      <c r="F482">
        <v>96</v>
      </c>
      <c r="G482">
        <v>64</v>
      </c>
      <c r="H482">
        <v>96</v>
      </c>
      <c r="I482">
        <v>68</v>
      </c>
      <c r="J482">
        <v>86</v>
      </c>
      <c r="K482">
        <v>56</v>
      </c>
      <c r="L482">
        <v>95</v>
      </c>
      <c r="M482">
        <v>78</v>
      </c>
      <c r="N482">
        <v>88</v>
      </c>
      <c r="O482">
        <v>90</v>
      </c>
      <c r="P482">
        <v>83</v>
      </c>
      <c r="Q482">
        <v>99</v>
      </c>
      <c r="R482">
        <v>90</v>
      </c>
      <c r="S482">
        <v>97</v>
      </c>
      <c r="T482">
        <v>106</v>
      </c>
      <c r="U482">
        <v>94</v>
      </c>
      <c r="V482">
        <v>109</v>
      </c>
      <c r="W482">
        <v>106</v>
      </c>
      <c r="X482">
        <v>110</v>
      </c>
      <c r="Y482">
        <v>95</v>
      </c>
      <c r="Z482">
        <v>82</v>
      </c>
      <c r="AA482">
        <v>85</v>
      </c>
      <c r="AB482">
        <v>75</v>
      </c>
      <c r="AC482">
        <v>63</v>
      </c>
      <c r="AD482">
        <v>78</v>
      </c>
      <c r="AE482">
        <v>64</v>
      </c>
      <c r="AF482">
        <v>89</v>
      </c>
      <c r="AG482">
        <v>87</v>
      </c>
      <c r="AH482">
        <v>112</v>
      </c>
      <c r="AI482">
        <v>83</v>
      </c>
      <c r="AJ482">
        <v>75</v>
      </c>
      <c r="AK482">
        <v>95</v>
      </c>
      <c r="AL482">
        <v>87</v>
      </c>
      <c r="AM482">
        <v>97</v>
      </c>
      <c r="AN482">
        <v>100</v>
      </c>
      <c r="AO482">
        <v>95</v>
      </c>
      <c r="AP482">
        <v>103</v>
      </c>
      <c r="AQ482">
        <v>3379</v>
      </c>
      <c r="AR482">
        <v>0.88783663805859725</v>
      </c>
      <c r="AS482">
        <f t="shared" si="35"/>
        <v>0.27319080460909101</v>
      </c>
      <c r="AT482">
        <f t="shared" si="36"/>
        <v>2.1964540690570918E-2</v>
      </c>
      <c r="AU482">
        <f t="shared" si="37"/>
        <v>2.1964540690570917</v>
      </c>
      <c r="AV482">
        <f t="shared" si="38"/>
        <v>3</v>
      </c>
      <c r="AW482">
        <f t="shared" si="39"/>
        <v>9.3923170846247697E-2</v>
      </c>
    </row>
    <row r="483" spans="1:49" x14ac:dyDescent="0.3">
      <c r="A483" t="s">
        <v>545</v>
      </c>
      <c r="B483" t="s">
        <v>109</v>
      </c>
      <c r="C483">
        <v>4</v>
      </c>
      <c r="D483" t="s">
        <v>24</v>
      </c>
      <c r="E483">
        <v>128</v>
      </c>
      <c r="F483">
        <v>127</v>
      </c>
      <c r="G483">
        <v>147</v>
      </c>
      <c r="H483">
        <v>167</v>
      </c>
      <c r="I483">
        <v>173</v>
      </c>
      <c r="J483">
        <v>213</v>
      </c>
      <c r="K483">
        <v>213</v>
      </c>
      <c r="L483">
        <v>246</v>
      </c>
      <c r="M483">
        <v>286</v>
      </c>
      <c r="N483">
        <v>312</v>
      </c>
      <c r="O483">
        <v>343</v>
      </c>
      <c r="P483">
        <v>383</v>
      </c>
      <c r="Q483">
        <v>306</v>
      </c>
      <c r="R483">
        <v>387</v>
      </c>
      <c r="S483">
        <v>376</v>
      </c>
      <c r="T483">
        <v>340</v>
      </c>
      <c r="U483">
        <v>362</v>
      </c>
      <c r="V483">
        <v>378</v>
      </c>
      <c r="W483">
        <v>396</v>
      </c>
      <c r="X483">
        <v>146</v>
      </c>
      <c r="Y483">
        <v>146</v>
      </c>
      <c r="Z483">
        <v>134</v>
      </c>
      <c r="AA483">
        <v>158</v>
      </c>
      <c r="AB483">
        <v>144</v>
      </c>
      <c r="AC483">
        <v>177</v>
      </c>
      <c r="AD483">
        <v>198</v>
      </c>
      <c r="AE483">
        <v>243</v>
      </c>
      <c r="AF483">
        <v>234</v>
      </c>
      <c r="AG483">
        <v>305</v>
      </c>
      <c r="AH483">
        <v>308</v>
      </c>
      <c r="AI483">
        <v>322</v>
      </c>
      <c r="AJ483">
        <v>322</v>
      </c>
      <c r="AK483">
        <v>374</v>
      </c>
      <c r="AL483">
        <v>369</v>
      </c>
      <c r="AM483">
        <v>348</v>
      </c>
      <c r="AN483">
        <v>325</v>
      </c>
      <c r="AO483">
        <v>347</v>
      </c>
      <c r="AP483">
        <v>357</v>
      </c>
      <c r="AQ483">
        <v>10240</v>
      </c>
      <c r="AR483">
        <v>0.390625</v>
      </c>
      <c r="AS483">
        <f t="shared" si="35"/>
        <v>0.10209703548689443</v>
      </c>
      <c r="AT483">
        <f t="shared" si="36"/>
        <v>8.2086016531463125E-3</v>
      </c>
      <c r="AU483">
        <f t="shared" si="37"/>
        <v>0.82086016531463124</v>
      </c>
      <c r="AV483">
        <f t="shared" si="38"/>
        <v>3</v>
      </c>
      <c r="AW483">
        <f t="shared" si="39"/>
        <v>9.3923170846247697E-2</v>
      </c>
    </row>
    <row r="484" spans="1:49" x14ac:dyDescent="0.3">
      <c r="A484" t="s">
        <v>546</v>
      </c>
      <c r="B484" t="s">
        <v>127</v>
      </c>
      <c r="C484">
        <v>1</v>
      </c>
      <c r="D484" t="s">
        <v>12</v>
      </c>
      <c r="E484">
        <v>37</v>
      </c>
      <c r="F484">
        <v>31</v>
      </c>
      <c r="G484">
        <v>39</v>
      </c>
      <c r="H484">
        <v>26</v>
      </c>
      <c r="I484">
        <v>32</v>
      </c>
      <c r="J484">
        <v>21</v>
      </c>
      <c r="K484">
        <v>29</v>
      </c>
      <c r="L484">
        <v>28</v>
      </c>
      <c r="M484">
        <v>39</v>
      </c>
      <c r="N484">
        <v>27</v>
      </c>
      <c r="O484">
        <v>29</v>
      </c>
      <c r="P484">
        <v>38</v>
      </c>
      <c r="Q484">
        <v>31</v>
      </c>
      <c r="R484">
        <v>34</v>
      </c>
      <c r="S484">
        <v>38</v>
      </c>
      <c r="T484">
        <v>43</v>
      </c>
      <c r="U484">
        <v>32</v>
      </c>
      <c r="V484">
        <v>43</v>
      </c>
      <c r="W484">
        <v>37</v>
      </c>
      <c r="X484">
        <v>33</v>
      </c>
      <c r="Y484">
        <v>28</v>
      </c>
      <c r="Z484">
        <v>37</v>
      </c>
      <c r="AA484">
        <v>30</v>
      </c>
      <c r="AB484">
        <v>23</v>
      </c>
      <c r="AC484">
        <v>22</v>
      </c>
      <c r="AD484">
        <v>20</v>
      </c>
      <c r="AE484">
        <v>24</v>
      </c>
      <c r="AF484">
        <v>25</v>
      </c>
      <c r="AG484">
        <v>30</v>
      </c>
      <c r="AH484">
        <v>24</v>
      </c>
      <c r="AI484">
        <v>33</v>
      </c>
      <c r="AJ484">
        <v>37</v>
      </c>
      <c r="AK484">
        <v>34</v>
      </c>
      <c r="AL484">
        <v>35</v>
      </c>
      <c r="AM484">
        <v>31</v>
      </c>
      <c r="AN484">
        <v>35</v>
      </c>
      <c r="AO484">
        <v>49</v>
      </c>
      <c r="AP484">
        <v>44</v>
      </c>
      <c r="AQ484">
        <v>1228</v>
      </c>
      <c r="AR484">
        <v>0.81433224755700329</v>
      </c>
      <c r="AS484">
        <f t="shared" si="35"/>
        <v>0.2478974641976476</v>
      </c>
      <c r="AT484">
        <f t="shared" si="36"/>
        <v>1.9930956121490866E-2</v>
      </c>
      <c r="AU484">
        <f t="shared" si="37"/>
        <v>1.9930956121490866</v>
      </c>
      <c r="AV484">
        <f t="shared" si="38"/>
        <v>3</v>
      </c>
      <c r="AW484">
        <f t="shared" si="39"/>
        <v>9.3923170846247697E-2</v>
      </c>
    </row>
    <row r="485" spans="1:49" x14ac:dyDescent="0.3">
      <c r="A485" t="s">
        <v>547</v>
      </c>
      <c r="B485" t="s">
        <v>72</v>
      </c>
      <c r="C485">
        <v>2</v>
      </c>
      <c r="D485" t="s">
        <v>12</v>
      </c>
      <c r="E485">
        <v>107</v>
      </c>
      <c r="F485">
        <v>79</v>
      </c>
      <c r="G485">
        <v>58</v>
      </c>
      <c r="H485">
        <v>69</v>
      </c>
      <c r="I485">
        <v>62</v>
      </c>
      <c r="J485">
        <v>75</v>
      </c>
      <c r="K485">
        <v>93</v>
      </c>
      <c r="L485">
        <v>84</v>
      </c>
      <c r="M485">
        <v>95</v>
      </c>
      <c r="N485">
        <v>92</v>
      </c>
      <c r="O485">
        <v>114</v>
      </c>
      <c r="P485">
        <v>81</v>
      </c>
      <c r="Q485">
        <v>95</v>
      </c>
      <c r="R485">
        <v>128</v>
      </c>
      <c r="S485">
        <v>98</v>
      </c>
      <c r="T485">
        <v>117</v>
      </c>
      <c r="U485">
        <v>88</v>
      </c>
      <c r="V485">
        <v>103</v>
      </c>
      <c r="W485">
        <v>126</v>
      </c>
      <c r="X485">
        <v>94</v>
      </c>
      <c r="Y485">
        <v>78</v>
      </c>
      <c r="Z485">
        <v>52</v>
      </c>
      <c r="AA485">
        <v>71</v>
      </c>
      <c r="AB485">
        <v>57</v>
      </c>
      <c r="AC485">
        <v>70</v>
      </c>
      <c r="AD485">
        <v>75</v>
      </c>
      <c r="AE485">
        <v>91</v>
      </c>
      <c r="AF485">
        <v>83</v>
      </c>
      <c r="AG485">
        <v>107</v>
      </c>
      <c r="AH485">
        <v>102</v>
      </c>
      <c r="AI485">
        <v>94</v>
      </c>
      <c r="AJ485">
        <v>79</v>
      </c>
      <c r="AK485">
        <v>95</v>
      </c>
      <c r="AL485">
        <v>98</v>
      </c>
      <c r="AM485">
        <v>104</v>
      </c>
      <c r="AN485">
        <v>114</v>
      </c>
      <c r="AO485">
        <v>112</v>
      </c>
      <c r="AP485">
        <v>140</v>
      </c>
      <c r="AQ485">
        <v>3480</v>
      </c>
      <c r="AR485">
        <v>0.57471264367816088</v>
      </c>
      <c r="AS485">
        <f t="shared" si="35"/>
        <v>0.16544279490777219</v>
      </c>
      <c r="AT485">
        <f t="shared" si="36"/>
        <v>1.3301600710584885E-2</v>
      </c>
      <c r="AU485">
        <f t="shared" si="37"/>
        <v>1.3301600710584884</v>
      </c>
      <c r="AV485">
        <f t="shared" si="38"/>
        <v>3</v>
      </c>
      <c r="AW485">
        <f t="shared" si="39"/>
        <v>9.3923170846247697E-2</v>
      </c>
    </row>
    <row r="486" spans="1:49" x14ac:dyDescent="0.3">
      <c r="A486" t="s">
        <v>548</v>
      </c>
      <c r="B486" t="s">
        <v>72</v>
      </c>
      <c r="C486">
        <v>1</v>
      </c>
      <c r="D486" t="s">
        <v>12</v>
      </c>
      <c r="E486">
        <v>36</v>
      </c>
      <c r="F486">
        <v>22</v>
      </c>
      <c r="G486">
        <v>24</v>
      </c>
      <c r="H486">
        <v>32</v>
      </c>
      <c r="I486">
        <v>23</v>
      </c>
      <c r="J486">
        <v>37</v>
      </c>
      <c r="K486">
        <v>18</v>
      </c>
      <c r="L486">
        <v>47</v>
      </c>
      <c r="M486">
        <v>49</v>
      </c>
      <c r="N486">
        <v>45</v>
      </c>
      <c r="O486">
        <v>43</v>
      </c>
      <c r="P486">
        <v>60</v>
      </c>
      <c r="Q486">
        <v>36</v>
      </c>
      <c r="R486">
        <v>64</v>
      </c>
      <c r="S486">
        <v>73</v>
      </c>
      <c r="T486">
        <v>65</v>
      </c>
      <c r="U486">
        <v>58</v>
      </c>
      <c r="V486">
        <v>74</v>
      </c>
      <c r="W486">
        <v>67</v>
      </c>
      <c r="X486">
        <v>24</v>
      </c>
      <c r="Y486">
        <v>30</v>
      </c>
      <c r="Z486">
        <v>19</v>
      </c>
      <c r="AA486">
        <v>26</v>
      </c>
      <c r="AB486">
        <v>28</v>
      </c>
      <c r="AC486">
        <v>29</v>
      </c>
      <c r="AD486">
        <v>39</v>
      </c>
      <c r="AE486">
        <v>33</v>
      </c>
      <c r="AF486">
        <v>28</v>
      </c>
      <c r="AG486">
        <v>28</v>
      </c>
      <c r="AH486">
        <v>45</v>
      </c>
      <c r="AI486">
        <v>44</v>
      </c>
      <c r="AJ486">
        <v>37</v>
      </c>
      <c r="AK486">
        <v>66</v>
      </c>
      <c r="AL486">
        <v>63</v>
      </c>
      <c r="AM486">
        <v>46</v>
      </c>
      <c r="AN486">
        <v>47</v>
      </c>
      <c r="AO486">
        <v>64</v>
      </c>
      <c r="AP486">
        <v>70</v>
      </c>
      <c r="AQ486">
        <v>1639</v>
      </c>
      <c r="AR486">
        <v>0.61012812690665041</v>
      </c>
      <c r="AS486">
        <f t="shared" si="35"/>
        <v>0.17762949378414103</v>
      </c>
      <c r="AT486">
        <f t="shared" si="36"/>
        <v>1.4281411300244939E-2</v>
      </c>
      <c r="AU486">
        <f t="shared" si="37"/>
        <v>1.4281411300244939</v>
      </c>
      <c r="AV486">
        <f t="shared" si="38"/>
        <v>3</v>
      </c>
      <c r="AW486">
        <f t="shared" si="39"/>
        <v>9.3923170846247697E-2</v>
      </c>
    </row>
    <row r="487" spans="1:49" x14ac:dyDescent="0.3">
      <c r="A487" t="s">
        <v>549</v>
      </c>
      <c r="B487" t="s">
        <v>72</v>
      </c>
      <c r="C487">
        <v>1</v>
      </c>
      <c r="D487" t="s">
        <v>12</v>
      </c>
      <c r="E487">
        <v>61</v>
      </c>
      <c r="F487">
        <v>56</v>
      </c>
      <c r="G487">
        <v>53</v>
      </c>
      <c r="H487">
        <v>60</v>
      </c>
      <c r="I487">
        <v>94</v>
      </c>
      <c r="J487">
        <v>81</v>
      </c>
      <c r="K487">
        <v>67</v>
      </c>
      <c r="L487">
        <v>58</v>
      </c>
      <c r="M487">
        <v>65</v>
      </c>
      <c r="N487">
        <v>76</v>
      </c>
      <c r="O487">
        <v>63</v>
      </c>
      <c r="P487">
        <v>50</v>
      </c>
      <c r="Q487">
        <v>42</v>
      </c>
      <c r="R487">
        <v>68</v>
      </c>
      <c r="S487">
        <v>83</v>
      </c>
      <c r="T487">
        <v>77</v>
      </c>
      <c r="U487">
        <v>72</v>
      </c>
      <c r="V487">
        <v>81</v>
      </c>
      <c r="W487">
        <v>89</v>
      </c>
      <c r="X487">
        <v>68</v>
      </c>
      <c r="Y487">
        <v>61</v>
      </c>
      <c r="Z487">
        <v>42</v>
      </c>
      <c r="AA487">
        <v>66</v>
      </c>
      <c r="AB487">
        <v>79</v>
      </c>
      <c r="AC487">
        <v>74</v>
      </c>
      <c r="AD487">
        <v>76</v>
      </c>
      <c r="AE487">
        <v>70</v>
      </c>
      <c r="AF487">
        <v>70</v>
      </c>
      <c r="AG487">
        <v>58</v>
      </c>
      <c r="AH487">
        <v>65</v>
      </c>
      <c r="AI487">
        <v>62</v>
      </c>
      <c r="AJ487">
        <v>42</v>
      </c>
      <c r="AK487">
        <v>68</v>
      </c>
      <c r="AL487">
        <v>67</v>
      </c>
      <c r="AM487">
        <v>61</v>
      </c>
      <c r="AN487">
        <v>51</v>
      </c>
      <c r="AO487">
        <v>71</v>
      </c>
      <c r="AP487">
        <v>68</v>
      </c>
      <c r="AQ487">
        <v>2515</v>
      </c>
      <c r="AR487">
        <v>0.39761431411530818</v>
      </c>
      <c r="AS487">
        <f t="shared" si="35"/>
        <v>0.10450210408149985</v>
      </c>
      <c r="AT487">
        <f t="shared" si="36"/>
        <v>8.4019691681525878E-3</v>
      </c>
      <c r="AU487">
        <f t="shared" si="37"/>
        <v>0.84019691681525877</v>
      </c>
      <c r="AV487">
        <f t="shared" si="38"/>
        <v>3</v>
      </c>
      <c r="AW487">
        <f t="shared" si="39"/>
        <v>9.3923170846247697E-2</v>
      </c>
    </row>
    <row r="488" spans="1:49" x14ac:dyDescent="0.3">
      <c r="A488" t="s">
        <v>550</v>
      </c>
      <c r="B488" t="s">
        <v>72</v>
      </c>
      <c r="C488">
        <v>1</v>
      </c>
      <c r="D488" t="s">
        <v>12</v>
      </c>
      <c r="E488">
        <v>47</v>
      </c>
      <c r="F488">
        <v>47</v>
      </c>
      <c r="G488">
        <v>38</v>
      </c>
      <c r="H488">
        <v>48</v>
      </c>
      <c r="I488">
        <v>49</v>
      </c>
      <c r="J488">
        <v>62</v>
      </c>
      <c r="K488">
        <v>61</v>
      </c>
      <c r="L488">
        <v>67</v>
      </c>
      <c r="M488">
        <v>66</v>
      </c>
      <c r="N488">
        <v>91</v>
      </c>
      <c r="O488">
        <v>80</v>
      </c>
      <c r="P488">
        <v>93</v>
      </c>
      <c r="Q488">
        <v>83</v>
      </c>
      <c r="R488">
        <v>114</v>
      </c>
      <c r="S488">
        <v>110</v>
      </c>
      <c r="T488">
        <v>115</v>
      </c>
      <c r="U488">
        <v>119</v>
      </c>
      <c r="V488">
        <v>119</v>
      </c>
      <c r="W488">
        <v>98</v>
      </c>
      <c r="X488">
        <v>51</v>
      </c>
      <c r="Y488">
        <v>44</v>
      </c>
      <c r="Z488">
        <v>29</v>
      </c>
      <c r="AA488">
        <v>27</v>
      </c>
      <c r="AB488">
        <v>37</v>
      </c>
      <c r="AC488">
        <v>40</v>
      </c>
      <c r="AD488">
        <v>54</v>
      </c>
      <c r="AE488">
        <v>52</v>
      </c>
      <c r="AF488">
        <v>72</v>
      </c>
      <c r="AG488">
        <v>77</v>
      </c>
      <c r="AH488">
        <v>93</v>
      </c>
      <c r="AI488">
        <v>99</v>
      </c>
      <c r="AJ488">
        <v>87</v>
      </c>
      <c r="AK488">
        <v>107</v>
      </c>
      <c r="AL488">
        <v>91</v>
      </c>
      <c r="AM488">
        <v>96</v>
      </c>
      <c r="AN488">
        <v>88</v>
      </c>
      <c r="AO488">
        <v>106</v>
      </c>
      <c r="AP488">
        <v>116</v>
      </c>
      <c r="AQ488">
        <v>2873</v>
      </c>
      <c r="AR488">
        <v>0.34806822137138882</v>
      </c>
      <c r="AS488">
        <f t="shared" si="35"/>
        <v>8.7452970264088992E-2</v>
      </c>
      <c r="AT488">
        <f t="shared" si="36"/>
        <v>7.0312188092327551E-3</v>
      </c>
      <c r="AU488">
        <f t="shared" si="37"/>
        <v>0.70312188092327554</v>
      </c>
      <c r="AV488">
        <f t="shared" si="38"/>
        <v>3</v>
      </c>
      <c r="AW488">
        <f t="shared" si="39"/>
        <v>9.3923170846247697E-2</v>
      </c>
    </row>
    <row r="489" spans="1:49" x14ac:dyDescent="0.3">
      <c r="A489" t="s">
        <v>551</v>
      </c>
      <c r="B489" t="s">
        <v>41</v>
      </c>
      <c r="C489">
        <v>1</v>
      </c>
      <c r="D489" t="s">
        <v>17</v>
      </c>
      <c r="E489">
        <v>6</v>
      </c>
      <c r="F489">
        <v>4</v>
      </c>
      <c r="G489">
        <v>12</v>
      </c>
      <c r="H489">
        <v>6</v>
      </c>
      <c r="I489">
        <v>2</v>
      </c>
      <c r="J489">
        <v>9</v>
      </c>
      <c r="K489">
        <v>0</v>
      </c>
      <c r="L489">
        <v>5</v>
      </c>
      <c r="M489">
        <v>11</v>
      </c>
      <c r="N489">
        <v>6</v>
      </c>
      <c r="O489">
        <v>4</v>
      </c>
      <c r="P489">
        <v>4</v>
      </c>
      <c r="Q489">
        <v>6</v>
      </c>
      <c r="R489">
        <v>12</v>
      </c>
      <c r="S489">
        <v>10</v>
      </c>
      <c r="T489">
        <v>13</v>
      </c>
      <c r="U489">
        <v>7</v>
      </c>
      <c r="V489">
        <v>14</v>
      </c>
      <c r="W489">
        <v>8</v>
      </c>
      <c r="X489">
        <v>7</v>
      </c>
      <c r="Y489">
        <v>6</v>
      </c>
      <c r="Z489">
        <v>7</v>
      </c>
      <c r="AA489">
        <v>6</v>
      </c>
      <c r="AB489">
        <v>3</v>
      </c>
      <c r="AC489">
        <v>3</v>
      </c>
      <c r="AD489">
        <v>6</v>
      </c>
      <c r="AE489">
        <v>3</v>
      </c>
      <c r="AF489">
        <v>3</v>
      </c>
      <c r="AG489">
        <v>4</v>
      </c>
      <c r="AH489">
        <v>8</v>
      </c>
      <c r="AI489">
        <v>11</v>
      </c>
      <c r="AJ489">
        <v>7</v>
      </c>
      <c r="AK489">
        <v>14</v>
      </c>
      <c r="AL489">
        <v>6</v>
      </c>
      <c r="AM489">
        <v>12</v>
      </c>
      <c r="AN489">
        <v>10</v>
      </c>
      <c r="AO489">
        <v>5</v>
      </c>
      <c r="AP489">
        <v>8</v>
      </c>
      <c r="AQ489">
        <v>268</v>
      </c>
      <c r="AR489">
        <v>3</v>
      </c>
      <c r="AS489">
        <f t="shared" si="35"/>
        <v>1</v>
      </c>
      <c r="AT489">
        <f t="shared" si="36"/>
        <v>8.0399999999999999E-2</v>
      </c>
      <c r="AU489">
        <f t="shared" si="37"/>
        <v>8.0399999999999991</v>
      </c>
      <c r="AV489">
        <f t="shared" si="38"/>
        <v>3</v>
      </c>
      <c r="AW489">
        <f t="shared" si="39"/>
        <v>9.3923170846247697E-2</v>
      </c>
    </row>
    <row r="490" spans="1:49" x14ac:dyDescent="0.3">
      <c r="A490" t="s">
        <v>552</v>
      </c>
      <c r="B490" t="s">
        <v>109</v>
      </c>
      <c r="C490">
        <v>15</v>
      </c>
      <c r="D490" t="s">
        <v>24</v>
      </c>
      <c r="E490">
        <v>114</v>
      </c>
      <c r="F490">
        <v>114</v>
      </c>
      <c r="G490">
        <v>116</v>
      </c>
      <c r="H490">
        <v>95</v>
      </c>
      <c r="I490">
        <v>139</v>
      </c>
      <c r="J490">
        <v>123</v>
      </c>
      <c r="K490">
        <v>157</v>
      </c>
      <c r="L490">
        <v>184</v>
      </c>
      <c r="M490">
        <v>209</v>
      </c>
      <c r="N490">
        <v>233</v>
      </c>
      <c r="O490">
        <v>261</v>
      </c>
      <c r="P490">
        <v>263</v>
      </c>
      <c r="Q490">
        <v>302</v>
      </c>
      <c r="R490">
        <v>319</v>
      </c>
      <c r="S490">
        <v>383</v>
      </c>
      <c r="T490">
        <v>351</v>
      </c>
      <c r="U490">
        <v>323</v>
      </c>
      <c r="V490">
        <v>388</v>
      </c>
      <c r="W490">
        <v>394</v>
      </c>
      <c r="X490">
        <v>111</v>
      </c>
      <c r="Y490">
        <v>110</v>
      </c>
      <c r="Z490">
        <v>121</v>
      </c>
      <c r="AA490">
        <v>104</v>
      </c>
      <c r="AB490">
        <v>121</v>
      </c>
      <c r="AC490">
        <v>155</v>
      </c>
      <c r="AD490">
        <v>155</v>
      </c>
      <c r="AE490">
        <v>180</v>
      </c>
      <c r="AF490">
        <v>185</v>
      </c>
      <c r="AG490">
        <v>229</v>
      </c>
      <c r="AH490">
        <v>252</v>
      </c>
      <c r="AI490">
        <v>267</v>
      </c>
      <c r="AJ490">
        <v>284</v>
      </c>
      <c r="AK490">
        <v>350</v>
      </c>
      <c r="AL490">
        <v>314</v>
      </c>
      <c r="AM490">
        <v>313</v>
      </c>
      <c r="AN490">
        <v>296</v>
      </c>
      <c r="AO490">
        <v>346</v>
      </c>
      <c r="AP490">
        <v>366</v>
      </c>
      <c r="AQ490">
        <v>8727</v>
      </c>
      <c r="AR490">
        <v>1.7188037126160189</v>
      </c>
      <c r="AS490">
        <f t="shared" si="35"/>
        <v>0.55913199729235485</v>
      </c>
      <c r="AT490">
        <f t="shared" si="36"/>
        <v>4.4954212582305329E-2</v>
      </c>
      <c r="AU490">
        <f t="shared" si="37"/>
        <v>4.4954212582305333</v>
      </c>
      <c r="AV490">
        <f t="shared" si="38"/>
        <v>3</v>
      </c>
      <c r="AW490">
        <f t="shared" si="39"/>
        <v>9.3923170846247697E-2</v>
      </c>
    </row>
    <row r="491" spans="1:49" x14ac:dyDescent="0.3">
      <c r="A491" t="s">
        <v>553</v>
      </c>
      <c r="B491" t="s">
        <v>114</v>
      </c>
      <c r="C491">
        <v>2</v>
      </c>
      <c r="D491" t="s">
        <v>17</v>
      </c>
      <c r="E491">
        <v>9</v>
      </c>
      <c r="F491">
        <v>3</v>
      </c>
      <c r="G491">
        <v>3</v>
      </c>
      <c r="H491">
        <v>4</v>
      </c>
      <c r="I491">
        <v>1</v>
      </c>
      <c r="J491">
        <v>7</v>
      </c>
      <c r="K491">
        <v>5</v>
      </c>
      <c r="L491">
        <v>8</v>
      </c>
      <c r="M491">
        <v>8</v>
      </c>
      <c r="N491">
        <v>7</v>
      </c>
      <c r="O491">
        <v>14</v>
      </c>
      <c r="P491">
        <v>22</v>
      </c>
      <c r="Q491">
        <v>21</v>
      </c>
      <c r="R491">
        <v>18</v>
      </c>
      <c r="S491">
        <v>28</v>
      </c>
      <c r="T491">
        <v>26</v>
      </c>
      <c r="U491">
        <v>19</v>
      </c>
      <c r="V491">
        <v>22</v>
      </c>
      <c r="W491">
        <v>26</v>
      </c>
      <c r="X491">
        <v>5</v>
      </c>
      <c r="Y491">
        <v>5</v>
      </c>
      <c r="Z491">
        <v>2</v>
      </c>
      <c r="AA491">
        <v>5</v>
      </c>
      <c r="AB491">
        <v>5</v>
      </c>
      <c r="AC491">
        <v>5</v>
      </c>
      <c r="AD491">
        <v>6</v>
      </c>
      <c r="AE491">
        <v>2</v>
      </c>
      <c r="AF491">
        <v>5</v>
      </c>
      <c r="AG491">
        <v>13</v>
      </c>
      <c r="AH491">
        <v>14</v>
      </c>
      <c r="AI491">
        <v>12</v>
      </c>
      <c r="AJ491">
        <v>14</v>
      </c>
      <c r="AK491">
        <v>23</v>
      </c>
      <c r="AL491">
        <v>23</v>
      </c>
      <c r="AM491">
        <v>30</v>
      </c>
      <c r="AN491">
        <v>20</v>
      </c>
      <c r="AO491">
        <v>29</v>
      </c>
      <c r="AP491">
        <v>26</v>
      </c>
      <c r="AQ491">
        <v>495</v>
      </c>
      <c r="AR491">
        <v>3</v>
      </c>
      <c r="AS491">
        <f t="shared" si="35"/>
        <v>1</v>
      </c>
      <c r="AT491">
        <f t="shared" si="36"/>
        <v>8.0399999999999999E-2</v>
      </c>
      <c r="AU491">
        <f t="shared" si="37"/>
        <v>8.0399999999999991</v>
      </c>
      <c r="AV491">
        <f t="shared" si="38"/>
        <v>3</v>
      </c>
      <c r="AW491">
        <f t="shared" si="39"/>
        <v>9.3923170846247697E-2</v>
      </c>
    </row>
    <row r="492" spans="1:49" x14ac:dyDescent="0.3">
      <c r="A492" t="s">
        <v>554</v>
      </c>
      <c r="B492" t="s">
        <v>54</v>
      </c>
      <c r="C492">
        <v>5</v>
      </c>
      <c r="D492" t="s">
        <v>17</v>
      </c>
      <c r="E492">
        <v>73</v>
      </c>
      <c r="F492">
        <v>54</v>
      </c>
      <c r="G492">
        <v>60</v>
      </c>
      <c r="H492">
        <v>52</v>
      </c>
      <c r="I492">
        <v>65</v>
      </c>
      <c r="J492">
        <v>57</v>
      </c>
      <c r="K492">
        <v>77</v>
      </c>
      <c r="L492">
        <v>75</v>
      </c>
      <c r="M492">
        <v>71</v>
      </c>
      <c r="N492">
        <v>80</v>
      </c>
      <c r="O492">
        <v>84</v>
      </c>
      <c r="P492">
        <v>83</v>
      </c>
      <c r="Q492">
        <v>67</v>
      </c>
      <c r="R492">
        <v>84</v>
      </c>
      <c r="S492">
        <v>101</v>
      </c>
      <c r="T492">
        <v>95</v>
      </c>
      <c r="U492">
        <v>99</v>
      </c>
      <c r="V492">
        <v>95</v>
      </c>
      <c r="W492">
        <v>110</v>
      </c>
      <c r="X492">
        <v>61</v>
      </c>
      <c r="Y492">
        <v>59</v>
      </c>
      <c r="Z492">
        <v>70</v>
      </c>
      <c r="AA492">
        <v>59</v>
      </c>
      <c r="AB492">
        <v>69</v>
      </c>
      <c r="AC492">
        <v>56</v>
      </c>
      <c r="AD492">
        <v>54</v>
      </c>
      <c r="AE492">
        <v>71</v>
      </c>
      <c r="AF492">
        <v>68</v>
      </c>
      <c r="AG492">
        <v>80</v>
      </c>
      <c r="AH492">
        <v>75</v>
      </c>
      <c r="AI492">
        <v>74</v>
      </c>
      <c r="AJ492">
        <v>80</v>
      </c>
      <c r="AK492">
        <v>87</v>
      </c>
      <c r="AL492">
        <v>108</v>
      </c>
      <c r="AM492">
        <v>102</v>
      </c>
      <c r="AN492">
        <v>78</v>
      </c>
      <c r="AO492">
        <v>100</v>
      </c>
      <c r="AP492">
        <v>112</v>
      </c>
      <c r="AQ492">
        <v>2945</v>
      </c>
      <c r="AR492">
        <v>1.6977928692699491</v>
      </c>
      <c r="AS492">
        <f t="shared" si="35"/>
        <v>0.55190202899444574</v>
      </c>
      <c r="AT492">
        <f t="shared" si="36"/>
        <v>4.4372923131153437E-2</v>
      </c>
      <c r="AU492">
        <f t="shared" si="37"/>
        <v>4.4372923131153437</v>
      </c>
      <c r="AV492">
        <f t="shared" si="38"/>
        <v>3</v>
      </c>
      <c r="AW492">
        <f t="shared" si="39"/>
        <v>9.3923170846247697E-2</v>
      </c>
    </row>
    <row r="493" spans="1:49" x14ac:dyDescent="0.3">
      <c r="A493" t="s">
        <v>555</v>
      </c>
      <c r="B493" t="s">
        <v>54</v>
      </c>
      <c r="C493">
        <v>5</v>
      </c>
      <c r="D493" t="s">
        <v>17</v>
      </c>
      <c r="E493">
        <v>65</v>
      </c>
      <c r="F493">
        <v>53</v>
      </c>
      <c r="G493">
        <v>52</v>
      </c>
      <c r="H493">
        <v>64</v>
      </c>
      <c r="I493">
        <v>57</v>
      </c>
      <c r="J493">
        <v>55</v>
      </c>
      <c r="K493">
        <v>61</v>
      </c>
      <c r="L493">
        <v>80</v>
      </c>
      <c r="M493">
        <v>70</v>
      </c>
      <c r="N493">
        <v>75</v>
      </c>
      <c r="O493">
        <v>107</v>
      </c>
      <c r="P493">
        <v>98</v>
      </c>
      <c r="Q493">
        <v>96</v>
      </c>
      <c r="R493">
        <v>116</v>
      </c>
      <c r="S493">
        <v>110</v>
      </c>
      <c r="T493">
        <v>109</v>
      </c>
      <c r="U493">
        <v>105</v>
      </c>
      <c r="V493">
        <v>115</v>
      </c>
      <c r="W493">
        <v>155</v>
      </c>
      <c r="X493">
        <v>68</v>
      </c>
      <c r="Y493">
        <v>59</v>
      </c>
      <c r="Z493">
        <v>52</v>
      </c>
      <c r="AA493">
        <v>42</v>
      </c>
      <c r="AB493">
        <v>49</v>
      </c>
      <c r="AC493">
        <v>55</v>
      </c>
      <c r="AD493">
        <v>66</v>
      </c>
      <c r="AE493">
        <v>64</v>
      </c>
      <c r="AF493">
        <v>73</v>
      </c>
      <c r="AG493">
        <v>77</v>
      </c>
      <c r="AH493">
        <v>98</v>
      </c>
      <c r="AI493">
        <v>89</v>
      </c>
      <c r="AJ493">
        <v>109</v>
      </c>
      <c r="AK493">
        <v>119</v>
      </c>
      <c r="AL493">
        <v>115</v>
      </c>
      <c r="AM493">
        <v>133</v>
      </c>
      <c r="AN493">
        <v>108</v>
      </c>
      <c r="AO493">
        <v>118</v>
      </c>
      <c r="AP493">
        <v>143</v>
      </c>
      <c r="AQ493">
        <v>3280</v>
      </c>
      <c r="AR493">
        <v>1.524390243902439</v>
      </c>
      <c r="AS493">
        <f t="shared" si="35"/>
        <v>0.49223305409745216</v>
      </c>
      <c r="AT493">
        <f t="shared" si="36"/>
        <v>3.9575537549435151E-2</v>
      </c>
      <c r="AU493">
        <f t="shared" si="37"/>
        <v>3.9575537549435151</v>
      </c>
      <c r="AV493">
        <f t="shared" si="38"/>
        <v>3</v>
      </c>
      <c r="AW493">
        <f t="shared" si="39"/>
        <v>9.3923170846247697E-2</v>
      </c>
    </row>
    <row r="494" spans="1:49" x14ac:dyDescent="0.3">
      <c r="A494" t="s">
        <v>556</v>
      </c>
      <c r="B494" t="s">
        <v>129</v>
      </c>
      <c r="C494">
        <v>1</v>
      </c>
      <c r="D494" t="s">
        <v>12</v>
      </c>
      <c r="E494">
        <v>47</v>
      </c>
      <c r="F494">
        <v>28</v>
      </c>
      <c r="G494">
        <v>31</v>
      </c>
      <c r="H494">
        <v>18</v>
      </c>
      <c r="I494">
        <v>28</v>
      </c>
      <c r="J494">
        <v>32</v>
      </c>
      <c r="K494">
        <v>26</v>
      </c>
      <c r="L494">
        <v>31</v>
      </c>
      <c r="M494">
        <v>23</v>
      </c>
      <c r="N494">
        <v>36</v>
      </c>
      <c r="O494">
        <v>32</v>
      </c>
      <c r="P494">
        <v>36</v>
      </c>
      <c r="Q494">
        <v>28</v>
      </c>
      <c r="R494">
        <v>39</v>
      </c>
      <c r="S494">
        <v>36</v>
      </c>
      <c r="T494">
        <v>35</v>
      </c>
      <c r="U494">
        <v>27</v>
      </c>
      <c r="V494">
        <v>37</v>
      </c>
      <c r="W494">
        <v>32</v>
      </c>
      <c r="X494">
        <v>45</v>
      </c>
      <c r="Y494">
        <v>39</v>
      </c>
      <c r="Z494">
        <v>26</v>
      </c>
      <c r="AA494">
        <v>25</v>
      </c>
      <c r="AB494">
        <v>22</v>
      </c>
      <c r="AC494">
        <v>29</v>
      </c>
      <c r="AD494">
        <v>29</v>
      </c>
      <c r="AE494">
        <v>33</v>
      </c>
      <c r="AF494">
        <v>41</v>
      </c>
      <c r="AG494">
        <v>33</v>
      </c>
      <c r="AH494">
        <v>38</v>
      </c>
      <c r="AI494">
        <v>27</v>
      </c>
      <c r="AJ494">
        <v>27</v>
      </c>
      <c r="AK494">
        <v>22</v>
      </c>
      <c r="AL494">
        <v>32</v>
      </c>
      <c r="AM494">
        <v>31</v>
      </c>
      <c r="AN494">
        <v>33</v>
      </c>
      <c r="AO494">
        <v>30</v>
      </c>
      <c r="AP494">
        <v>42</v>
      </c>
      <c r="AQ494">
        <v>1206</v>
      </c>
      <c r="AR494">
        <v>0.82918739635157546</v>
      </c>
      <c r="AS494">
        <f t="shared" si="35"/>
        <v>0.25300921783249486</v>
      </c>
      <c r="AT494">
        <f t="shared" si="36"/>
        <v>2.0341941113732588E-2</v>
      </c>
      <c r="AU494">
        <f t="shared" si="37"/>
        <v>2.0341941113732589</v>
      </c>
      <c r="AV494">
        <f t="shared" si="38"/>
        <v>3</v>
      </c>
      <c r="AW494">
        <f t="shared" si="39"/>
        <v>9.3923170846247697E-2</v>
      </c>
    </row>
    <row r="495" spans="1:49" x14ac:dyDescent="0.3">
      <c r="A495" t="s">
        <v>557</v>
      </c>
      <c r="B495" t="s">
        <v>129</v>
      </c>
      <c r="C495">
        <v>1</v>
      </c>
      <c r="D495" t="s">
        <v>12</v>
      </c>
      <c r="E495">
        <v>28</v>
      </c>
      <c r="F495">
        <v>23</v>
      </c>
      <c r="G495">
        <v>23</v>
      </c>
      <c r="H495">
        <v>26</v>
      </c>
      <c r="I495">
        <v>23</v>
      </c>
      <c r="J495">
        <v>25</v>
      </c>
      <c r="K495">
        <v>38</v>
      </c>
      <c r="L495">
        <v>30</v>
      </c>
      <c r="M495">
        <v>28</v>
      </c>
      <c r="N495">
        <v>48</v>
      </c>
      <c r="O495">
        <v>50</v>
      </c>
      <c r="P495">
        <v>43</v>
      </c>
      <c r="Q495">
        <v>60</v>
      </c>
      <c r="R495">
        <v>62</v>
      </c>
      <c r="S495">
        <v>63</v>
      </c>
      <c r="T495">
        <v>57</v>
      </c>
      <c r="U495">
        <v>59</v>
      </c>
      <c r="V495">
        <v>53</v>
      </c>
      <c r="W495">
        <v>61</v>
      </c>
      <c r="X495">
        <v>27</v>
      </c>
      <c r="Y495">
        <v>20</v>
      </c>
      <c r="Z495">
        <v>14</v>
      </c>
      <c r="AA495">
        <v>32</v>
      </c>
      <c r="AB495">
        <v>29</v>
      </c>
      <c r="AC495">
        <v>22</v>
      </c>
      <c r="AD495">
        <v>28</v>
      </c>
      <c r="AE495">
        <v>27</v>
      </c>
      <c r="AF495">
        <v>45</v>
      </c>
      <c r="AG495">
        <v>34</v>
      </c>
      <c r="AH495">
        <v>36</v>
      </c>
      <c r="AI495">
        <v>48</v>
      </c>
      <c r="AJ495">
        <v>48</v>
      </c>
      <c r="AK495">
        <v>54</v>
      </c>
      <c r="AL495">
        <v>43</v>
      </c>
      <c r="AM495">
        <v>45</v>
      </c>
      <c r="AN495">
        <v>37</v>
      </c>
      <c r="AO495">
        <v>48</v>
      </c>
      <c r="AP495">
        <v>71</v>
      </c>
      <c r="AQ495">
        <v>1508</v>
      </c>
      <c r="AR495">
        <v>0.66312997347480107</v>
      </c>
      <c r="AS495">
        <f t="shared" si="35"/>
        <v>0.19586777504237768</v>
      </c>
      <c r="AT495">
        <f t="shared" si="36"/>
        <v>1.5747769113407164E-2</v>
      </c>
      <c r="AU495">
        <f t="shared" si="37"/>
        <v>1.5747769113407164</v>
      </c>
      <c r="AV495">
        <f t="shared" si="38"/>
        <v>3</v>
      </c>
      <c r="AW495">
        <f t="shared" si="39"/>
        <v>9.3923170846247697E-2</v>
      </c>
    </row>
    <row r="496" spans="1:49" x14ac:dyDescent="0.3">
      <c r="A496" t="s">
        <v>558</v>
      </c>
      <c r="B496" t="s">
        <v>145</v>
      </c>
      <c r="C496">
        <v>2</v>
      </c>
      <c r="D496" t="s">
        <v>12</v>
      </c>
      <c r="E496">
        <v>55</v>
      </c>
      <c r="F496">
        <v>30</v>
      </c>
      <c r="G496">
        <v>41</v>
      </c>
      <c r="H496">
        <v>36</v>
      </c>
      <c r="I496">
        <v>38</v>
      </c>
      <c r="J496">
        <v>36</v>
      </c>
      <c r="K496">
        <v>40</v>
      </c>
      <c r="L496">
        <v>38</v>
      </c>
      <c r="M496">
        <v>56</v>
      </c>
      <c r="N496">
        <v>50</v>
      </c>
      <c r="O496">
        <v>65</v>
      </c>
      <c r="P496">
        <v>65</v>
      </c>
      <c r="Q496">
        <v>67</v>
      </c>
      <c r="R496">
        <v>73</v>
      </c>
      <c r="S496">
        <v>80</v>
      </c>
      <c r="T496">
        <v>88</v>
      </c>
      <c r="U496">
        <v>59</v>
      </c>
      <c r="V496">
        <v>97</v>
      </c>
      <c r="W496">
        <v>120</v>
      </c>
      <c r="X496">
        <v>47</v>
      </c>
      <c r="Y496">
        <v>41</v>
      </c>
      <c r="Z496">
        <v>35</v>
      </c>
      <c r="AA496">
        <v>32</v>
      </c>
      <c r="AB496">
        <v>24</v>
      </c>
      <c r="AC496">
        <v>26</v>
      </c>
      <c r="AD496">
        <v>41</v>
      </c>
      <c r="AE496">
        <v>46</v>
      </c>
      <c r="AF496">
        <v>48</v>
      </c>
      <c r="AG496">
        <v>53</v>
      </c>
      <c r="AH496">
        <v>61</v>
      </c>
      <c r="AI496">
        <v>77</v>
      </c>
      <c r="AJ496">
        <v>75</v>
      </c>
      <c r="AK496">
        <v>85</v>
      </c>
      <c r="AL496">
        <v>79</v>
      </c>
      <c r="AM496">
        <v>77</v>
      </c>
      <c r="AN496">
        <v>95</v>
      </c>
      <c r="AO496">
        <v>94</v>
      </c>
      <c r="AP496">
        <v>134</v>
      </c>
      <c r="AQ496">
        <v>2304</v>
      </c>
      <c r="AR496">
        <v>0.86805555555555547</v>
      </c>
      <c r="AS496">
        <f t="shared" si="35"/>
        <v>0.26638400504185383</v>
      </c>
      <c r="AT496">
        <f t="shared" si="36"/>
        <v>2.1417274005365049E-2</v>
      </c>
      <c r="AU496">
        <f t="shared" si="37"/>
        <v>2.1417274005365048</v>
      </c>
      <c r="AV496">
        <f t="shared" si="38"/>
        <v>3</v>
      </c>
      <c r="AW496">
        <f t="shared" si="39"/>
        <v>9.3923170846247697E-2</v>
      </c>
    </row>
    <row r="497" spans="1:49" x14ac:dyDescent="0.3">
      <c r="A497" t="s">
        <v>559</v>
      </c>
      <c r="B497" t="s">
        <v>132</v>
      </c>
      <c r="C497">
        <v>4</v>
      </c>
      <c r="D497" t="s">
        <v>12</v>
      </c>
      <c r="E497">
        <v>101</v>
      </c>
      <c r="F497">
        <v>82</v>
      </c>
      <c r="G497">
        <v>102</v>
      </c>
      <c r="H497">
        <v>100</v>
      </c>
      <c r="I497">
        <v>81</v>
      </c>
      <c r="J497">
        <v>101</v>
      </c>
      <c r="K497">
        <v>108</v>
      </c>
      <c r="L497">
        <v>117</v>
      </c>
      <c r="M497">
        <v>121</v>
      </c>
      <c r="N497">
        <v>127</v>
      </c>
      <c r="O497">
        <v>146</v>
      </c>
      <c r="P497">
        <v>123</v>
      </c>
      <c r="Q497">
        <v>125</v>
      </c>
      <c r="R497">
        <v>123</v>
      </c>
      <c r="S497">
        <v>107</v>
      </c>
      <c r="T497">
        <v>102</v>
      </c>
      <c r="U497">
        <v>88</v>
      </c>
      <c r="V497">
        <v>86</v>
      </c>
      <c r="W497">
        <v>120</v>
      </c>
      <c r="X497">
        <v>99</v>
      </c>
      <c r="Y497">
        <v>79</v>
      </c>
      <c r="Z497">
        <v>93</v>
      </c>
      <c r="AA497">
        <v>81</v>
      </c>
      <c r="AB497">
        <v>92</v>
      </c>
      <c r="AC497">
        <v>91</v>
      </c>
      <c r="AD497">
        <v>121</v>
      </c>
      <c r="AE497">
        <v>119</v>
      </c>
      <c r="AF497">
        <v>140</v>
      </c>
      <c r="AG497">
        <v>132</v>
      </c>
      <c r="AH497">
        <v>132</v>
      </c>
      <c r="AI497">
        <v>132</v>
      </c>
      <c r="AJ497">
        <v>107</v>
      </c>
      <c r="AK497">
        <v>124</v>
      </c>
      <c r="AL497">
        <v>109</v>
      </c>
      <c r="AM497">
        <v>94</v>
      </c>
      <c r="AN497">
        <v>91</v>
      </c>
      <c r="AO497">
        <v>93</v>
      </c>
      <c r="AP497">
        <v>104</v>
      </c>
      <c r="AQ497">
        <v>4093</v>
      </c>
      <c r="AR497">
        <v>0.97727827999022721</v>
      </c>
      <c r="AS497">
        <f t="shared" si="35"/>
        <v>0.30396825723331339</v>
      </c>
      <c r="AT497">
        <f t="shared" si="36"/>
        <v>2.4439047881558398E-2</v>
      </c>
      <c r="AU497">
        <f t="shared" si="37"/>
        <v>2.4439047881558396</v>
      </c>
      <c r="AV497">
        <f t="shared" si="38"/>
        <v>3</v>
      </c>
      <c r="AW497">
        <f t="shared" si="39"/>
        <v>9.3923170846247697E-2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2026-03-28T10:27:04Z</dcterms:created>
  <dcterms:modified xsi:type="dcterms:W3CDTF">2026-03-28T10:44:45Z</dcterms:modified>
</cp:coreProperties>
</file>